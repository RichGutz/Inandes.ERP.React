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all\Downloads\"/>
    </mc:Choice>
  </mc:AlternateContent>
  <xr:revisionPtr revIDLastSave="0" documentId="8_{75A62774-E9D6-4F42-AFC8-C770DE347E68}" xr6:coauthVersionLast="47" xr6:coauthVersionMax="47" xr10:uidLastSave="{00000000-0000-0000-0000-000000000000}"/>
  <bookViews>
    <workbookView xWindow="-120" yWindow="-120" windowWidth="29040" windowHeight="17520" xr2:uid="{37077EDD-DFC6-4EE0-AD90-BC8C82A035B9}"/>
  </bookViews>
  <sheets>
    <sheet name="Yanneth" sheetId="1" r:id="rId1"/>
    <sheet name="Tejada" sheetId="3" r:id="rId2"/>
    <sheet name="Aravena" sheetId="2" r:id="rId3"/>
  </sheets>
  <definedNames>
    <definedName name="_Hlk492493802" localSheetId="2">Aravena!$A$23</definedName>
    <definedName name="_Hlk492493802" localSheetId="1">Tejada!$A$23</definedName>
    <definedName name="_Hlk492493802" localSheetId="0">Yanneth!$A$23</definedName>
    <definedName name="_Hlk66729397" localSheetId="2">Aravena!$A$30</definedName>
    <definedName name="_Hlk66729397" localSheetId="1">Tejada!$A$30</definedName>
    <definedName name="_Hlk66729397" localSheetId="0">Yanneth!$A$30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1" i="2" l="1"/>
  <c r="C29" i="2"/>
  <c r="C27" i="2"/>
  <c r="C25" i="2"/>
  <c r="C29" i="3"/>
  <c r="C27" i="3"/>
  <c r="C25" i="3"/>
  <c r="C14" i="2"/>
  <c r="C16" i="2" s="1"/>
  <c r="C14" i="1"/>
  <c r="C16" i="1" s="1"/>
  <c r="C16" i="3"/>
  <c r="C14" i="3"/>
</calcChain>
</file>

<file path=xl/sharedStrings.xml><?xml version="1.0" encoding="utf-8"?>
<sst xmlns="http://schemas.openxmlformats.org/spreadsheetml/2006/main" count="95" uniqueCount="24">
  <si>
    <t>ESTADO DE CUENTA DEL CERTIFICADO DE INVERSION 001</t>
  </si>
  <si>
    <t>FONDO NSG MIPYME PEN 01 – FONDO DE INVERSION PRIVADO</t>
  </si>
  <si>
    <t xml:space="preserve"> DEL 01-jul-26 AL 31-ago-26</t>
  </si>
  <si>
    <t>Sr(a)(s):</t>
  </si>
  <si>
    <t>Gladys Yanneth Parra Forero</t>
  </si>
  <si>
    <t>Monto inicial invertido:</t>
  </si>
  <si>
    <t>PEN</t>
  </si>
  <si>
    <t>Ganancia bruta obtenida:</t>
  </si>
  <si>
    <t>(-) Impuesto a la Renta retenido</t>
  </si>
  <si>
    <t>Ganancia disponible del partícipe</t>
  </si>
  <si>
    <t>-</t>
  </si>
  <si>
    <t>(+) Inversiones adicionales del</t>
  </si>
  <si>
    <t xml:space="preserve">    partícipe</t>
  </si>
  <si>
    <t>Monto destinado para adquirir nuevas cuotas</t>
  </si>
  <si>
    <t>Monto transferido a su cuenta bancaria</t>
  </si>
  <si>
    <t>Rescates solicitados por el partícipe</t>
  </si>
  <si>
    <t>Monto de la inversión al 31-ago-26</t>
  </si>
  <si>
    <t>Número de cuotas al 31-ago-26</t>
  </si>
  <si>
    <t>CUOTAS</t>
  </si>
  <si>
    <t>Fecha de cierre del fondo / cierre del contrato</t>
  </si>
  <si>
    <t>(-) Retenciones a las ganancias
    obtenidas</t>
  </si>
  <si>
    <t>Y</t>
  </si>
  <si>
    <t>Paulina Leonor Tejada Cornejo</t>
  </si>
  <si>
    <t>Rodrigo Aravena Elias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</si>
</sst>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000000"/>
      <name val="Consolas"/>
      <family val="3"/>
    </font>
    <font>
      <b/>
      <sz val="16"/>
      <color rgb="FF000000"/>
      <name val="Consolas"/>
      <family val="3"/>
    </font>
    <font>
      <b/>
      <sz val="12"/>
      <color rgb="FF0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E2EFD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4" fontId="4" fillId="2" borderId="0" xfId="0" applyNumberFormat="1" applyFont="1" applyFill="1" applyAlignment="1">
      <alignment horizontal="right" vertical="center" wrapText="1"/>
    </xf>
    <xf numFmtId="0" fontId="4" fillId="0" borderId="0" xfId="0" applyFont="1" applyAlignment="1">
      <alignment horizontal="left" vertical="center" wrapText="1" indent="2"/>
    </xf>
    <xf numFmtId="0" fontId="4" fillId="2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4" fontId="4" fillId="3" borderId="0" xfId="0" applyNumberFormat="1" applyFont="1" applyFill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4" fontId="4" fillId="0" borderId="3" xfId="0" applyNumberFormat="1" applyFont="1" applyBorder="1" applyAlignment="1">
      <alignment horizontal="right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5" fontId="4" fillId="0" borderId="5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3" fontId="4" fillId="0" borderId="0" xfId="1" applyFont="1" applyAlignment="1">
      <alignment horizontal="right" vertical="center" wrapText="1"/>
    </xf>
    <xf numFmtId="43" fontId="4" fillId="2" borderId="0" xfId="1" applyFont="1" applyFill="1" applyAlignment="1">
      <alignment horizontal="right" vertical="center" wrapText="1"/>
    </xf>
    <xf numFmtId="43" fontId="4" fillId="0" borderId="0" xfId="1" applyFont="1" applyAlignment="1">
      <alignment horizontal="right" vertical="center" wrapText="1"/>
    </xf>
    <xf numFmtId="43" fontId="4" fillId="3" borderId="0" xfId="1" applyFont="1" applyFill="1" applyAlignment="1">
      <alignment horizontal="right" vertical="center" wrapText="1"/>
    </xf>
    <xf numFmtId="43" fontId="4" fillId="0" borderId="1" xfId="1" applyFont="1" applyBorder="1" applyAlignment="1">
      <alignment horizontal="right" vertical="center" wrapText="1"/>
    </xf>
    <xf numFmtId="43" fontId="4" fillId="0" borderId="3" xfId="1" applyFont="1" applyBorder="1" applyAlignment="1">
      <alignment horizontal="right" vertical="center" wrapText="1"/>
    </xf>
    <xf numFmtId="43" fontId="4" fillId="0" borderId="3" xfId="1" applyFont="1" applyBorder="1" applyAlignment="1">
      <alignment vertical="center" wrapText="1"/>
    </xf>
    <xf numFmtId="169" fontId="4" fillId="0" borderId="3" xfId="1" applyNumberFormat="1" applyFont="1" applyBorder="1" applyAlignment="1">
      <alignment horizontal="righ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A91F1-905F-4B2C-B2B4-5FCF1096ECB2}">
  <dimension ref="A1:F34"/>
  <sheetViews>
    <sheetView showGridLines="0" tabSelected="1" workbookViewId="0">
      <selection activeCell="I21" sqref="I21"/>
    </sheetView>
  </sheetViews>
  <sheetFormatPr baseColWidth="10" defaultRowHeight="15" x14ac:dyDescent="0.25"/>
  <cols>
    <col min="1" max="1" width="60.7109375" customWidth="1"/>
    <col min="3" max="3" width="30.7109375" customWidth="1"/>
  </cols>
  <sheetData>
    <row r="1" spans="1:3" ht="18.75" x14ac:dyDescent="0.25">
      <c r="A1" s="26" t="s">
        <v>0</v>
      </c>
      <c r="B1" s="26"/>
      <c r="C1" s="26"/>
    </row>
    <row r="2" spans="1:3" ht="18.75" x14ac:dyDescent="0.25">
      <c r="A2" s="26" t="s">
        <v>1</v>
      </c>
      <c r="B2" s="26"/>
      <c r="C2" s="26"/>
    </row>
    <row r="3" spans="1:3" ht="18.75" x14ac:dyDescent="0.25">
      <c r="A3" s="1"/>
    </row>
    <row r="4" spans="1:3" ht="18.75" x14ac:dyDescent="0.25">
      <c r="A4" s="26" t="s">
        <v>2</v>
      </c>
      <c r="B4" s="26"/>
      <c r="C4" s="26"/>
    </row>
    <row r="5" spans="1:3" ht="20.25" x14ac:dyDescent="0.25">
      <c r="A5" s="2"/>
    </row>
    <row r="6" spans="1:3" ht="18.75" x14ac:dyDescent="0.25">
      <c r="A6" s="3" t="s">
        <v>3</v>
      </c>
    </row>
    <row r="7" spans="1:3" ht="18.75" x14ac:dyDescent="0.25">
      <c r="A7" s="3"/>
    </row>
    <row r="8" spans="1:3" ht="18.75" x14ac:dyDescent="0.25">
      <c r="A8" s="3" t="s">
        <v>4</v>
      </c>
    </row>
    <row r="9" spans="1:3" ht="15.75" x14ac:dyDescent="0.25">
      <c r="A9" s="4"/>
    </row>
    <row r="10" spans="1:3" ht="31.5" customHeight="1" x14ac:dyDescent="0.25">
      <c r="A10" s="5" t="s">
        <v>5</v>
      </c>
      <c r="B10" s="6" t="s">
        <v>6</v>
      </c>
      <c r="C10" s="7">
        <v>925000</v>
      </c>
    </row>
    <row r="11" spans="1:3" ht="15.75" x14ac:dyDescent="0.25">
      <c r="A11" s="5"/>
      <c r="B11" s="6"/>
      <c r="C11" s="8"/>
    </row>
    <row r="12" spans="1:3" ht="31.5" customHeight="1" x14ac:dyDescent="0.25">
      <c r="A12" s="9" t="s">
        <v>7</v>
      </c>
      <c r="B12" s="10" t="s">
        <v>6</v>
      </c>
      <c r="C12" s="11">
        <v>1140.8399999999999</v>
      </c>
    </row>
    <row r="13" spans="1:3" ht="15.75" x14ac:dyDescent="0.25">
      <c r="A13" s="5"/>
      <c r="B13" s="6"/>
      <c r="C13" s="8"/>
    </row>
    <row r="14" spans="1:3" ht="31.5" customHeight="1" x14ac:dyDescent="0.25">
      <c r="A14" s="5" t="s">
        <v>8</v>
      </c>
      <c r="B14" s="6" t="s">
        <v>6</v>
      </c>
      <c r="C14" s="8">
        <f>+ROUND(C12*0.05,2)</f>
        <v>57.04</v>
      </c>
    </row>
    <row r="15" spans="1:3" ht="15.75" x14ac:dyDescent="0.25">
      <c r="A15" s="5"/>
      <c r="B15" s="6"/>
      <c r="C15" s="8"/>
    </row>
    <row r="16" spans="1:3" ht="31.5" customHeight="1" x14ac:dyDescent="0.25">
      <c r="A16" s="9" t="s">
        <v>9</v>
      </c>
      <c r="B16" s="10" t="s">
        <v>6</v>
      </c>
      <c r="C16" s="11">
        <f>+C12-C14</f>
        <v>1083.8</v>
      </c>
    </row>
    <row r="17" spans="1:6" ht="15" customHeight="1" x14ac:dyDescent="0.25">
      <c r="A17" s="5"/>
      <c r="B17" s="5"/>
      <c r="C17" s="8"/>
    </row>
    <row r="18" spans="1:6" ht="31.5" customHeight="1" x14ac:dyDescent="0.25">
      <c r="A18" s="27" t="s">
        <v>20</v>
      </c>
      <c r="B18" s="6" t="s">
        <v>6</v>
      </c>
      <c r="C18" s="8" t="s">
        <v>10</v>
      </c>
    </row>
    <row r="19" spans="1:6" ht="15.75" x14ac:dyDescent="0.25">
      <c r="A19" s="12"/>
      <c r="B19" s="5"/>
      <c r="C19" s="8"/>
    </row>
    <row r="20" spans="1:6" ht="15.75" x14ac:dyDescent="0.25">
      <c r="A20" s="5" t="s">
        <v>11</v>
      </c>
      <c r="B20" s="25" t="s">
        <v>6</v>
      </c>
      <c r="C20" s="24" t="s">
        <v>10</v>
      </c>
    </row>
    <row r="21" spans="1:6" ht="15.75" x14ac:dyDescent="0.25">
      <c r="A21" s="5" t="s">
        <v>12</v>
      </c>
      <c r="B21" s="25"/>
      <c r="C21" s="24"/>
    </row>
    <row r="22" spans="1:6" ht="15.75" x14ac:dyDescent="0.25">
      <c r="A22" s="5"/>
      <c r="B22" s="5"/>
      <c r="C22" s="8"/>
    </row>
    <row r="23" spans="1:6" ht="31.5" customHeight="1" x14ac:dyDescent="0.25">
      <c r="A23" s="9" t="s">
        <v>13</v>
      </c>
      <c r="B23" s="10" t="s">
        <v>6</v>
      </c>
      <c r="C23" s="13" t="s">
        <v>10</v>
      </c>
    </row>
    <row r="24" spans="1:6" ht="15.75" x14ac:dyDescent="0.25">
      <c r="A24" s="5"/>
      <c r="B24" s="6"/>
      <c r="C24" s="8"/>
    </row>
    <row r="25" spans="1:6" ht="31.5" customHeight="1" x14ac:dyDescent="0.25">
      <c r="A25" s="14" t="s">
        <v>14</v>
      </c>
      <c r="B25" s="15" t="s">
        <v>6</v>
      </c>
      <c r="C25" s="16">
        <v>15673.05</v>
      </c>
    </row>
    <row r="26" spans="1:6" ht="15.75" x14ac:dyDescent="0.25">
      <c r="A26" s="5"/>
      <c r="B26" s="5"/>
      <c r="C26" s="8"/>
    </row>
    <row r="27" spans="1:6" ht="31.5" customHeight="1" x14ac:dyDescent="0.25">
      <c r="A27" s="14" t="s">
        <v>15</v>
      </c>
      <c r="B27" s="15" t="s">
        <v>6</v>
      </c>
      <c r="C27" s="16">
        <v>325000</v>
      </c>
      <c r="F27" t="s">
        <v>21</v>
      </c>
    </row>
    <row r="28" spans="1:6" ht="16.5" thickBot="1" x14ac:dyDescent="0.3">
      <c r="A28" s="17"/>
      <c r="B28" s="17"/>
      <c r="C28" s="18"/>
    </row>
    <row r="29" spans="1:6" ht="16.5" thickTop="1" x14ac:dyDescent="0.25">
      <c r="A29" s="19" t="s">
        <v>16</v>
      </c>
      <c r="B29" s="6" t="s">
        <v>6</v>
      </c>
      <c r="C29" s="20">
        <v>600000</v>
      </c>
    </row>
    <row r="30" spans="1:6" ht="15.75" x14ac:dyDescent="0.25">
      <c r="A30" s="19"/>
      <c r="B30" s="5"/>
      <c r="C30" s="21"/>
    </row>
    <row r="31" spans="1:6" ht="15.75" x14ac:dyDescent="0.25">
      <c r="A31" s="19" t="s">
        <v>17</v>
      </c>
      <c r="B31" s="5" t="s">
        <v>18</v>
      </c>
      <c r="C31" s="20">
        <v>600000</v>
      </c>
    </row>
    <row r="32" spans="1:6" ht="15.75" x14ac:dyDescent="0.25">
      <c r="A32" s="19"/>
      <c r="B32" s="5"/>
      <c r="C32" s="21"/>
    </row>
    <row r="33" spans="1:3" ht="32.25" thickBot="1" x14ac:dyDescent="0.3">
      <c r="A33" s="22" t="s">
        <v>19</v>
      </c>
      <c r="B33" s="17"/>
      <c r="C33" s="23">
        <v>46752</v>
      </c>
    </row>
    <row r="34" spans="1:3" ht="15.75" thickTop="1" x14ac:dyDescent="0.25"/>
  </sheetData>
  <mergeCells count="5">
    <mergeCell ref="B20:B21"/>
    <mergeCell ref="C20:C21"/>
    <mergeCell ref="A1:C1"/>
    <mergeCell ref="A2:C2"/>
    <mergeCell ref="A4:C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17247-1EA1-4F7B-80C4-B024CB706059}">
  <dimension ref="A1:F34"/>
  <sheetViews>
    <sheetView showGridLines="0" topLeftCell="A10" workbookViewId="0">
      <selection activeCell="C29" sqref="C29"/>
    </sheetView>
  </sheetViews>
  <sheetFormatPr baseColWidth="10" defaultRowHeight="15" x14ac:dyDescent="0.25"/>
  <cols>
    <col min="1" max="1" width="60.7109375" customWidth="1"/>
    <col min="3" max="3" width="30.7109375" customWidth="1"/>
  </cols>
  <sheetData>
    <row r="1" spans="1:3" ht="18.75" x14ac:dyDescent="0.25">
      <c r="A1" s="26" t="s">
        <v>0</v>
      </c>
      <c r="B1" s="26"/>
      <c r="C1" s="26"/>
    </row>
    <row r="2" spans="1:3" ht="18.75" x14ac:dyDescent="0.25">
      <c r="A2" s="26" t="s">
        <v>1</v>
      </c>
      <c r="B2" s="26"/>
      <c r="C2" s="26"/>
    </row>
    <row r="3" spans="1:3" ht="18.75" x14ac:dyDescent="0.25">
      <c r="A3" s="1"/>
    </row>
    <row r="4" spans="1:3" ht="18.75" x14ac:dyDescent="0.25">
      <c r="A4" s="26" t="s">
        <v>2</v>
      </c>
      <c r="B4" s="26"/>
      <c r="C4" s="26"/>
    </row>
    <row r="5" spans="1:3" ht="20.25" x14ac:dyDescent="0.25">
      <c r="A5" s="2"/>
    </row>
    <row r="6" spans="1:3" ht="18.75" x14ac:dyDescent="0.25">
      <c r="A6" s="3" t="s">
        <v>3</v>
      </c>
    </row>
    <row r="7" spans="1:3" ht="18.75" x14ac:dyDescent="0.25">
      <c r="A7" s="3"/>
    </row>
    <row r="8" spans="1:3" ht="18.75" x14ac:dyDescent="0.25">
      <c r="A8" s="3" t="s">
        <v>22</v>
      </c>
    </row>
    <row r="9" spans="1:3" ht="15.75" x14ac:dyDescent="0.25">
      <c r="A9" s="4"/>
    </row>
    <row r="10" spans="1:3" ht="31.5" customHeight="1" x14ac:dyDescent="0.25">
      <c r="A10" s="5" t="s">
        <v>5</v>
      </c>
      <c r="B10" s="6" t="s">
        <v>6</v>
      </c>
      <c r="C10" s="7">
        <v>83952.73</v>
      </c>
    </row>
    <row r="11" spans="1:3" ht="15.75" x14ac:dyDescent="0.25">
      <c r="A11" s="5"/>
      <c r="B11" s="6"/>
      <c r="C11" s="8"/>
    </row>
    <row r="12" spans="1:3" ht="31.5" customHeight="1" x14ac:dyDescent="0.25">
      <c r="A12" s="9" t="s">
        <v>7</v>
      </c>
      <c r="B12" s="10" t="s">
        <v>6</v>
      </c>
      <c r="C12" s="11">
        <v>1140.8399999999999</v>
      </c>
    </row>
    <row r="13" spans="1:3" ht="15.75" x14ac:dyDescent="0.25">
      <c r="A13" s="5"/>
      <c r="B13" s="6"/>
      <c r="C13" s="8"/>
    </row>
    <row r="14" spans="1:3" ht="31.5" customHeight="1" x14ac:dyDescent="0.25">
      <c r="A14" s="5" t="s">
        <v>8</v>
      </c>
      <c r="B14" s="6" t="s">
        <v>6</v>
      </c>
      <c r="C14" s="8">
        <f>+ROUND(C12*0.05,2)</f>
        <v>57.04</v>
      </c>
    </row>
    <row r="15" spans="1:3" ht="15.75" x14ac:dyDescent="0.25">
      <c r="A15" s="5"/>
      <c r="B15" s="6"/>
      <c r="C15" s="8"/>
    </row>
    <row r="16" spans="1:3" ht="31.5" customHeight="1" x14ac:dyDescent="0.25">
      <c r="A16" s="9" t="s">
        <v>9</v>
      </c>
      <c r="B16" s="10" t="s">
        <v>6</v>
      </c>
      <c r="C16" s="11">
        <f>+C12-C14</f>
        <v>1083.8</v>
      </c>
    </row>
    <row r="17" spans="1:6" ht="15" customHeight="1" x14ac:dyDescent="0.25">
      <c r="A17" s="5"/>
      <c r="B17" s="5"/>
      <c r="C17" s="8"/>
    </row>
    <row r="18" spans="1:6" ht="31.5" customHeight="1" x14ac:dyDescent="0.25">
      <c r="A18" s="27" t="s">
        <v>20</v>
      </c>
      <c r="B18" s="6" t="s">
        <v>6</v>
      </c>
      <c r="C18" s="28">
        <v>4250</v>
      </c>
    </row>
    <row r="19" spans="1:6" ht="15.75" x14ac:dyDescent="0.25">
      <c r="A19" s="12"/>
      <c r="B19" s="5"/>
      <c r="C19" s="8"/>
    </row>
    <row r="20" spans="1:6" ht="15.75" x14ac:dyDescent="0.25">
      <c r="A20" s="5" t="s">
        <v>11</v>
      </c>
      <c r="B20" s="25" t="s">
        <v>6</v>
      </c>
      <c r="C20" s="24" t="s">
        <v>10</v>
      </c>
    </row>
    <row r="21" spans="1:6" ht="15.75" x14ac:dyDescent="0.25">
      <c r="A21" s="5" t="s">
        <v>12</v>
      </c>
      <c r="B21" s="25"/>
      <c r="C21" s="24"/>
    </row>
    <row r="22" spans="1:6" ht="15.75" x14ac:dyDescent="0.25">
      <c r="A22" s="5"/>
      <c r="B22" s="5"/>
      <c r="C22" s="8"/>
    </row>
    <row r="23" spans="1:6" ht="31.5" customHeight="1" x14ac:dyDescent="0.25">
      <c r="A23" s="9" t="s">
        <v>13</v>
      </c>
      <c r="B23" s="10" t="s">
        <v>6</v>
      </c>
      <c r="C23" s="13" t="s">
        <v>10</v>
      </c>
    </row>
    <row r="24" spans="1:6" ht="15.75" x14ac:dyDescent="0.25">
      <c r="A24" s="5"/>
      <c r="B24" s="6"/>
      <c r="C24" s="8"/>
    </row>
    <row r="25" spans="1:6" ht="31.5" customHeight="1" x14ac:dyDescent="0.25">
      <c r="A25" s="14" t="s">
        <v>14</v>
      </c>
      <c r="B25" s="15" t="s">
        <v>6</v>
      </c>
      <c r="C25" s="16">
        <f>+C16</f>
        <v>1083.8</v>
      </c>
    </row>
    <row r="26" spans="1:6" ht="15.75" x14ac:dyDescent="0.25">
      <c r="A26" s="5"/>
      <c r="B26" s="5"/>
      <c r="C26" s="8"/>
    </row>
    <row r="27" spans="1:6" ht="31.5" customHeight="1" x14ac:dyDescent="0.25">
      <c r="A27" s="14" t="s">
        <v>15</v>
      </c>
      <c r="B27" s="15" t="s">
        <v>6</v>
      </c>
      <c r="C27" s="16">
        <f>+C10-C18</f>
        <v>79702.73</v>
      </c>
      <c r="F27" t="s">
        <v>21</v>
      </c>
    </row>
    <row r="28" spans="1:6" ht="16.5" thickBot="1" x14ac:dyDescent="0.3">
      <c r="A28" s="17"/>
      <c r="B28" s="17"/>
      <c r="C28" s="18"/>
    </row>
    <row r="29" spans="1:6" ht="16.5" thickTop="1" x14ac:dyDescent="0.25">
      <c r="A29" s="19" t="s">
        <v>16</v>
      </c>
      <c r="B29" s="6" t="s">
        <v>6</v>
      </c>
      <c r="C29" s="20">
        <f>+C10-C27-C18</f>
        <v>0</v>
      </c>
    </row>
    <row r="30" spans="1:6" ht="15.75" x14ac:dyDescent="0.25">
      <c r="A30" s="19"/>
      <c r="B30" s="5"/>
      <c r="C30" s="21"/>
    </row>
    <row r="31" spans="1:6" ht="15.75" x14ac:dyDescent="0.25">
      <c r="A31" s="19" t="s">
        <v>17</v>
      </c>
      <c r="B31" s="5" t="s">
        <v>18</v>
      </c>
      <c r="C31" s="20">
        <v>0</v>
      </c>
    </row>
    <row r="32" spans="1:6" ht="15.75" x14ac:dyDescent="0.25">
      <c r="A32" s="19"/>
      <c r="B32" s="5"/>
      <c r="C32" s="21"/>
    </row>
    <row r="33" spans="1:3" ht="32.25" thickBot="1" x14ac:dyDescent="0.3">
      <c r="A33" s="22" t="s">
        <v>19</v>
      </c>
      <c r="B33" s="17"/>
      <c r="C33" s="23">
        <v>46752</v>
      </c>
    </row>
    <row r="34" spans="1:3" ht="15.75" thickTop="1" x14ac:dyDescent="0.25"/>
  </sheetData>
  <mergeCells count="5">
    <mergeCell ref="A1:C1"/>
    <mergeCell ref="A2:C2"/>
    <mergeCell ref="A4:C4"/>
    <mergeCell ref="B20:B21"/>
    <mergeCell ref="C20:C2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852D-9B55-4037-8F0E-E453DA8737AB}">
  <dimension ref="A1:F34"/>
  <sheetViews>
    <sheetView showGridLines="0" topLeftCell="A8" workbookViewId="0">
      <selection activeCell="C23" sqref="C23"/>
    </sheetView>
  </sheetViews>
  <sheetFormatPr baseColWidth="10" defaultRowHeight="15" x14ac:dyDescent="0.25"/>
  <cols>
    <col min="1" max="1" width="60.7109375" customWidth="1"/>
    <col min="3" max="3" width="30.7109375" customWidth="1"/>
  </cols>
  <sheetData>
    <row r="1" spans="1:3" ht="18.75" x14ac:dyDescent="0.25">
      <c r="A1" s="26" t="s">
        <v>0</v>
      </c>
      <c r="B1" s="26"/>
      <c r="C1" s="26"/>
    </row>
    <row r="2" spans="1:3" ht="18.75" x14ac:dyDescent="0.25">
      <c r="A2" s="26" t="s">
        <v>1</v>
      </c>
      <c r="B2" s="26"/>
      <c r="C2" s="26"/>
    </row>
    <row r="3" spans="1:3" ht="18.75" x14ac:dyDescent="0.25">
      <c r="A3" s="1"/>
    </row>
    <row r="4" spans="1:3" ht="18.75" x14ac:dyDescent="0.25">
      <c r="A4" s="26" t="s">
        <v>2</v>
      </c>
      <c r="B4" s="26"/>
      <c r="C4" s="26"/>
    </row>
    <row r="5" spans="1:3" ht="20.25" x14ac:dyDescent="0.25">
      <c r="A5" s="2"/>
    </row>
    <row r="6" spans="1:3" ht="18.75" x14ac:dyDescent="0.25">
      <c r="A6" s="3" t="s">
        <v>3</v>
      </c>
    </row>
    <row r="7" spans="1:3" ht="18.75" x14ac:dyDescent="0.25">
      <c r="A7" s="3"/>
    </row>
    <row r="8" spans="1:3" ht="18.75" x14ac:dyDescent="0.25">
      <c r="A8" s="3" t="s">
        <v>23</v>
      </c>
    </row>
    <row r="9" spans="1:3" ht="15.75" x14ac:dyDescent="0.25">
      <c r="A9" s="4"/>
    </row>
    <row r="10" spans="1:3" ht="31.5" customHeight="1" x14ac:dyDescent="0.25">
      <c r="A10" s="5" t="s">
        <v>5</v>
      </c>
      <c r="B10" s="6" t="s">
        <v>6</v>
      </c>
      <c r="C10" s="28">
        <v>100643.85</v>
      </c>
    </row>
    <row r="11" spans="1:3" ht="15.75" x14ac:dyDescent="0.25">
      <c r="A11" s="5"/>
      <c r="B11" s="6"/>
      <c r="C11" s="28"/>
    </row>
    <row r="12" spans="1:3" ht="31.5" customHeight="1" x14ac:dyDescent="0.25">
      <c r="A12" s="9" t="s">
        <v>7</v>
      </c>
      <c r="B12" s="10" t="s">
        <v>6</v>
      </c>
      <c r="C12" s="29">
        <v>1624.09</v>
      </c>
    </row>
    <row r="13" spans="1:3" ht="15.75" x14ac:dyDescent="0.25">
      <c r="A13" s="5"/>
      <c r="B13" s="6"/>
      <c r="C13" s="28"/>
    </row>
    <row r="14" spans="1:3" ht="31.5" customHeight="1" x14ac:dyDescent="0.25">
      <c r="A14" s="5" t="s">
        <v>8</v>
      </c>
      <c r="B14" s="6" t="s">
        <v>6</v>
      </c>
      <c r="C14" s="28">
        <f>+ROUND(C12*0.05,2)</f>
        <v>81.2</v>
      </c>
    </row>
    <row r="15" spans="1:3" ht="15.75" x14ac:dyDescent="0.25">
      <c r="A15" s="5"/>
      <c r="B15" s="6"/>
      <c r="C15" s="28"/>
    </row>
    <row r="16" spans="1:3" ht="31.5" customHeight="1" x14ac:dyDescent="0.25">
      <c r="A16" s="9" t="s">
        <v>9</v>
      </c>
      <c r="B16" s="10" t="s">
        <v>6</v>
      </c>
      <c r="C16" s="29">
        <f>+C12-C14</f>
        <v>1542.8899999999999</v>
      </c>
    </row>
    <row r="17" spans="1:6" ht="15" customHeight="1" x14ac:dyDescent="0.25">
      <c r="A17" s="5"/>
      <c r="B17" s="5"/>
      <c r="C17" s="28"/>
    </row>
    <row r="18" spans="1:6" ht="31.5" customHeight="1" x14ac:dyDescent="0.25">
      <c r="A18" s="27" t="s">
        <v>20</v>
      </c>
      <c r="B18" s="6" t="s">
        <v>6</v>
      </c>
      <c r="C18" s="28">
        <v>0</v>
      </c>
    </row>
    <row r="19" spans="1:6" ht="15.75" x14ac:dyDescent="0.25">
      <c r="A19" s="12"/>
      <c r="B19" s="5"/>
      <c r="C19" s="28"/>
    </row>
    <row r="20" spans="1:6" ht="15.75" x14ac:dyDescent="0.25">
      <c r="A20" s="5" t="s">
        <v>11</v>
      </c>
      <c r="B20" s="25" t="s">
        <v>6</v>
      </c>
      <c r="C20" s="30">
        <v>0</v>
      </c>
    </row>
    <row r="21" spans="1:6" ht="15.75" x14ac:dyDescent="0.25">
      <c r="A21" s="5" t="s">
        <v>12</v>
      </c>
      <c r="B21" s="25"/>
      <c r="C21" s="30"/>
    </row>
    <row r="22" spans="1:6" ht="15.75" x14ac:dyDescent="0.25">
      <c r="A22" s="5"/>
      <c r="B22" s="5"/>
      <c r="C22" s="28"/>
    </row>
    <row r="23" spans="1:6" ht="31.5" customHeight="1" x14ac:dyDescent="0.25">
      <c r="A23" s="9" t="s">
        <v>13</v>
      </c>
      <c r="B23" s="10" t="s">
        <v>6</v>
      </c>
      <c r="C23" s="29">
        <v>0</v>
      </c>
    </row>
    <row r="24" spans="1:6" ht="15.75" x14ac:dyDescent="0.25">
      <c r="A24" s="5"/>
      <c r="B24" s="6"/>
      <c r="C24" s="28"/>
    </row>
    <row r="25" spans="1:6" ht="31.5" customHeight="1" x14ac:dyDescent="0.25">
      <c r="A25" s="14" t="s">
        <v>14</v>
      </c>
      <c r="B25" s="15" t="s">
        <v>6</v>
      </c>
      <c r="C25" s="31">
        <f>+C16</f>
        <v>1542.8899999999999</v>
      </c>
    </row>
    <row r="26" spans="1:6" ht="15.75" x14ac:dyDescent="0.25">
      <c r="A26" s="5"/>
      <c r="B26" s="5"/>
      <c r="C26" s="28"/>
    </row>
    <row r="27" spans="1:6" ht="31.5" customHeight="1" x14ac:dyDescent="0.25">
      <c r="A27" s="14" t="s">
        <v>15</v>
      </c>
      <c r="B27" s="15" t="s">
        <v>6</v>
      </c>
      <c r="C27" s="31">
        <f>+C10-80000</f>
        <v>20643.850000000006</v>
      </c>
      <c r="F27" t="s">
        <v>21</v>
      </c>
    </row>
    <row r="28" spans="1:6" ht="16.5" thickBot="1" x14ac:dyDescent="0.3">
      <c r="A28" s="17"/>
      <c r="B28" s="17"/>
      <c r="C28" s="32"/>
    </row>
    <row r="29" spans="1:6" ht="16.5" thickTop="1" x14ac:dyDescent="0.25">
      <c r="A29" s="19" t="s">
        <v>16</v>
      </c>
      <c r="B29" s="6" t="s">
        <v>6</v>
      </c>
      <c r="C29" s="33">
        <f>+C10-C27-C18</f>
        <v>80000</v>
      </c>
    </row>
    <row r="30" spans="1:6" ht="15.75" x14ac:dyDescent="0.25">
      <c r="A30" s="19"/>
      <c r="B30" s="5"/>
      <c r="C30" s="34"/>
    </row>
    <row r="31" spans="1:6" ht="15.75" x14ac:dyDescent="0.25">
      <c r="A31" s="19" t="s">
        <v>17</v>
      </c>
      <c r="B31" s="5" t="s">
        <v>18</v>
      </c>
      <c r="C31" s="35">
        <f>+C29/1</f>
        <v>80000</v>
      </c>
    </row>
    <row r="32" spans="1:6" ht="15.75" x14ac:dyDescent="0.25">
      <c r="A32" s="19"/>
      <c r="B32" s="5"/>
      <c r="C32" s="34"/>
    </row>
    <row r="33" spans="1:3" ht="32.25" thickBot="1" x14ac:dyDescent="0.3">
      <c r="A33" s="22" t="s">
        <v>19</v>
      </c>
      <c r="B33" s="17"/>
      <c r="C33" s="23">
        <v>46752</v>
      </c>
    </row>
    <row r="34" spans="1:3" ht="15.75" thickTop="1" x14ac:dyDescent="0.25"/>
  </sheetData>
  <mergeCells count="5">
    <mergeCell ref="A1:C1"/>
    <mergeCell ref="A2:C2"/>
    <mergeCell ref="A4:C4"/>
    <mergeCell ref="B20:B21"/>
    <mergeCell ref="C20:C2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Yanneth</vt:lpstr>
      <vt:lpstr>Tejada</vt:lpstr>
      <vt:lpstr>Aravena</vt:lpstr>
      <vt:lpstr>Aravena!_Hlk492493802</vt:lpstr>
      <vt:lpstr>Tejada!_Hlk492493802</vt:lpstr>
      <vt:lpstr>Yanneth!_Hlk492493802</vt:lpstr>
      <vt:lpstr>Aravena!_Hlk66729397</vt:lpstr>
      <vt:lpstr>Tejada!_Hlk66729397</vt:lpstr>
      <vt:lpstr>Yanneth!_Hlk66729397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 Gallo P</dc:creator>
  <cp:lastModifiedBy>Juan R Gallo P</cp:lastModifiedBy>
  <dcterms:created xsi:type="dcterms:W3CDTF">2026-09-18T22:43:03Z</dcterms:created>
  <dcterms:modified xsi:type="dcterms:W3CDTF">2026-09-18T23:07:06Z</dcterms:modified>
</cp:coreProperties>
</file>