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622CE7E2-9B63-4AA3-B80B-988494ED34B9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NSGPEN01" sheetId="1" r:id="rId1"/>
    <sheet name="NSGPEN02" sheetId="2" r:id="rId2"/>
    <sheet name="NSGPEN03" sheetId="3" r:id="rId3"/>
    <sheet name="NSGUSD01" sheetId="4" r:id="rId4"/>
    <sheet name="NSGUSD02" sheetId="5" r:id="rId5"/>
    <sheet name="NSLCON0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6" i="5" l="1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146" i="5"/>
  <c r="BJ146" i="5" s="1"/>
  <c r="D80" i="5"/>
  <c r="C80" i="5"/>
  <c r="B140" i="5"/>
  <c r="B138" i="5"/>
  <c r="B136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B85" i="5"/>
  <c r="B86" i="5" s="1"/>
  <c r="B81" i="5"/>
  <c r="C79" i="5" s="1"/>
  <c r="B78" i="5"/>
  <c r="N69" i="5"/>
  <c r="M69" i="5"/>
  <c r="L69" i="5"/>
  <c r="B57" i="4"/>
  <c r="B53" i="4"/>
  <c r="C53" i="4"/>
  <c r="D53" i="4"/>
  <c r="E53" i="4"/>
  <c r="B59" i="4"/>
  <c r="B55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B41" i="4"/>
  <c r="B42" i="4" s="1"/>
  <c r="B37" i="4"/>
  <c r="C35" i="4" s="1"/>
  <c r="B34" i="4"/>
  <c r="N25" i="4"/>
  <c r="M25" i="4"/>
  <c r="L25" i="4"/>
  <c r="B191" i="3"/>
  <c r="B189" i="3"/>
  <c r="B187" i="3"/>
  <c r="BH185" i="3"/>
  <c r="BG185" i="3"/>
  <c r="BF185" i="3"/>
  <c r="BE185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B109" i="3"/>
  <c r="B110" i="3" s="1"/>
  <c r="B194" i="3" s="1"/>
  <c r="C100" i="3" s="1"/>
  <c r="B105" i="3"/>
  <c r="B102" i="3"/>
  <c r="N93" i="3"/>
  <c r="M93" i="3"/>
  <c r="L93" i="3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103" i="2"/>
  <c r="B97" i="2"/>
  <c r="BJ97" i="2" s="1"/>
  <c r="B95" i="2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C115" i="1"/>
  <c r="B116" i="1"/>
  <c r="B115" i="1"/>
  <c r="B93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B62" i="2"/>
  <c r="B63" i="2" s="1"/>
  <c r="B58" i="2"/>
  <c r="C56" i="2" s="1"/>
  <c r="B55" i="2"/>
  <c r="N46" i="2"/>
  <c r="M46" i="2"/>
  <c r="L46" i="2"/>
  <c r="M50" i="1"/>
  <c r="N50" i="1"/>
  <c r="L50" i="1"/>
  <c r="B113" i="1"/>
  <c r="B111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10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69" i="1"/>
  <c r="B125" i="1"/>
  <c r="B126" i="1" s="1"/>
  <c r="B66" i="1"/>
  <c r="B62" i="1"/>
  <c r="C60" i="1" s="1"/>
  <c r="B59" i="1"/>
  <c r="C81" i="5" l="1"/>
  <c r="D79" i="5" s="1"/>
  <c r="D81" i="5" s="1"/>
  <c r="B141" i="5"/>
  <c r="B143" i="5" s="1"/>
  <c r="BJ134" i="5"/>
  <c r="B62" i="4"/>
  <c r="BJ53" i="4"/>
  <c r="B60" i="4"/>
  <c r="C191" i="3"/>
  <c r="C189" i="3"/>
  <c r="C187" i="3"/>
  <c r="C192" i="3" s="1"/>
  <c r="C110" i="3"/>
  <c r="C102" i="3"/>
  <c r="C194" i="3" s="1"/>
  <c r="D100" i="3" s="1"/>
  <c r="B195" i="3"/>
  <c r="B197" i="3" s="1"/>
  <c r="C103" i="3"/>
  <c r="BJ185" i="3"/>
  <c r="B192" i="3"/>
  <c r="B100" i="2"/>
  <c r="BJ115" i="1"/>
  <c r="BJ91" i="2"/>
  <c r="BJ109" i="1"/>
  <c r="B67" i="1"/>
  <c r="B118" i="1" s="1"/>
  <c r="B144" i="5" l="1"/>
  <c r="C82" i="5" s="1"/>
  <c r="C76" i="5"/>
  <c r="E79" i="5"/>
  <c r="C32" i="4"/>
  <c r="B63" i="4"/>
  <c r="D189" i="3"/>
  <c r="D191" i="3"/>
  <c r="D187" i="3"/>
  <c r="D110" i="3"/>
  <c r="D102" i="3"/>
  <c r="C106" i="3"/>
  <c r="C104" i="3"/>
  <c r="C105" i="3" s="1"/>
  <c r="B101" i="2"/>
  <c r="C53" i="2"/>
  <c r="C57" i="1"/>
  <c r="B119" i="1"/>
  <c r="C63" i="1" s="1"/>
  <c r="C136" i="5" l="1"/>
  <c r="C141" i="5" s="1"/>
  <c r="C143" i="5" s="1"/>
  <c r="C78" i="5"/>
  <c r="C140" i="5"/>
  <c r="C138" i="5"/>
  <c r="C86" i="5"/>
  <c r="C34" i="4"/>
  <c r="C57" i="4"/>
  <c r="C59" i="4"/>
  <c r="C42" i="4"/>
  <c r="C62" i="4" s="1"/>
  <c r="D32" i="4" s="1"/>
  <c r="C55" i="4"/>
  <c r="C36" i="4"/>
  <c r="C37" i="4" s="1"/>
  <c r="B65" i="4"/>
  <c r="C38" i="4"/>
  <c r="D194" i="3"/>
  <c r="E100" i="3" s="1"/>
  <c r="D192" i="3"/>
  <c r="E191" i="3"/>
  <c r="E187" i="3"/>
  <c r="E189" i="3"/>
  <c r="E110" i="3"/>
  <c r="E102" i="3"/>
  <c r="D103" i="3"/>
  <c r="C195" i="3"/>
  <c r="C197" i="3" s="1"/>
  <c r="C57" i="2"/>
  <c r="C58" i="2" s="1"/>
  <c r="D56" i="2" s="1"/>
  <c r="C59" i="2"/>
  <c r="C93" i="2"/>
  <c r="C95" i="2"/>
  <c r="C63" i="2"/>
  <c r="C55" i="2"/>
  <c r="C67" i="1"/>
  <c r="C111" i="1"/>
  <c r="C113" i="1"/>
  <c r="C59" i="1"/>
  <c r="C118" i="1" s="1"/>
  <c r="B121" i="1"/>
  <c r="C61" i="1"/>
  <c r="C62" i="1" s="1"/>
  <c r="D60" i="1" s="1"/>
  <c r="C144" i="5" l="1"/>
  <c r="D82" i="5" s="1"/>
  <c r="D76" i="5"/>
  <c r="C60" i="4"/>
  <c r="D34" i="4"/>
  <c r="D59" i="4"/>
  <c r="D42" i="4"/>
  <c r="D55" i="4"/>
  <c r="D57" i="4"/>
  <c r="C63" i="4"/>
  <c r="D35" i="4"/>
  <c r="C65" i="4"/>
  <c r="E192" i="3"/>
  <c r="E194" i="3"/>
  <c r="F100" i="3" s="1"/>
  <c r="F110" i="3" s="1"/>
  <c r="D106" i="3"/>
  <c r="D104" i="3"/>
  <c r="D105" i="3" s="1"/>
  <c r="C100" i="2"/>
  <c r="D57" i="1"/>
  <c r="C119" i="1"/>
  <c r="D63" i="1" s="1"/>
  <c r="C116" i="1"/>
  <c r="D78" i="5" l="1"/>
  <c r="D86" i="5"/>
  <c r="D140" i="5"/>
  <c r="D136" i="5"/>
  <c r="D138" i="5"/>
  <c r="D36" i="4"/>
  <c r="D37" i="4" s="1"/>
  <c r="E35" i="4" s="1"/>
  <c r="D38" i="4"/>
  <c r="D62" i="4"/>
  <c r="D60" i="4"/>
  <c r="F102" i="3"/>
  <c r="F194" i="3" s="1"/>
  <c r="G100" i="3" s="1"/>
  <c r="F191" i="3"/>
  <c r="F189" i="3"/>
  <c r="F187" i="3"/>
  <c r="D195" i="3"/>
  <c r="D197" i="3" s="1"/>
  <c r="E103" i="3"/>
  <c r="D53" i="2"/>
  <c r="C101" i="2"/>
  <c r="D67" i="1"/>
  <c r="D59" i="1"/>
  <c r="D118" i="1" s="1"/>
  <c r="C121" i="1"/>
  <c r="D61" i="1"/>
  <c r="D62" i="1" s="1"/>
  <c r="E60" i="1" s="1"/>
  <c r="D141" i="5" l="1"/>
  <c r="D143" i="5" s="1"/>
  <c r="E32" i="4"/>
  <c r="D63" i="4"/>
  <c r="G110" i="3"/>
  <c r="G102" i="3"/>
  <c r="G194" i="3" s="1"/>
  <c r="H100" i="3" s="1"/>
  <c r="G187" i="3"/>
  <c r="G189" i="3"/>
  <c r="G191" i="3"/>
  <c r="F192" i="3"/>
  <c r="H191" i="3"/>
  <c r="H189" i="3"/>
  <c r="H187" i="3"/>
  <c r="H102" i="3"/>
  <c r="H110" i="3"/>
  <c r="E106" i="3"/>
  <c r="E104" i="3"/>
  <c r="E105" i="3" s="1"/>
  <c r="D95" i="2"/>
  <c r="D93" i="2"/>
  <c r="D55" i="2"/>
  <c r="D63" i="2"/>
  <c r="D59" i="2"/>
  <c r="D57" i="2"/>
  <c r="D58" i="2" s="1"/>
  <c r="E56" i="2" s="1"/>
  <c r="D116" i="1"/>
  <c r="E76" i="5" l="1"/>
  <c r="D144" i="5"/>
  <c r="E55" i="4"/>
  <c r="E59" i="4"/>
  <c r="E57" i="4"/>
  <c r="E42" i="4"/>
  <c r="E34" i="4"/>
  <c r="E36" i="4"/>
  <c r="E37" i="4" s="1"/>
  <c r="F35" i="4" s="1"/>
  <c r="E38" i="4"/>
  <c r="D65" i="4"/>
  <c r="G192" i="3"/>
  <c r="H192" i="3"/>
  <c r="H194" i="3"/>
  <c r="I100" i="3" s="1"/>
  <c r="E195" i="3"/>
  <c r="E197" i="3" s="1"/>
  <c r="F103" i="3"/>
  <c r="D98" i="2"/>
  <c r="D100" i="2"/>
  <c r="D119" i="1"/>
  <c r="E63" i="1" s="1"/>
  <c r="E57" i="1"/>
  <c r="E82" i="5" l="1"/>
  <c r="E80" i="5"/>
  <c r="E81" i="5" s="1"/>
  <c r="F79" i="5" s="1"/>
  <c r="E78" i="5"/>
  <c r="E136" i="5"/>
  <c r="E86" i="5"/>
  <c r="E138" i="5"/>
  <c r="E140" i="5"/>
  <c r="E62" i="4"/>
  <c r="E63" i="4"/>
  <c r="F32" i="4"/>
  <c r="E60" i="4"/>
  <c r="I191" i="3"/>
  <c r="I189" i="3"/>
  <c r="I187" i="3"/>
  <c r="I102" i="3"/>
  <c r="I110" i="3"/>
  <c r="F104" i="3"/>
  <c r="F105" i="3" s="1"/>
  <c r="F106" i="3"/>
  <c r="D101" i="2"/>
  <c r="E53" i="2"/>
  <c r="E61" i="1"/>
  <c r="E62" i="1" s="1"/>
  <c r="F60" i="1" s="1"/>
  <c r="D121" i="1"/>
  <c r="E59" i="1"/>
  <c r="E118" i="1" s="1"/>
  <c r="E67" i="1"/>
  <c r="E141" i="5" l="1"/>
  <c r="E143" i="5" s="1"/>
  <c r="F36" i="4"/>
  <c r="F37" i="4" s="1"/>
  <c r="G35" i="4" s="1"/>
  <c r="F38" i="4"/>
  <c r="E65" i="4"/>
  <c r="F34" i="4"/>
  <c r="F59" i="4"/>
  <c r="F55" i="4"/>
  <c r="F42" i="4"/>
  <c r="F57" i="4"/>
  <c r="I192" i="3"/>
  <c r="I194" i="3"/>
  <c r="J100" i="3" s="1"/>
  <c r="F195" i="3"/>
  <c r="F197" i="3" s="1"/>
  <c r="G103" i="3"/>
  <c r="E57" i="2"/>
  <c r="E58" i="2" s="1"/>
  <c r="F56" i="2" s="1"/>
  <c r="E59" i="2"/>
  <c r="E55" i="2"/>
  <c r="E63" i="2"/>
  <c r="E93" i="2"/>
  <c r="E95" i="2"/>
  <c r="E116" i="1"/>
  <c r="F76" i="5" l="1"/>
  <c r="E144" i="5"/>
  <c r="F62" i="4"/>
  <c r="F60" i="4"/>
  <c r="J191" i="3"/>
  <c r="J187" i="3"/>
  <c r="J189" i="3"/>
  <c r="J102" i="3"/>
  <c r="J110" i="3"/>
  <c r="G106" i="3"/>
  <c r="G104" i="3"/>
  <c r="G105" i="3" s="1"/>
  <c r="E98" i="2"/>
  <c r="E100" i="2"/>
  <c r="F57" i="1"/>
  <c r="E119" i="1"/>
  <c r="F63" i="1" s="1"/>
  <c r="F82" i="5" l="1"/>
  <c r="F80" i="5"/>
  <c r="F81" i="5" s="1"/>
  <c r="G79" i="5" s="1"/>
  <c r="F78" i="5"/>
  <c r="F140" i="5"/>
  <c r="F138" i="5"/>
  <c r="F86" i="5"/>
  <c r="F136" i="5"/>
  <c r="F141" i="5" s="1"/>
  <c r="F143" i="5" s="1"/>
  <c r="F63" i="4"/>
  <c r="G32" i="4"/>
  <c r="J192" i="3"/>
  <c r="J194" i="3"/>
  <c r="K100" i="3" s="1"/>
  <c r="H103" i="3"/>
  <c r="G195" i="3"/>
  <c r="G197" i="3" s="1"/>
  <c r="E101" i="2"/>
  <c r="F53" i="2"/>
  <c r="F67" i="1"/>
  <c r="F59" i="1"/>
  <c r="F61" i="1"/>
  <c r="F62" i="1" s="1"/>
  <c r="G60" i="1" s="1"/>
  <c r="E121" i="1"/>
  <c r="G76" i="5" l="1"/>
  <c r="F144" i="5"/>
  <c r="F65" i="4"/>
  <c r="G36" i="4"/>
  <c r="G37" i="4" s="1"/>
  <c r="H35" i="4" s="1"/>
  <c r="G38" i="4"/>
  <c r="G59" i="4"/>
  <c r="G55" i="4"/>
  <c r="G42" i="4"/>
  <c r="G57" i="4"/>
  <c r="G34" i="4"/>
  <c r="K110" i="3"/>
  <c r="K102" i="3"/>
  <c r="K194" i="3"/>
  <c r="L100" i="3" s="1"/>
  <c r="K191" i="3"/>
  <c r="K187" i="3"/>
  <c r="K189" i="3"/>
  <c r="L191" i="3"/>
  <c r="L189" i="3"/>
  <c r="L187" i="3"/>
  <c r="L110" i="3"/>
  <c r="L102" i="3"/>
  <c r="H106" i="3"/>
  <c r="H104" i="3"/>
  <c r="H105" i="3" s="1"/>
  <c r="F57" i="2"/>
  <c r="F58" i="2" s="1"/>
  <c r="G56" i="2" s="1"/>
  <c r="F59" i="2"/>
  <c r="F55" i="2"/>
  <c r="F63" i="2"/>
  <c r="F93" i="2"/>
  <c r="F95" i="2"/>
  <c r="F118" i="1"/>
  <c r="F116" i="1"/>
  <c r="F119" i="1"/>
  <c r="G63" i="1" s="1"/>
  <c r="G57" i="1"/>
  <c r="G82" i="5" l="1"/>
  <c r="G80" i="5"/>
  <c r="G81" i="5" s="1"/>
  <c r="H79" i="5" s="1"/>
  <c r="G78" i="5"/>
  <c r="G140" i="5"/>
  <c r="G136" i="5"/>
  <c r="G138" i="5"/>
  <c r="G86" i="5"/>
  <c r="G62" i="4"/>
  <c r="G60" i="4"/>
  <c r="L192" i="3"/>
  <c r="K192" i="3"/>
  <c r="L194" i="3"/>
  <c r="M100" i="3" s="1"/>
  <c r="M110" i="3"/>
  <c r="M102" i="3"/>
  <c r="I103" i="3"/>
  <c r="H195" i="3"/>
  <c r="H197" i="3" s="1"/>
  <c r="F100" i="2"/>
  <c r="F101" i="2"/>
  <c r="G53" i="2"/>
  <c r="F98" i="2"/>
  <c r="F121" i="1"/>
  <c r="G61" i="1"/>
  <c r="G62" i="1" s="1"/>
  <c r="G59" i="1"/>
  <c r="G67" i="1"/>
  <c r="G141" i="5" l="1"/>
  <c r="G143" i="5" s="1"/>
  <c r="H32" i="4"/>
  <c r="G63" i="4"/>
  <c r="M187" i="3"/>
  <c r="M189" i="3"/>
  <c r="M191" i="3"/>
  <c r="M194" i="3"/>
  <c r="N100" i="3" s="1"/>
  <c r="I106" i="3"/>
  <c r="I104" i="3"/>
  <c r="I105" i="3" s="1"/>
  <c r="G57" i="2"/>
  <c r="G58" i="2" s="1"/>
  <c r="H56" i="2" s="1"/>
  <c r="G59" i="2"/>
  <c r="G55" i="2"/>
  <c r="G63" i="2"/>
  <c r="G93" i="2"/>
  <c r="G95" i="2"/>
  <c r="G118" i="1"/>
  <c r="H57" i="1" s="1"/>
  <c r="G119" i="1"/>
  <c r="H63" i="1" s="1"/>
  <c r="H60" i="1"/>
  <c r="G116" i="1"/>
  <c r="G144" i="5" l="1"/>
  <c r="H76" i="5"/>
  <c r="H59" i="4"/>
  <c r="H57" i="4"/>
  <c r="H55" i="4"/>
  <c r="H60" i="4" s="1"/>
  <c r="H34" i="4"/>
  <c r="H62" i="4" s="1"/>
  <c r="H42" i="4"/>
  <c r="H36" i="4"/>
  <c r="H37" i="4" s="1"/>
  <c r="I35" i="4" s="1"/>
  <c r="G65" i="4"/>
  <c r="H38" i="4"/>
  <c r="N110" i="3"/>
  <c r="N102" i="3"/>
  <c r="M192" i="3"/>
  <c r="N189" i="3"/>
  <c r="N187" i="3"/>
  <c r="N191" i="3"/>
  <c r="N194" i="3"/>
  <c r="O100" i="3" s="1"/>
  <c r="I195" i="3"/>
  <c r="I197" i="3" s="1"/>
  <c r="J103" i="3"/>
  <c r="G100" i="2"/>
  <c r="H53" i="2"/>
  <c r="G101" i="2"/>
  <c r="G98" i="2"/>
  <c r="H59" i="1"/>
  <c r="H67" i="1"/>
  <c r="H116" i="1"/>
  <c r="H61" i="1"/>
  <c r="H62" i="1" s="1"/>
  <c r="G121" i="1"/>
  <c r="H82" i="5" l="1"/>
  <c r="H80" i="5"/>
  <c r="H81" i="5" s="1"/>
  <c r="I79" i="5" s="1"/>
  <c r="H78" i="5"/>
  <c r="H136" i="5"/>
  <c r="H140" i="5"/>
  <c r="H138" i="5"/>
  <c r="H86" i="5"/>
  <c r="H63" i="4"/>
  <c r="I32" i="4"/>
  <c r="O110" i="3"/>
  <c r="O102" i="3"/>
  <c r="O194" i="3"/>
  <c r="P100" i="3" s="1"/>
  <c r="O189" i="3"/>
  <c r="O187" i="3"/>
  <c r="O191" i="3"/>
  <c r="N192" i="3"/>
  <c r="P189" i="3"/>
  <c r="P187" i="3"/>
  <c r="P191" i="3"/>
  <c r="P110" i="3"/>
  <c r="P102" i="3"/>
  <c r="J104" i="3"/>
  <c r="J105" i="3" s="1"/>
  <c r="J106" i="3"/>
  <c r="H63" i="2"/>
  <c r="H55" i="2"/>
  <c r="H93" i="2"/>
  <c r="H95" i="2"/>
  <c r="H59" i="2"/>
  <c r="H57" i="2"/>
  <c r="H58" i="2" s="1"/>
  <c r="I56" i="2" s="1"/>
  <c r="H118" i="1"/>
  <c r="I57" i="1" s="1"/>
  <c r="H119" i="1"/>
  <c r="I63" i="1" s="1"/>
  <c r="I60" i="1"/>
  <c r="H121" i="1"/>
  <c r="I61" i="1"/>
  <c r="I62" i="1" s="1"/>
  <c r="H141" i="5" l="1"/>
  <c r="H143" i="5" s="1"/>
  <c r="I38" i="4"/>
  <c r="H65" i="4"/>
  <c r="I36" i="4"/>
  <c r="I37" i="4" s="1"/>
  <c r="J35" i="4" s="1"/>
  <c r="I59" i="4"/>
  <c r="I42" i="4"/>
  <c r="I55" i="4"/>
  <c r="I57" i="4"/>
  <c r="I34" i="4"/>
  <c r="I62" i="4" s="1"/>
  <c r="P194" i="3"/>
  <c r="Q100" i="3" s="1"/>
  <c r="P192" i="3"/>
  <c r="O192" i="3"/>
  <c r="Q191" i="3"/>
  <c r="Q189" i="3"/>
  <c r="Q187" i="3"/>
  <c r="Q110" i="3"/>
  <c r="Q102" i="3"/>
  <c r="Q194" i="3" s="1"/>
  <c r="R100" i="3" s="1"/>
  <c r="J195" i="3"/>
  <c r="J197" i="3" s="1"/>
  <c r="K103" i="3"/>
  <c r="H100" i="2"/>
  <c r="H101" i="2"/>
  <c r="I53" i="2"/>
  <c r="H98" i="2"/>
  <c r="I59" i="1"/>
  <c r="I67" i="1"/>
  <c r="J60" i="1"/>
  <c r="I76" i="5" l="1"/>
  <c r="H144" i="5"/>
  <c r="I63" i="4"/>
  <c r="J32" i="4"/>
  <c r="I60" i="4"/>
  <c r="Q192" i="3"/>
  <c r="R191" i="3"/>
  <c r="R187" i="3"/>
  <c r="R189" i="3"/>
  <c r="R110" i="3"/>
  <c r="R102" i="3"/>
  <c r="K106" i="3"/>
  <c r="K104" i="3"/>
  <c r="K105" i="3" s="1"/>
  <c r="I57" i="2"/>
  <c r="I58" i="2" s="1"/>
  <c r="J56" i="2" s="1"/>
  <c r="I59" i="2"/>
  <c r="I55" i="2"/>
  <c r="I63" i="2"/>
  <c r="I93" i="2"/>
  <c r="I95" i="2"/>
  <c r="I116" i="1"/>
  <c r="I118" i="1"/>
  <c r="I82" i="5" l="1"/>
  <c r="I80" i="5"/>
  <c r="I81" i="5" s="1"/>
  <c r="J79" i="5" s="1"/>
  <c r="I136" i="5"/>
  <c r="I140" i="5"/>
  <c r="I86" i="5"/>
  <c r="I78" i="5"/>
  <c r="I138" i="5"/>
  <c r="I65" i="4"/>
  <c r="J38" i="4"/>
  <c r="J36" i="4"/>
  <c r="J37" i="4" s="1"/>
  <c r="K35" i="4" s="1"/>
  <c r="J42" i="4"/>
  <c r="J55" i="4"/>
  <c r="J57" i="4"/>
  <c r="J59" i="4"/>
  <c r="J34" i="4"/>
  <c r="J62" i="4" s="1"/>
  <c r="J63" i="4"/>
  <c r="K32" i="4"/>
  <c r="R194" i="3"/>
  <c r="S100" i="3" s="1"/>
  <c r="R192" i="3"/>
  <c r="S191" i="3"/>
  <c r="S187" i="3"/>
  <c r="S189" i="3"/>
  <c r="S110" i="3"/>
  <c r="S102" i="3"/>
  <c r="K195" i="3"/>
  <c r="K197" i="3" s="1"/>
  <c r="L103" i="3"/>
  <c r="I98" i="2"/>
  <c r="I100" i="2"/>
  <c r="I119" i="1"/>
  <c r="J57" i="1"/>
  <c r="I141" i="5" l="1"/>
  <c r="I143" i="5" s="1"/>
  <c r="J60" i="4"/>
  <c r="K36" i="4"/>
  <c r="K37" i="4" s="1"/>
  <c r="L35" i="4" s="1"/>
  <c r="K38" i="4"/>
  <c r="J65" i="4"/>
  <c r="K57" i="4"/>
  <c r="K59" i="4"/>
  <c r="K34" i="4"/>
  <c r="K55" i="4"/>
  <c r="K42" i="4"/>
  <c r="S192" i="3"/>
  <c r="S194" i="3"/>
  <c r="T100" i="3" s="1"/>
  <c r="L106" i="3"/>
  <c r="L104" i="3"/>
  <c r="L105" i="3" s="1"/>
  <c r="J53" i="2"/>
  <c r="I101" i="2"/>
  <c r="J61" i="1"/>
  <c r="J62" i="1" s="1"/>
  <c r="K60" i="1" s="1"/>
  <c r="I121" i="1"/>
  <c r="J63" i="1"/>
  <c r="J67" i="1"/>
  <c r="J59" i="1"/>
  <c r="J118" i="1" s="1"/>
  <c r="J116" i="1"/>
  <c r="I144" i="5" l="1"/>
  <c r="J76" i="5"/>
  <c r="K60" i="4"/>
  <c r="K62" i="4"/>
  <c r="T110" i="3"/>
  <c r="T102" i="3"/>
  <c r="T191" i="3"/>
  <c r="T187" i="3"/>
  <c r="T189" i="3"/>
  <c r="T194" i="3"/>
  <c r="U100" i="3" s="1"/>
  <c r="M103" i="3"/>
  <c r="L195" i="3"/>
  <c r="L197" i="3" s="1"/>
  <c r="J55" i="2"/>
  <c r="J63" i="2"/>
  <c r="J93" i="2"/>
  <c r="J95" i="2"/>
  <c r="J57" i="2"/>
  <c r="J58" i="2" s="1"/>
  <c r="K56" i="2" s="1"/>
  <c r="J59" i="2"/>
  <c r="J119" i="1"/>
  <c r="K57" i="1"/>
  <c r="J82" i="5" l="1"/>
  <c r="J80" i="5"/>
  <c r="J81" i="5" s="1"/>
  <c r="K79" i="5" s="1"/>
  <c r="J86" i="5"/>
  <c r="J138" i="5"/>
  <c r="J140" i="5"/>
  <c r="J136" i="5"/>
  <c r="J141" i="5" s="1"/>
  <c r="J78" i="5"/>
  <c r="K63" i="4"/>
  <c r="L32" i="4"/>
  <c r="T192" i="3"/>
  <c r="U191" i="3"/>
  <c r="U187" i="3"/>
  <c r="U189" i="3"/>
  <c r="U102" i="3"/>
  <c r="U110" i="3"/>
  <c r="M106" i="3"/>
  <c r="M104" i="3"/>
  <c r="M105" i="3" s="1"/>
  <c r="J98" i="2"/>
  <c r="J100" i="2"/>
  <c r="K61" i="1"/>
  <c r="K62" i="1" s="1"/>
  <c r="L60" i="1" s="1"/>
  <c r="J121" i="1"/>
  <c r="K63" i="1"/>
  <c r="K59" i="1"/>
  <c r="K67" i="1"/>
  <c r="J143" i="5" l="1"/>
  <c r="L36" i="4"/>
  <c r="L37" i="4" s="1"/>
  <c r="M35" i="4" s="1"/>
  <c r="L38" i="4"/>
  <c r="K65" i="4"/>
  <c r="L57" i="4"/>
  <c r="L59" i="4"/>
  <c r="L55" i="4"/>
  <c r="L60" i="4" s="1"/>
  <c r="L34" i="4"/>
  <c r="L42" i="4"/>
  <c r="U192" i="3"/>
  <c r="U194" i="3"/>
  <c r="V100" i="3" s="1"/>
  <c r="N103" i="3"/>
  <c r="M195" i="3"/>
  <c r="M197" i="3" s="1"/>
  <c r="K53" i="2"/>
  <c r="J101" i="2"/>
  <c r="K116" i="1"/>
  <c r="K118" i="1"/>
  <c r="J144" i="5" l="1"/>
  <c r="K76" i="5"/>
  <c r="L62" i="4"/>
  <c r="L63" i="4" s="1"/>
  <c r="M32" i="4"/>
  <c r="V191" i="3"/>
  <c r="V189" i="3"/>
  <c r="V187" i="3"/>
  <c r="V102" i="3"/>
  <c r="V110" i="3"/>
  <c r="N104" i="3"/>
  <c r="N105" i="3" s="1"/>
  <c r="N106" i="3"/>
  <c r="K55" i="2"/>
  <c r="K63" i="2"/>
  <c r="K93" i="2"/>
  <c r="K95" i="2"/>
  <c r="K59" i="2"/>
  <c r="K57" i="2"/>
  <c r="K58" i="2" s="1"/>
  <c r="L56" i="2" s="1"/>
  <c r="L57" i="1"/>
  <c r="K119" i="1"/>
  <c r="K82" i="5" l="1"/>
  <c r="K80" i="5"/>
  <c r="K81" i="5" s="1"/>
  <c r="L79" i="5" s="1"/>
  <c r="K86" i="5"/>
  <c r="K138" i="5"/>
  <c r="K140" i="5"/>
  <c r="K136" i="5"/>
  <c r="K78" i="5"/>
  <c r="M38" i="4"/>
  <c r="M36" i="4"/>
  <c r="M37" i="4" s="1"/>
  <c r="N35" i="4" s="1"/>
  <c r="L65" i="4"/>
  <c r="M55" i="4"/>
  <c r="M34" i="4"/>
  <c r="M59" i="4"/>
  <c r="M57" i="4"/>
  <c r="M42" i="4"/>
  <c r="V192" i="3"/>
  <c r="V194" i="3"/>
  <c r="W100" i="3" s="1"/>
  <c r="N195" i="3"/>
  <c r="N197" i="3" s="1"/>
  <c r="O103" i="3"/>
  <c r="K100" i="2"/>
  <c r="L53" i="2"/>
  <c r="K101" i="2"/>
  <c r="K98" i="2"/>
  <c r="L67" i="1"/>
  <c r="L59" i="1"/>
  <c r="L118" i="1" s="1"/>
  <c r="L61" i="1"/>
  <c r="L62" i="1" s="1"/>
  <c r="M60" i="1" s="1"/>
  <c r="K121" i="1"/>
  <c r="L63" i="1"/>
  <c r="K141" i="5" l="1"/>
  <c r="M60" i="4"/>
  <c r="M62" i="4"/>
  <c r="W191" i="3"/>
  <c r="W187" i="3"/>
  <c r="W189" i="3"/>
  <c r="W102" i="3"/>
  <c r="W110" i="3"/>
  <c r="O104" i="3"/>
  <c r="O105" i="3" s="1"/>
  <c r="O106" i="3"/>
  <c r="L63" i="2"/>
  <c r="L55" i="2"/>
  <c r="L100" i="2" s="1"/>
  <c r="L93" i="2"/>
  <c r="L95" i="2"/>
  <c r="L57" i="2"/>
  <c r="L58" i="2" s="1"/>
  <c r="M56" i="2" s="1"/>
  <c r="L59" i="2"/>
  <c r="L119" i="1"/>
  <c r="M57" i="1"/>
  <c r="L116" i="1"/>
  <c r="K143" i="5" l="1"/>
  <c r="M63" i="4"/>
  <c r="N32" i="4"/>
  <c r="W192" i="3"/>
  <c r="W194" i="3"/>
  <c r="X100" i="3" s="1"/>
  <c r="P103" i="3"/>
  <c r="O195" i="3"/>
  <c r="O197" i="3" s="1"/>
  <c r="L101" i="2"/>
  <c r="M53" i="2"/>
  <c r="L98" i="2"/>
  <c r="M61" i="1"/>
  <c r="M62" i="1" s="1"/>
  <c r="N60" i="1" s="1"/>
  <c r="L121" i="1"/>
  <c r="M63" i="1"/>
  <c r="M67" i="1"/>
  <c r="M116" i="1"/>
  <c r="M59" i="1"/>
  <c r="M118" i="1" s="1"/>
  <c r="K144" i="5" l="1"/>
  <c r="L76" i="5"/>
  <c r="N36" i="4"/>
  <c r="N37" i="4" s="1"/>
  <c r="O35" i="4" s="1"/>
  <c r="N38" i="4"/>
  <c r="M65" i="4"/>
  <c r="N42" i="4"/>
  <c r="N55" i="4"/>
  <c r="N57" i="4"/>
  <c r="N34" i="4"/>
  <c r="N62" i="4" s="1"/>
  <c r="N59" i="4"/>
  <c r="X191" i="3"/>
  <c r="X187" i="3"/>
  <c r="X189" i="3"/>
  <c r="X102" i="3"/>
  <c r="X110" i="3"/>
  <c r="P104" i="3"/>
  <c r="P105" i="3" s="1"/>
  <c r="P106" i="3"/>
  <c r="M57" i="2"/>
  <c r="M58" i="2" s="1"/>
  <c r="N56" i="2" s="1"/>
  <c r="M59" i="2"/>
  <c r="M55" i="2"/>
  <c r="M63" i="2"/>
  <c r="M93" i="2"/>
  <c r="M95" i="2"/>
  <c r="M119" i="1"/>
  <c r="N57" i="1"/>
  <c r="L82" i="5" l="1"/>
  <c r="L80" i="5"/>
  <c r="L81" i="5" s="1"/>
  <c r="M79" i="5" s="1"/>
  <c r="L140" i="5"/>
  <c r="L86" i="5"/>
  <c r="L138" i="5"/>
  <c r="L136" i="5"/>
  <c r="L78" i="5"/>
  <c r="O32" i="4"/>
  <c r="N63" i="4"/>
  <c r="N60" i="4"/>
  <c r="X192" i="3"/>
  <c r="X194" i="3"/>
  <c r="Y100" i="3" s="1"/>
  <c r="Q103" i="3"/>
  <c r="P195" i="3"/>
  <c r="P197" i="3" s="1"/>
  <c r="M100" i="2"/>
  <c r="M101" i="2"/>
  <c r="N53" i="2"/>
  <c r="M98" i="2"/>
  <c r="N63" i="1"/>
  <c r="N61" i="1"/>
  <c r="N62" i="1" s="1"/>
  <c r="O60" i="1" s="1"/>
  <c r="M121" i="1"/>
  <c r="N67" i="1"/>
  <c r="N59" i="1"/>
  <c r="N118" i="1" s="1"/>
  <c r="L141" i="5" l="1"/>
  <c r="O34" i="4"/>
  <c r="O57" i="4"/>
  <c r="O55" i="4"/>
  <c r="O42" i="4"/>
  <c r="O59" i="4"/>
  <c r="O38" i="4"/>
  <c r="O36" i="4"/>
  <c r="O37" i="4" s="1"/>
  <c r="P35" i="4" s="1"/>
  <c r="N65" i="4"/>
  <c r="Y110" i="3"/>
  <c r="Y102" i="3"/>
  <c r="Y191" i="3"/>
  <c r="Y187" i="3"/>
  <c r="Y189" i="3"/>
  <c r="Q104" i="3"/>
  <c r="Q105" i="3" s="1"/>
  <c r="Q106" i="3"/>
  <c r="N57" i="2"/>
  <c r="N58" i="2" s="1"/>
  <c r="O56" i="2" s="1"/>
  <c r="N59" i="2"/>
  <c r="N63" i="2"/>
  <c r="N55" i="2"/>
  <c r="N100" i="2" s="1"/>
  <c r="N93" i="2"/>
  <c r="N95" i="2"/>
  <c r="O57" i="1"/>
  <c r="N119" i="1"/>
  <c r="N116" i="1"/>
  <c r="L143" i="5" l="1"/>
  <c r="O62" i="4"/>
  <c r="O60" i="4"/>
  <c r="Y194" i="3"/>
  <c r="Z100" i="3" s="1"/>
  <c r="Y192" i="3"/>
  <c r="Z110" i="3"/>
  <c r="R103" i="3"/>
  <c r="Q195" i="3"/>
  <c r="Q197" i="3" s="1"/>
  <c r="O53" i="2"/>
  <c r="N101" i="2"/>
  <c r="N98" i="2"/>
  <c r="O59" i="1"/>
  <c r="O67" i="1"/>
  <c r="O63" i="1"/>
  <c r="N121" i="1"/>
  <c r="O61" i="1"/>
  <c r="O62" i="1" s="1"/>
  <c r="P60" i="1" s="1"/>
  <c r="L144" i="5" l="1"/>
  <c r="M76" i="5"/>
  <c r="O63" i="4"/>
  <c r="P32" i="4"/>
  <c r="Z102" i="3"/>
  <c r="Z194" i="3" s="1"/>
  <c r="AA100" i="3" s="1"/>
  <c r="Z187" i="3"/>
  <c r="Z191" i="3"/>
  <c r="Z189" i="3"/>
  <c r="AA110" i="3"/>
  <c r="AA102" i="3"/>
  <c r="AA194" i="3"/>
  <c r="AB100" i="3" s="1"/>
  <c r="AA187" i="3"/>
  <c r="AA189" i="3"/>
  <c r="AA191" i="3"/>
  <c r="Z192" i="3"/>
  <c r="AB191" i="3"/>
  <c r="AB187" i="3"/>
  <c r="AB189" i="3"/>
  <c r="AB110" i="3"/>
  <c r="AB102" i="3"/>
  <c r="AB194" i="3" s="1"/>
  <c r="AC100" i="3" s="1"/>
  <c r="R106" i="3"/>
  <c r="R104" i="3"/>
  <c r="R105" i="3" s="1"/>
  <c r="O55" i="2"/>
  <c r="O63" i="2"/>
  <c r="O93" i="2"/>
  <c r="O95" i="2"/>
  <c r="O57" i="2"/>
  <c r="O58" i="2" s="1"/>
  <c r="P56" i="2" s="1"/>
  <c r="O59" i="2"/>
  <c r="O118" i="1"/>
  <c r="O119" i="1"/>
  <c r="P57" i="1"/>
  <c r="O116" i="1"/>
  <c r="M82" i="5" l="1"/>
  <c r="M80" i="5"/>
  <c r="M81" i="5" s="1"/>
  <c r="N79" i="5" s="1"/>
  <c r="M86" i="5"/>
  <c r="M136" i="5"/>
  <c r="M138" i="5"/>
  <c r="M140" i="5"/>
  <c r="M78" i="5"/>
  <c r="P38" i="4"/>
  <c r="P36" i="4"/>
  <c r="P37" i="4" s="1"/>
  <c r="Q35" i="4" s="1"/>
  <c r="O65" i="4"/>
  <c r="P59" i="4"/>
  <c r="P42" i="4"/>
  <c r="P55" i="4"/>
  <c r="P57" i="4"/>
  <c r="P34" i="4"/>
  <c r="P62" i="4" s="1"/>
  <c r="AA192" i="3"/>
  <c r="AB192" i="3"/>
  <c r="AC191" i="3"/>
  <c r="AC189" i="3"/>
  <c r="AC187" i="3"/>
  <c r="AC110" i="3"/>
  <c r="AC102" i="3"/>
  <c r="S103" i="3"/>
  <c r="R195" i="3"/>
  <c r="R197" i="3" s="1"/>
  <c r="O98" i="2"/>
  <c r="O100" i="2"/>
  <c r="P63" i="1"/>
  <c r="O121" i="1"/>
  <c r="P61" i="1"/>
  <c r="P62" i="1" s="1"/>
  <c r="Q60" i="1" s="1"/>
  <c r="P67" i="1"/>
  <c r="P59" i="1"/>
  <c r="P118" i="1" s="1"/>
  <c r="M141" i="5" l="1"/>
  <c r="P63" i="4"/>
  <c r="Q32" i="4"/>
  <c r="P60" i="4"/>
  <c r="AC192" i="3"/>
  <c r="AC194" i="3"/>
  <c r="AD100" i="3" s="1"/>
  <c r="S104" i="3"/>
  <c r="S105" i="3" s="1"/>
  <c r="S106" i="3"/>
  <c r="O101" i="2"/>
  <c r="P53" i="2"/>
  <c r="P119" i="1"/>
  <c r="Q57" i="1"/>
  <c r="P116" i="1"/>
  <c r="M143" i="5" l="1"/>
  <c r="Q36" i="4"/>
  <c r="Q37" i="4" s="1"/>
  <c r="R35" i="4" s="1"/>
  <c r="Q38" i="4"/>
  <c r="P65" i="4"/>
  <c r="Q57" i="4"/>
  <c r="Q34" i="4"/>
  <c r="Q55" i="4"/>
  <c r="Q42" i="4"/>
  <c r="Q59" i="4"/>
  <c r="AD191" i="3"/>
  <c r="AD189" i="3"/>
  <c r="AD187" i="3"/>
  <c r="AD102" i="3"/>
  <c r="AD110" i="3"/>
  <c r="T103" i="3"/>
  <c r="S195" i="3"/>
  <c r="S197" i="3" s="1"/>
  <c r="P57" i="2"/>
  <c r="P58" i="2" s="1"/>
  <c r="Q56" i="2" s="1"/>
  <c r="P59" i="2"/>
  <c r="P63" i="2"/>
  <c r="P55" i="2"/>
  <c r="P100" i="2" s="1"/>
  <c r="P93" i="2"/>
  <c r="P95" i="2"/>
  <c r="P121" i="1"/>
  <c r="Q63" i="1"/>
  <c r="Q61" i="1"/>
  <c r="Q62" i="1" s="1"/>
  <c r="Q67" i="1"/>
  <c r="Q59" i="1"/>
  <c r="Q118" i="1" s="1"/>
  <c r="Q116" i="1"/>
  <c r="R57" i="1"/>
  <c r="M144" i="5" l="1"/>
  <c r="N76" i="5"/>
  <c r="Q62" i="4"/>
  <c r="Q60" i="4"/>
  <c r="AD192" i="3"/>
  <c r="AD194" i="3"/>
  <c r="AE100" i="3" s="1"/>
  <c r="T106" i="3"/>
  <c r="T104" i="3"/>
  <c r="T105" i="3" s="1"/>
  <c r="P101" i="2"/>
  <c r="Q53" i="2"/>
  <c r="P98" i="2"/>
  <c r="R60" i="1"/>
  <c r="Q119" i="1"/>
  <c r="R59" i="1"/>
  <c r="R67" i="1"/>
  <c r="R61" i="1"/>
  <c r="R62" i="1" s="1"/>
  <c r="S60" i="1" s="1"/>
  <c r="Q121" i="1"/>
  <c r="R63" i="1"/>
  <c r="N82" i="5" l="1"/>
  <c r="N80" i="5"/>
  <c r="N81" i="5" s="1"/>
  <c r="O79" i="5" s="1"/>
  <c r="N86" i="5"/>
  <c r="N136" i="5"/>
  <c r="N138" i="5"/>
  <c r="N140" i="5"/>
  <c r="N78" i="5"/>
  <c r="R32" i="4"/>
  <c r="Q63" i="4"/>
  <c r="AE191" i="3"/>
  <c r="AE187" i="3"/>
  <c r="AE189" i="3"/>
  <c r="AE102" i="3"/>
  <c r="AE110" i="3"/>
  <c r="T195" i="3"/>
  <c r="T197" i="3" s="1"/>
  <c r="U103" i="3"/>
  <c r="Q59" i="2"/>
  <c r="Q57" i="2"/>
  <c r="Q58" i="2" s="1"/>
  <c r="R56" i="2" s="1"/>
  <c r="Q55" i="2"/>
  <c r="Q63" i="2"/>
  <c r="Q93" i="2"/>
  <c r="Q95" i="2"/>
  <c r="R118" i="1"/>
  <c r="R119" i="1"/>
  <c r="S57" i="1"/>
  <c r="R116" i="1"/>
  <c r="N141" i="5" l="1"/>
  <c r="R57" i="4"/>
  <c r="R42" i="4"/>
  <c r="R55" i="4"/>
  <c r="R34" i="4"/>
  <c r="R62" i="4" s="1"/>
  <c r="R59" i="4"/>
  <c r="R36" i="4"/>
  <c r="R37" i="4" s="1"/>
  <c r="S35" i="4" s="1"/>
  <c r="R38" i="4"/>
  <c r="Q65" i="4"/>
  <c r="AE192" i="3"/>
  <c r="AE194" i="3"/>
  <c r="AF100" i="3" s="1"/>
  <c r="U106" i="3"/>
  <c r="U104" i="3"/>
  <c r="U105" i="3" s="1"/>
  <c r="Q100" i="2"/>
  <c r="Q101" i="2"/>
  <c r="R53" i="2"/>
  <c r="Q98" i="2"/>
  <c r="R121" i="1"/>
  <c r="S61" i="1"/>
  <c r="S62" i="1" s="1"/>
  <c r="T60" i="1" s="1"/>
  <c r="S63" i="1"/>
  <c r="S59" i="1"/>
  <c r="S67" i="1"/>
  <c r="N143" i="5" l="1"/>
  <c r="R63" i="4"/>
  <c r="S32" i="4"/>
  <c r="R60" i="4"/>
  <c r="AF191" i="3"/>
  <c r="AF187" i="3"/>
  <c r="AF189" i="3"/>
  <c r="AF102" i="3"/>
  <c r="AF110" i="3"/>
  <c r="V103" i="3"/>
  <c r="U195" i="3"/>
  <c r="U197" i="3" s="1"/>
  <c r="R59" i="2"/>
  <c r="R57" i="2"/>
  <c r="R58" i="2" s="1"/>
  <c r="S56" i="2" s="1"/>
  <c r="R55" i="2"/>
  <c r="R63" i="2"/>
  <c r="R93" i="2"/>
  <c r="R95" i="2"/>
  <c r="S116" i="1"/>
  <c r="S118" i="1"/>
  <c r="N144" i="5" l="1"/>
  <c r="O76" i="5"/>
  <c r="S36" i="4"/>
  <c r="S37" i="4" s="1"/>
  <c r="T35" i="4" s="1"/>
  <c r="S38" i="4"/>
  <c r="R65" i="4"/>
  <c r="S59" i="4"/>
  <c r="S57" i="4"/>
  <c r="S55" i="4"/>
  <c r="S60" i="4" s="1"/>
  <c r="S34" i="4"/>
  <c r="S42" i="4"/>
  <c r="AF192" i="3"/>
  <c r="AF194" i="3"/>
  <c r="AG100" i="3" s="1"/>
  <c r="V106" i="3"/>
  <c r="V104" i="3"/>
  <c r="V105" i="3" s="1"/>
  <c r="R98" i="2"/>
  <c r="R100" i="2"/>
  <c r="T57" i="1"/>
  <c r="S119" i="1"/>
  <c r="O82" i="5" l="1"/>
  <c r="O80" i="5"/>
  <c r="O81" i="5" s="1"/>
  <c r="P79" i="5" s="1"/>
  <c r="O140" i="5"/>
  <c r="O86" i="5"/>
  <c r="O136" i="5"/>
  <c r="O138" i="5"/>
  <c r="O78" i="5"/>
  <c r="S62" i="4"/>
  <c r="AG191" i="3"/>
  <c r="AG187" i="3"/>
  <c r="AG189" i="3"/>
  <c r="AG102" i="3"/>
  <c r="AG110" i="3"/>
  <c r="W103" i="3"/>
  <c r="V195" i="3"/>
  <c r="V197" i="3" s="1"/>
  <c r="R101" i="2"/>
  <c r="S53" i="2"/>
  <c r="T59" i="1"/>
  <c r="T67" i="1"/>
  <c r="S121" i="1"/>
  <c r="T63" i="1"/>
  <c r="T61" i="1"/>
  <c r="T62" i="1" s="1"/>
  <c r="U60" i="1" s="1"/>
  <c r="O141" i="5" l="1"/>
  <c r="S63" i="4"/>
  <c r="T32" i="4"/>
  <c r="T59" i="4"/>
  <c r="T57" i="4"/>
  <c r="T55" i="4"/>
  <c r="T60" i="4" s="1"/>
  <c r="T34" i="4"/>
  <c r="T42" i="4"/>
  <c r="T38" i="4"/>
  <c r="T36" i="4"/>
  <c r="T37" i="4" s="1"/>
  <c r="U35" i="4" s="1"/>
  <c r="S65" i="4"/>
  <c r="AG192" i="3"/>
  <c r="AG194" i="3"/>
  <c r="AH100" i="3" s="1"/>
  <c r="W104" i="3"/>
  <c r="W105" i="3" s="1"/>
  <c r="W106" i="3"/>
  <c r="S59" i="2"/>
  <c r="S57" i="2"/>
  <c r="S58" i="2" s="1"/>
  <c r="T56" i="2" s="1"/>
  <c r="S55" i="2"/>
  <c r="S63" i="2"/>
  <c r="S93" i="2"/>
  <c r="S95" i="2"/>
  <c r="T116" i="1"/>
  <c r="T118" i="1"/>
  <c r="O143" i="5" l="1"/>
  <c r="T62" i="4"/>
  <c r="T63" i="4" s="1"/>
  <c r="U32" i="4"/>
  <c r="AH191" i="3"/>
  <c r="AH189" i="3"/>
  <c r="AH187" i="3"/>
  <c r="AH102" i="3"/>
  <c r="AH110" i="3"/>
  <c r="W195" i="3"/>
  <c r="W197" i="3" s="1"/>
  <c r="X103" i="3"/>
  <c r="S100" i="2"/>
  <c r="S98" i="2"/>
  <c r="U57" i="1"/>
  <c r="T119" i="1"/>
  <c r="O144" i="5" l="1"/>
  <c r="P76" i="5"/>
  <c r="U34" i="4"/>
  <c r="U42" i="4"/>
  <c r="U59" i="4"/>
  <c r="U55" i="4"/>
  <c r="U57" i="4"/>
  <c r="U38" i="4"/>
  <c r="U36" i="4"/>
  <c r="U37" i="4" s="1"/>
  <c r="V35" i="4" s="1"/>
  <c r="T65" i="4"/>
  <c r="AH192" i="3"/>
  <c r="AH194" i="3"/>
  <c r="AI100" i="3" s="1"/>
  <c r="X104" i="3"/>
  <c r="X105" i="3" s="1"/>
  <c r="X106" i="3"/>
  <c r="T53" i="2"/>
  <c r="T93" i="2" s="1"/>
  <c r="S101" i="2"/>
  <c r="T63" i="2"/>
  <c r="T55" i="2"/>
  <c r="T95" i="2"/>
  <c r="U116" i="1"/>
  <c r="U59" i="1"/>
  <c r="U67" i="1"/>
  <c r="U61" i="1"/>
  <c r="U62" i="1" s="1"/>
  <c r="V60" i="1" s="1"/>
  <c r="T121" i="1"/>
  <c r="U63" i="1"/>
  <c r="P82" i="5" l="1"/>
  <c r="P80" i="5"/>
  <c r="P81" i="5" s="1"/>
  <c r="Q79" i="5" s="1"/>
  <c r="P140" i="5"/>
  <c r="P86" i="5"/>
  <c r="P136" i="5"/>
  <c r="P138" i="5"/>
  <c r="P78" i="5"/>
  <c r="U60" i="4"/>
  <c r="U62" i="4"/>
  <c r="AI191" i="3"/>
  <c r="AI187" i="3"/>
  <c r="AI189" i="3"/>
  <c r="AI110" i="3"/>
  <c r="AI102" i="3"/>
  <c r="AI194" i="3" s="1"/>
  <c r="AJ100" i="3" s="1"/>
  <c r="X195" i="3"/>
  <c r="X197" i="3" s="1"/>
  <c r="Y103" i="3"/>
  <c r="T57" i="2"/>
  <c r="T58" i="2" s="1"/>
  <c r="U56" i="2" s="1"/>
  <c r="T59" i="2"/>
  <c r="T100" i="2"/>
  <c r="T101" i="2" s="1"/>
  <c r="U53" i="2"/>
  <c r="T98" i="2"/>
  <c r="U118" i="1"/>
  <c r="P141" i="5" l="1"/>
  <c r="V32" i="4"/>
  <c r="U63" i="4"/>
  <c r="AI192" i="3"/>
  <c r="AJ189" i="3"/>
  <c r="AJ187" i="3"/>
  <c r="AJ191" i="3"/>
  <c r="AJ102" i="3"/>
  <c r="AJ110" i="3"/>
  <c r="Y106" i="3"/>
  <c r="Y104" i="3"/>
  <c r="Y105" i="3" s="1"/>
  <c r="U57" i="2"/>
  <c r="U58" i="2" s="1"/>
  <c r="V56" i="2" s="1"/>
  <c r="U59" i="2"/>
  <c r="U55" i="2"/>
  <c r="U63" i="2"/>
  <c r="U95" i="2"/>
  <c r="U93" i="2"/>
  <c r="V57" i="1"/>
  <c r="U119" i="1"/>
  <c r="P143" i="5" l="1"/>
  <c r="V57" i="4"/>
  <c r="V34" i="4"/>
  <c r="V59" i="4"/>
  <c r="V55" i="4"/>
  <c r="V42" i="4"/>
  <c r="V38" i="4"/>
  <c r="V36" i="4"/>
  <c r="V37" i="4" s="1"/>
  <c r="W35" i="4" s="1"/>
  <c r="U65" i="4"/>
  <c r="AJ192" i="3"/>
  <c r="AJ194" i="3"/>
  <c r="AK100" i="3" s="1"/>
  <c r="Z103" i="3"/>
  <c r="Y195" i="3"/>
  <c r="Y197" i="3" s="1"/>
  <c r="U98" i="2"/>
  <c r="U100" i="2"/>
  <c r="V116" i="1"/>
  <c r="V59" i="1"/>
  <c r="V67" i="1"/>
  <c r="U121" i="1"/>
  <c r="V61" i="1"/>
  <c r="V62" i="1" s="1"/>
  <c r="W60" i="1" s="1"/>
  <c r="V63" i="1"/>
  <c r="P144" i="5" l="1"/>
  <c r="Q76" i="5"/>
  <c r="V60" i="4"/>
  <c r="V62" i="4"/>
  <c r="AK189" i="3"/>
  <c r="AK187" i="3"/>
  <c r="AK191" i="3"/>
  <c r="AK102" i="3"/>
  <c r="AK110" i="3"/>
  <c r="Z104" i="3"/>
  <c r="Z105" i="3" s="1"/>
  <c r="Z106" i="3"/>
  <c r="V53" i="2"/>
  <c r="U101" i="2"/>
  <c r="V118" i="1"/>
  <c r="Q82" i="5" l="1"/>
  <c r="Q80" i="5"/>
  <c r="Q81" i="5" s="1"/>
  <c r="R79" i="5" s="1"/>
  <c r="Q86" i="5"/>
  <c r="Q136" i="5"/>
  <c r="Q138" i="5"/>
  <c r="Q140" i="5"/>
  <c r="Q78" i="5"/>
  <c r="V63" i="4"/>
  <c r="W32" i="4"/>
  <c r="AK192" i="3"/>
  <c r="AK194" i="3"/>
  <c r="AL100" i="3" s="1"/>
  <c r="Z195" i="3"/>
  <c r="Z197" i="3" s="1"/>
  <c r="AA103" i="3"/>
  <c r="V63" i="2"/>
  <c r="V55" i="2"/>
  <c r="V100" i="2" s="1"/>
  <c r="V93" i="2"/>
  <c r="V95" i="2"/>
  <c r="V57" i="2"/>
  <c r="V58" i="2" s="1"/>
  <c r="W56" i="2" s="1"/>
  <c r="V59" i="2"/>
  <c r="W57" i="1"/>
  <c r="V119" i="1"/>
  <c r="Q141" i="5" l="1"/>
  <c r="W36" i="4"/>
  <c r="W37" i="4" s="1"/>
  <c r="X35" i="4" s="1"/>
  <c r="W38" i="4"/>
  <c r="V65" i="4"/>
  <c r="W42" i="4"/>
  <c r="W57" i="4"/>
  <c r="W55" i="4"/>
  <c r="W59" i="4"/>
  <c r="W34" i="4"/>
  <c r="AL110" i="3"/>
  <c r="AL102" i="3"/>
  <c r="AL194" i="3" s="1"/>
  <c r="AM100" i="3" s="1"/>
  <c r="AL191" i="3"/>
  <c r="AL189" i="3"/>
  <c r="AL187" i="3"/>
  <c r="AM187" i="3"/>
  <c r="AM191" i="3"/>
  <c r="AM189" i="3"/>
  <c r="AM102" i="3"/>
  <c r="AM110" i="3"/>
  <c r="AA104" i="3"/>
  <c r="AA105" i="3" s="1"/>
  <c r="AA106" i="3"/>
  <c r="W53" i="2"/>
  <c r="V101" i="2"/>
  <c r="V98" i="2"/>
  <c r="W67" i="1"/>
  <c r="W59" i="1"/>
  <c r="W118" i="1" s="1"/>
  <c r="W61" i="1"/>
  <c r="W62" i="1" s="1"/>
  <c r="X60" i="1" s="1"/>
  <c r="V121" i="1"/>
  <c r="W63" i="1"/>
  <c r="Q143" i="5" l="1"/>
  <c r="W62" i="4"/>
  <c r="W60" i="4"/>
  <c r="W63" i="4"/>
  <c r="X32" i="4"/>
  <c r="AM192" i="3"/>
  <c r="AL192" i="3"/>
  <c r="AM194" i="3"/>
  <c r="AN100" i="3" s="1"/>
  <c r="AB103" i="3"/>
  <c r="AA195" i="3"/>
  <c r="AA197" i="3" s="1"/>
  <c r="W55" i="2"/>
  <c r="W63" i="2"/>
  <c r="W93" i="2"/>
  <c r="W95" i="2"/>
  <c r="W57" i="2"/>
  <c r="W58" i="2" s="1"/>
  <c r="X56" i="2" s="1"/>
  <c r="W59" i="2"/>
  <c r="W119" i="1"/>
  <c r="X57" i="1"/>
  <c r="W116" i="1"/>
  <c r="Q144" i="5" l="1"/>
  <c r="R76" i="5"/>
  <c r="X36" i="4"/>
  <c r="X37" i="4" s="1"/>
  <c r="Y35" i="4" s="1"/>
  <c r="X38" i="4"/>
  <c r="W65" i="4"/>
  <c r="X57" i="4"/>
  <c r="X34" i="4"/>
  <c r="X55" i="4"/>
  <c r="X42" i="4"/>
  <c r="X59" i="4"/>
  <c r="AN102" i="3"/>
  <c r="AN110" i="3"/>
  <c r="AN191" i="3"/>
  <c r="AN187" i="3"/>
  <c r="AN189" i="3"/>
  <c r="AN194" i="3"/>
  <c r="AO100" i="3" s="1"/>
  <c r="AB106" i="3"/>
  <c r="AB104" i="3"/>
  <c r="AB105" i="3" s="1"/>
  <c r="W98" i="2"/>
  <c r="W100" i="2"/>
  <c r="W121" i="1"/>
  <c r="X61" i="1"/>
  <c r="X62" i="1" s="1"/>
  <c r="Y60" i="1" s="1"/>
  <c r="X63" i="1"/>
  <c r="X67" i="1"/>
  <c r="X116" i="1"/>
  <c r="X59" i="1"/>
  <c r="R82" i="5" l="1"/>
  <c r="R80" i="5"/>
  <c r="R81" i="5" s="1"/>
  <c r="S79" i="5" s="1"/>
  <c r="R86" i="5"/>
  <c r="R136" i="5"/>
  <c r="R138" i="5"/>
  <c r="R140" i="5"/>
  <c r="R78" i="5"/>
  <c r="X62" i="4"/>
  <c r="X60" i="4"/>
  <c r="AN192" i="3"/>
  <c r="AO187" i="3"/>
  <c r="AO191" i="3"/>
  <c r="AO189" i="3"/>
  <c r="AO110" i="3"/>
  <c r="AO102" i="3"/>
  <c r="AO194" i="3" s="1"/>
  <c r="AP100" i="3" s="1"/>
  <c r="AC103" i="3"/>
  <c r="AB195" i="3"/>
  <c r="AB197" i="3" s="1"/>
  <c r="W101" i="2"/>
  <c r="X53" i="2"/>
  <c r="X118" i="1"/>
  <c r="X119" i="1" s="1"/>
  <c r="Y57" i="1"/>
  <c r="R141" i="5" l="1"/>
  <c r="Y32" i="4"/>
  <c r="X63" i="4"/>
  <c r="AO192" i="3"/>
  <c r="AP191" i="3"/>
  <c r="AP187" i="3"/>
  <c r="AP189" i="3"/>
  <c r="AP102" i="3"/>
  <c r="AP110" i="3"/>
  <c r="AC104" i="3"/>
  <c r="AC105" i="3" s="1"/>
  <c r="AC106" i="3"/>
  <c r="X57" i="2"/>
  <c r="X58" i="2" s="1"/>
  <c r="Y56" i="2" s="1"/>
  <c r="X59" i="2"/>
  <c r="X55" i="2"/>
  <c r="X63" i="2"/>
  <c r="X93" i="2"/>
  <c r="X95" i="2"/>
  <c r="Y61" i="1"/>
  <c r="Y62" i="1" s="1"/>
  <c r="Z60" i="1" s="1"/>
  <c r="X121" i="1"/>
  <c r="Y63" i="1"/>
  <c r="Y67" i="1"/>
  <c r="Y59" i="1"/>
  <c r="Y116" i="1"/>
  <c r="R143" i="5" l="1"/>
  <c r="Y59" i="4"/>
  <c r="Y55" i="4"/>
  <c r="Y34" i="4"/>
  <c r="Y42" i="4"/>
  <c r="Y57" i="4"/>
  <c r="Y36" i="4"/>
  <c r="Y37" i="4" s="1"/>
  <c r="Z35" i="4" s="1"/>
  <c r="Y38" i="4"/>
  <c r="X65" i="4"/>
  <c r="AP192" i="3"/>
  <c r="AP194" i="3"/>
  <c r="AQ100" i="3" s="1"/>
  <c r="AD103" i="3"/>
  <c r="AC195" i="3"/>
  <c r="AC197" i="3" s="1"/>
  <c r="X98" i="2"/>
  <c r="X100" i="2"/>
  <c r="Y118" i="1"/>
  <c r="R144" i="5" l="1"/>
  <c r="S76" i="5"/>
  <c r="Y60" i="4"/>
  <c r="Y62" i="4"/>
  <c r="AQ191" i="3"/>
  <c r="AQ187" i="3"/>
  <c r="AQ189" i="3"/>
  <c r="AQ110" i="3"/>
  <c r="AQ102" i="3"/>
  <c r="AD104" i="3"/>
  <c r="AD105" i="3" s="1"/>
  <c r="AD106" i="3"/>
  <c r="Y53" i="2"/>
  <c r="X101" i="2"/>
  <c r="Z57" i="1"/>
  <c r="Y119" i="1"/>
  <c r="S82" i="5" l="1"/>
  <c r="S80" i="5"/>
  <c r="S81" i="5" s="1"/>
  <c r="T79" i="5" s="1"/>
  <c r="S86" i="5"/>
  <c r="S136" i="5"/>
  <c r="S138" i="5"/>
  <c r="S140" i="5"/>
  <c r="S78" i="5"/>
  <c r="Y63" i="4"/>
  <c r="Z32" i="4"/>
  <c r="AQ194" i="3"/>
  <c r="AR100" i="3" s="1"/>
  <c r="AQ192" i="3"/>
  <c r="AR187" i="3"/>
  <c r="AR191" i="3"/>
  <c r="AR189" i="3"/>
  <c r="AR102" i="3"/>
  <c r="AR110" i="3"/>
  <c r="AE103" i="3"/>
  <c r="AD195" i="3"/>
  <c r="AD197" i="3" s="1"/>
  <c r="Y55" i="2"/>
  <c r="Y63" i="2"/>
  <c r="Y95" i="2"/>
  <c r="Y93" i="2"/>
  <c r="Y57" i="2"/>
  <c r="Y58" i="2" s="1"/>
  <c r="Z56" i="2" s="1"/>
  <c r="Y59" i="2"/>
  <c r="Z67" i="1"/>
  <c r="Z59" i="1"/>
  <c r="Z118" i="1" s="1"/>
  <c r="Z61" i="1"/>
  <c r="Z62" i="1" s="1"/>
  <c r="AA60" i="1" s="1"/>
  <c r="Y121" i="1"/>
  <c r="Z63" i="1"/>
  <c r="S141" i="5" l="1"/>
  <c r="Z38" i="4"/>
  <c r="Y65" i="4"/>
  <c r="Z36" i="4"/>
  <c r="Z37" i="4" s="1"/>
  <c r="AA35" i="4" s="1"/>
  <c r="Z55" i="4"/>
  <c r="Z59" i="4"/>
  <c r="Z57" i="4"/>
  <c r="Z34" i="4"/>
  <c r="Z42" i="4"/>
  <c r="AR192" i="3"/>
  <c r="AR194" i="3"/>
  <c r="AS100" i="3" s="1"/>
  <c r="AE104" i="3"/>
  <c r="AE105" i="3" s="1"/>
  <c r="AE106" i="3"/>
  <c r="Y98" i="2"/>
  <c r="Y100" i="2"/>
  <c r="Z119" i="1"/>
  <c r="AA57" i="1"/>
  <c r="Z116" i="1"/>
  <c r="S143" i="5" l="1"/>
  <c r="Z60" i="4"/>
  <c r="Z62" i="4"/>
  <c r="AS191" i="3"/>
  <c r="AS189" i="3"/>
  <c r="AS187" i="3"/>
  <c r="AS110" i="3"/>
  <c r="AS102" i="3"/>
  <c r="AF103" i="3"/>
  <c r="AE195" i="3"/>
  <c r="AE197" i="3" s="1"/>
  <c r="Y101" i="2"/>
  <c r="Z53" i="2"/>
  <c r="AA61" i="1"/>
  <c r="AA62" i="1" s="1"/>
  <c r="AB60" i="1" s="1"/>
  <c r="Z121" i="1"/>
  <c r="AA63" i="1"/>
  <c r="AA67" i="1"/>
  <c r="AA59" i="1"/>
  <c r="AA118" i="1" s="1"/>
  <c r="S144" i="5" l="1"/>
  <c r="T76" i="5"/>
  <c r="AA32" i="4"/>
  <c r="Z63" i="4"/>
  <c r="AS192" i="3"/>
  <c r="AS194" i="3"/>
  <c r="AT100" i="3" s="1"/>
  <c r="AF104" i="3"/>
  <c r="AF105" i="3" s="1"/>
  <c r="AF106" i="3"/>
  <c r="Z59" i="2"/>
  <c r="Z57" i="2"/>
  <c r="Z58" i="2" s="1"/>
  <c r="AA56" i="2" s="1"/>
  <c r="Z55" i="2"/>
  <c r="Z63" i="2"/>
  <c r="Z93" i="2"/>
  <c r="Z95" i="2"/>
  <c r="AA116" i="1"/>
  <c r="AA119" i="1"/>
  <c r="AB57" i="1"/>
  <c r="T82" i="5" l="1"/>
  <c r="T80" i="5"/>
  <c r="T81" i="5" s="1"/>
  <c r="U79" i="5" s="1"/>
  <c r="T140" i="5"/>
  <c r="T86" i="5"/>
  <c r="T136" i="5"/>
  <c r="T138" i="5"/>
  <c r="T78" i="5"/>
  <c r="AA59" i="4"/>
  <c r="AA57" i="4"/>
  <c r="AA55" i="4"/>
  <c r="AA42" i="4"/>
  <c r="AA34" i="4"/>
  <c r="AA36" i="4"/>
  <c r="AA37" i="4" s="1"/>
  <c r="AB35" i="4" s="1"/>
  <c r="AA38" i="4"/>
  <c r="Z65" i="4"/>
  <c r="AT191" i="3"/>
  <c r="AT189" i="3"/>
  <c r="AT187" i="3"/>
  <c r="AT102" i="3"/>
  <c r="AT110" i="3"/>
  <c r="AF195" i="3"/>
  <c r="AF197" i="3" s="1"/>
  <c r="AG103" i="3"/>
  <c r="Z98" i="2"/>
  <c r="Z100" i="2"/>
  <c r="AB61" i="1"/>
  <c r="AB62" i="1" s="1"/>
  <c r="AC60" i="1" s="1"/>
  <c r="AA121" i="1"/>
  <c r="AB63" i="1"/>
  <c r="AB67" i="1"/>
  <c r="AB59" i="1"/>
  <c r="AB118" i="1" s="1"/>
  <c r="T141" i="5" l="1"/>
  <c r="AA60" i="4"/>
  <c r="AA62" i="4"/>
  <c r="AT192" i="3"/>
  <c r="AT194" i="3"/>
  <c r="AU100" i="3" s="1"/>
  <c r="AG104" i="3"/>
  <c r="AG105" i="3" s="1"/>
  <c r="AG106" i="3"/>
  <c r="AA53" i="2"/>
  <c r="Z101" i="2"/>
  <c r="AB119" i="1"/>
  <c r="AC57" i="1"/>
  <c r="AB116" i="1"/>
  <c r="T143" i="5" l="1"/>
  <c r="AA63" i="4"/>
  <c r="AB32" i="4"/>
  <c r="AU191" i="3"/>
  <c r="AU187" i="3"/>
  <c r="AU189" i="3"/>
  <c r="AU102" i="3"/>
  <c r="AU110" i="3"/>
  <c r="AU194" i="3"/>
  <c r="AV100" i="3" s="1"/>
  <c r="AH103" i="3"/>
  <c r="AG195" i="3"/>
  <c r="AG197" i="3" s="1"/>
  <c r="AA55" i="2"/>
  <c r="AA63" i="2"/>
  <c r="AA93" i="2"/>
  <c r="AA95" i="2"/>
  <c r="AA57" i="2"/>
  <c r="AA58" i="2" s="1"/>
  <c r="AB56" i="2" s="1"/>
  <c r="AA59" i="2"/>
  <c r="AC61" i="1"/>
  <c r="AC62" i="1" s="1"/>
  <c r="AD60" i="1" s="1"/>
  <c r="AB121" i="1"/>
  <c r="AC63" i="1"/>
  <c r="AC59" i="1"/>
  <c r="AC67" i="1"/>
  <c r="T144" i="5" l="1"/>
  <c r="U76" i="5"/>
  <c r="AB36" i="4"/>
  <c r="AB37" i="4" s="1"/>
  <c r="AC35" i="4" s="1"/>
  <c r="AB38" i="4"/>
  <c r="AA65" i="4"/>
  <c r="AB57" i="4"/>
  <c r="AB34" i="4"/>
  <c r="AB55" i="4"/>
  <c r="AB59" i="4"/>
  <c r="AB42" i="4"/>
  <c r="AU192" i="3"/>
  <c r="AV191" i="3"/>
  <c r="AV189" i="3"/>
  <c r="AV187" i="3"/>
  <c r="AV110" i="3"/>
  <c r="AV102" i="3"/>
  <c r="AV194" i="3" s="1"/>
  <c r="AW100" i="3" s="1"/>
  <c r="AH104" i="3"/>
  <c r="AH105" i="3" s="1"/>
  <c r="AH106" i="3"/>
  <c r="AA98" i="2"/>
  <c r="AA100" i="2"/>
  <c r="AC116" i="1"/>
  <c r="AC118" i="1"/>
  <c r="U82" i="5" l="1"/>
  <c r="U80" i="5"/>
  <c r="U81" i="5" s="1"/>
  <c r="V79" i="5" s="1"/>
  <c r="U138" i="5"/>
  <c r="U140" i="5"/>
  <c r="U86" i="5"/>
  <c r="U136" i="5"/>
  <c r="U78" i="5"/>
  <c r="AB62" i="4"/>
  <c r="AB60" i="4"/>
  <c r="AV192" i="3"/>
  <c r="AW187" i="3"/>
  <c r="AW191" i="3"/>
  <c r="AW189" i="3"/>
  <c r="AW110" i="3"/>
  <c r="AW102" i="3"/>
  <c r="AH195" i="3"/>
  <c r="AH197" i="3" s="1"/>
  <c r="AI103" i="3"/>
  <c r="AA101" i="2"/>
  <c r="AB53" i="2"/>
  <c r="AD57" i="1"/>
  <c r="AC119" i="1"/>
  <c r="U141" i="5" l="1"/>
  <c r="AB63" i="4"/>
  <c r="AC32" i="4"/>
  <c r="AW194" i="3"/>
  <c r="AX100" i="3" s="1"/>
  <c r="AW192" i="3"/>
  <c r="AX191" i="3"/>
  <c r="AX187" i="3"/>
  <c r="AX189" i="3"/>
  <c r="AX110" i="3"/>
  <c r="AX102" i="3"/>
  <c r="AX194" i="3" s="1"/>
  <c r="AY100" i="3" s="1"/>
  <c r="AI104" i="3"/>
  <c r="AI105" i="3" s="1"/>
  <c r="AI106" i="3"/>
  <c r="AB57" i="2"/>
  <c r="AB58" i="2" s="1"/>
  <c r="AC56" i="2" s="1"/>
  <c r="AB59" i="2"/>
  <c r="AB55" i="2"/>
  <c r="AB63" i="2"/>
  <c r="AB93" i="2"/>
  <c r="AB95" i="2"/>
  <c r="AD67" i="1"/>
  <c r="AD59" i="1"/>
  <c r="AD118" i="1" s="1"/>
  <c r="AD61" i="1"/>
  <c r="AD62" i="1" s="1"/>
  <c r="AE60" i="1" s="1"/>
  <c r="AC121" i="1"/>
  <c r="AD63" i="1"/>
  <c r="U143" i="5" l="1"/>
  <c r="AC36" i="4"/>
  <c r="AC37" i="4" s="1"/>
  <c r="AD35" i="4" s="1"/>
  <c r="AC38" i="4"/>
  <c r="AB65" i="4"/>
  <c r="AC57" i="4"/>
  <c r="AC42" i="4"/>
  <c r="AC59" i="4"/>
  <c r="AC55" i="4"/>
  <c r="AC60" i="4" s="1"/>
  <c r="AC34" i="4"/>
  <c r="AC62" i="4" s="1"/>
  <c r="AX192" i="3"/>
  <c r="AY187" i="3"/>
  <c r="AY191" i="3"/>
  <c r="AY189" i="3"/>
  <c r="AY110" i="3"/>
  <c r="AY102" i="3"/>
  <c r="AY194" i="3" s="1"/>
  <c r="AZ100" i="3" s="1"/>
  <c r="AI195" i="3"/>
  <c r="AI197" i="3" s="1"/>
  <c r="AJ103" i="3"/>
  <c r="AB98" i="2"/>
  <c r="AB100" i="2"/>
  <c r="AD119" i="1"/>
  <c r="AE57" i="1"/>
  <c r="AD116" i="1"/>
  <c r="U144" i="5" l="1"/>
  <c r="V76" i="5"/>
  <c r="AC63" i="4"/>
  <c r="AD32" i="4"/>
  <c r="AY192" i="3"/>
  <c r="AZ191" i="3"/>
  <c r="AZ187" i="3"/>
  <c r="AZ189" i="3"/>
  <c r="AZ110" i="3"/>
  <c r="AZ102" i="3"/>
  <c r="AJ104" i="3"/>
  <c r="AJ105" i="3" s="1"/>
  <c r="AJ106" i="3"/>
  <c r="AB101" i="2"/>
  <c r="AC53" i="2"/>
  <c r="AD121" i="1"/>
  <c r="AE63" i="1"/>
  <c r="AE61" i="1"/>
  <c r="AE62" i="1" s="1"/>
  <c r="AF60" i="1" s="1"/>
  <c r="AE116" i="1"/>
  <c r="AE59" i="1"/>
  <c r="AE67" i="1"/>
  <c r="V82" i="5" l="1"/>
  <c r="V80" i="5"/>
  <c r="V81" i="5" s="1"/>
  <c r="W79" i="5" s="1"/>
  <c r="V86" i="5"/>
  <c r="V136" i="5"/>
  <c r="V138" i="5"/>
  <c r="V140" i="5"/>
  <c r="V78" i="5"/>
  <c r="AD36" i="4"/>
  <c r="AD37" i="4" s="1"/>
  <c r="AE35" i="4" s="1"/>
  <c r="AD38" i="4"/>
  <c r="AC65" i="4"/>
  <c r="AD57" i="4"/>
  <c r="AD42" i="4"/>
  <c r="AD55" i="4"/>
  <c r="AD34" i="4"/>
  <c r="AD62" i="4" s="1"/>
  <c r="AD59" i="4"/>
  <c r="AZ192" i="3"/>
  <c r="AZ194" i="3"/>
  <c r="BA100" i="3" s="1"/>
  <c r="AK103" i="3"/>
  <c r="AJ195" i="3"/>
  <c r="AJ197" i="3" s="1"/>
  <c r="AC57" i="2"/>
  <c r="AC58" i="2" s="1"/>
  <c r="AD56" i="2" s="1"/>
  <c r="AC59" i="2"/>
  <c r="AC63" i="2"/>
  <c r="AC55" i="2"/>
  <c r="AC93" i="2"/>
  <c r="AC95" i="2"/>
  <c r="AE118" i="1"/>
  <c r="V141" i="5" l="1"/>
  <c r="AD63" i="4"/>
  <c r="AE32" i="4"/>
  <c r="AD60" i="4"/>
  <c r="BA102" i="3"/>
  <c r="BA110" i="3"/>
  <c r="BA187" i="3"/>
  <c r="BA191" i="3"/>
  <c r="BA189" i="3"/>
  <c r="AK104" i="3"/>
  <c r="AK105" i="3" s="1"/>
  <c r="AK106" i="3"/>
  <c r="AC100" i="2"/>
  <c r="AC98" i="2"/>
  <c r="AF57" i="1"/>
  <c r="AE119" i="1"/>
  <c r="V143" i="5" l="1"/>
  <c r="AE36" i="4"/>
  <c r="AE37" i="4" s="1"/>
  <c r="AF35" i="4" s="1"/>
  <c r="AE38" i="4"/>
  <c r="AD65" i="4"/>
  <c r="AE55" i="4"/>
  <c r="AE57" i="4"/>
  <c r="AE59" i="4"/>
  <c r="AE42" i="4"/>
  <c r="AE34" i="4"/>
  <c r="AE62" i="4" s="1"/>
  <c r="BA194" i="3"/>
  <c r="BB100" i="3" s="1"/>
  <c r="BA192" i="3"/>
  <c r="AL103" i="3"/>
  <c r="AK195" i="3"/>
  <c r="AK197" i="3" s="1"/>
  <c r="AC101" i="2"/>
  <c r="AD53" i="2"/>
  <c r="AD57" i="2"/>
  <c r="AD58" i="2" s="1"/>
  <c r="AE56" i="2" s="1"/>
  <c r="AD59" i="2"/>
  <c r="AD63" i="2"/>
  <c r="AD55" i="2"/>
  <c r="AD100" i="2" s="1"/>
  <c r="AD93" i="2"/>
  <c r="AD95" i="2"/>
  <c r="AF116" i="1"/>
  <c r="AF59" i="1"/>
  <c r="AF67" i="1"/>
  <c r="AF61" i="1"/>
  <c r="AF62" i="1" s="1"/>
  <c r="AG60" i="1" s="1"/>
  <c r="AE121" i="1"/>
  <c r="AF63" i="1"/>
  <c r="V144" i="5" l="1"/>
  <c r="W76" i="5"/>
  <c r="AF32" i="4"/>
  <c r="AE63" i="4"/>
  <c r="AE60" i="4"/>
  <c r="BB187" i="3"/>
  <c r="BB191" i="3"/>
  <c r="BB189" i="3"/>
  <c r="BB110" i="3"/>
  <c r="BB102" i="3"/>
  <c r="BB194" i="3" s="1"/>
  <c r="BC100" i="3" s="1"/>
  <c r="AL106" i="3"/>
  <c r="AL104" i="3"/>
  <c r="AL105" i="3" s="1"/>
  <c r="AE53" i="2"/>
  <c r="AD101" i="2"/>
  <c r="AD98" i="2"/>
  <c r="AF118" i="1"/>
  <c r="AF119" i="1"/>
  <c r="AG57" i="1"/>
  <c r="W82" i="5" l="1"/>
  <c r="W80" i="5"/>
  <c r="W81" i="5" s="1"/>
  <c r="X79" i="5" s="1"/>
  <c r="W138" i="5"/>
  <c r="W140" i="5"/>
  <c r="W86" i="5"/>
  <c r="W136" i="5"/>
  <c r="W78" i="5"/>
  <c r="AF59" i="4"/>
  <c r="AF57" i="4"/>
  <c r="AF34" i="4"/>
  <c r="AF42" i="4"/>
  <c r="AF55" i="4"/>
  <c r="AF60" i="4" s="1"/>
  <c r="AF38" i="4"/>
  <c r="AF36" i="4"/>
  <c r="AF37" i="4" s="1"/>
  <c r="AG35" i="4" s="1"/>
  <c r="AE65" i="4"/>
  <c r="BC110" i="3"/>
  <c r="BC102" i="3"/>
  <c r="BC194" i="3" s="1"/>
  <c r="BD100" i="3" s="1"/>
  <c r="BC187" i="3"/>
  <c r="BC191" i="3"/>
  <c r="BC189" i="3"/>
  <c r="BB192" i="3"/>
  <c r="BD189" i="3"/>
  <c r="AL195" i="3"/>
  <c r="AL197" i="3" s="1"/>
  <c r="AM103" i="3"/>
  <c r="AE55" i="2"/>
  <c r="AE63" i="2"/>
  <c r="AE93" i="2"/>
  <c r="AE95" i="2"/>
  <c r="AE59" i="2"/>
  <c r="AE57" i="2"/>
  <c r="AE58" i="2" s="1"/>
  <c r="AF56" i="2" s="1"/>
  <c r="AF121" i="1"/>
  <c r="AG61" i="1"/>
  <c r="AG62" i="1" s="1"/>
  <c r="AH60" i="1" s="1"/>
  <c r="AG63" i="1"/>
  <c r="AG116" i="1"/>
  <c r="AG59" i="1"/>
  <c r="AG67" i="1"/>
  <c r="W141" i="5" l="1"/>
  <c r="AF62" i="4"/>
  <c r="BD191" i="3"/>
  <c r="BD102" i="3"/>
  <c r="BD110" i="3"/>
  <c r="BD187" i="3"/>
  <c r="BC192" i="3"/>
  <c r="BD192" i="3"/>
  <c r="BD194" i="3"/>
  <c r="BE100" i="3" s="1"/>
  <c r="AM104" i="3"/>
  <c r="AM105" i="3" s="1"/>
  <c r="AM106" i="3"/>
  <c r="AE98" i="2"/>
  <c r="AE100" i="2"/>
  <c r="AG118" i="1"/>
  <c r="W143" i="5" l="1"/>
  <c r="AF63" i="4"/>
  <c r="AG32" i="4"/>
  <c r="BE187" i="3"/>
  <c r="BE191" i="3"/>
  <c r="BE189" i="3"/>
  <c r="BE102" i="3"/>
  <c r="BE110" i="3"/>
  <c r="AN103" i="3"/>
  <c r="AM195" i="3"/>
  <c r="AM197" i="3" s="1"/>
  <c r="AF53" i="2"/>
  <c r="AE101" i="2"/>
  <c r="AH57" i="1"/>
  <c r="AG119" i="1"/>
  <c r="W144" i="5" l="1"/>
  <c r="X76" i="5"/>
  <c r="AG36" i="4"/>
  <c r="AG37" i="4" s="1"/>
  <c r="AH35" i="4" s="1"/>
  <c r="AG38" i="4"/>
  <c r="AF65" i="4"/>
  <c r="AG34" i="4"/>
  <c r="AG42" i="4"/>
  <c r="AG59" i="4"/>
  <c r="AG57" i="4"/>
  <c r="AG55" i="4"/>
  <c r="AG60" i="4" s="1"/>
  <c r="BE192" i="3"/>
  <c r="BE194" i="3"/>
  <c r="BF100" i="3" s="1"/>
  <c r="AN106" i="3"/>
  <c r="AN104" i="3"/>
  <c r="AN105" i="3" s="1"/>
  <c r="AF55" i="2"/>
  <c r="AF63" i="2"/>
  <c r="AF93" i="2"/>
  <c r="AF95" i="2"/>
  <c r="AF57" i="2"/>
  <c r="AF58" i="2" s="1"/>
  <c r="AG56" i="2" s="1"/>
  <c r="AF59" i="2"/>
  <c r="AH67" i="1"/>
  <c r="AH59" i="1"/>
  <c r="AH118" i="1" s="1"/>
  <c r="AH61" i="1"/>
  <c r="AH62" i="1" s="1"/>
  <c r="AI60" i="1" s="1"/>
  <c r="AG121" i="1"/>
  <c r="AH63" i="1"/>
  <c r="X82" i="5" l="1"/>
  <c r="X80" i="5"/>
  <c r="X81" i="5" s="1"/>
  <c r="Y79" i="5" s="1"/>
  <c r="X86" i="5"/>
  <c r="X136" i="5"/>
  <c r="X138" i="5"/>
  <c r="X140" i="5"/>
  <c r="X78" i="5"/>
  <c r="AG62" i="4"/>
  <c r="BF187" i="3"/>
  <c r="BF191" i="3"/>
  <c r="BF189" i="3"/>
  <c r="BF102" i="3"/>
  <c r="BF110" i="3"/>
  <c r="AN195" i="3"/>
  <c r="AN197" i="3" s="1"/>
  <c r="AO103" i="3"/>
  <c r="AF98" i="2"/>
  <c r="AF100" i="2"/>
  <c r="AH119" i="1"/>
  <c r="AI57" i="1"/>
  <c r="AH116" i="1"/>
  <c r="X141" i="5" l="1"/>
  <c r="AH32" i="4"/>
  <c r="AG63" i="4"/>
  <c r="BF192" i="3"/>
  <c r="BF194" i="3"/>
  <c r="BG100" i="3" s="1"/>
  <c r="AO104" i="3"/>
  <c r="AO105" i="3" s="1"/>
  <c r="AO106" i="3"/>
  <c r="AF101" i="2"/>
  <c r="AG53" i="2"/>
  <c r="AI61" i="1"/>
  <c r="AI62" i="1" s="1"/>
  <c r="AJ60" i="1" s="1"/>
  <c r="AH121" i="1"/>
  <c r="AI63" i="1"/>
  <c r="AI116" i="1"/>
  <c r="AI59" i="1"/>
  <c r="AI67" i="1"/>
  <c r="X143" i="5" l="1"/>
  <c r="AH42" i="4"/>
  <c r="AH59" i="4"/>
  <c r="AH57" i="4"/>
  <c r="AH55" i="4"/>
  <c r="AH34" i="4"/>
  <c r="AH62" i="4" s="1"/>
  <c r="AH38" i="4"/>
  <c r="AH36" i="4"/>
  <c r="AH37" i="4" s="1"/>
  <c r="AI35" i="4" s="1"/>
  <c r="AG65" i="4"/>
  <c r="BG191" i="3"/>
  <c r="BG187" i="3"/>
  <c r="BG189" i="3"/>
  <c r="BG102" i="3"/>
  <c r="BG110" i="3"/>
  <c r="AP103" i="3"/>
  <c r="AO195" i="3"/>
  <c r="AO197" i="3" s="1"/>
  <c r="AG57" i="2"/>
  <c r="AG58" i="2" s="1"/>
  <c r="AH56" i="2" s="1"/>
  <c r="AG59" i="2"/>
  <c r="AG55" i="2"/>
  <c r="AG63" i="2"/>
  <c r="AG93" i="2"/>
  <c r="AG95" i="2"/>
  <c r="AI118" i="1"/>
  <c r="X144" i="5" l="1"/>
  <c r="Y76" i="5"/>
  <c r="AH60" i="4"/>
  <c r="AI32" i="4"/>
  <c r="AH63" i="4"/>
  <c r="BG192" i="3"/>
  <c r="BG194" i="3"/>
  <c r="BH100" i="3" s="1"/>
  <c r="AP104" i="3"/>
  <c r="AP105" i="3" s="1"/>
  <c r="AP106" i="3"/>
  <c r="AG98" i="2"/>
  <c r="AG100" i="2"/>
  <c r="AJ57" i="1"/>
  <c r="AI119" i="1"/>
  <c r="Y82" i="5" l="1"/>
  <c r="Y80" i="5"/>
  <c r="Y81" i="5" s="1"/>
  <c r="Z79" i="5" s="1"/>
  <c r="Y140" i="5"/>
  <c r="Y86" i="5"/>
  <c r="Y136" i="5"/>
  <c r="Y138" i="5"/>
  <c r="Y78" i="5"/>
  <c r="AI57" i="4"/>
  <c r="AI42" i="4"/>
  <c r="AI59" i="4"/>
  <c r="AI55" i="4"/>
  <c r="AI60" i="4" s="1"/>
  <c r="AI34" i="4"/>
  <c r="AI62" i="4" s="1"/>
  <c r="AI36" i="4"/>
  <c r="AI37" i="4" s="1"/>
  <c r="AJ35" i="4" s="1"/>
  <c r="AI38" i="4"/>
  <c r="AH65" i="4"/>
  <c r="BH189" i="3"/>
  <c r="BJ189" i="3" s="1"/>
  <c r="BH187" i="3"/>
  <c r="BH191" i="3"/>
  <c r="BJ191" i="3" s="1"/>
  <c r="BH102" i="3"/>
  <c r="BH110" i="3"/>
  <c r="BJ110" i="3" s="1"/>
  <c r="AQ103" i="3"/>
  <c r="AP195" i="3"/>
  <c r="AP197" i="3" s="1"/>
  <c r="AH53" i="2"/>
  <c r="AG101" i="2"/>
  <c r="AJ59" i="1"/>
  <c r="AJ67" i="1"/>
  <c r="AI121" i="1"/>
  <c r="AJ61" i="1"/>
  <c r="AJ62" i="1" s="1"/>
  <c r="AK60" i="1" s="1"/>
  <c r="AJ63" i="1"/>
  <c r="Y141" i="5" l="1"/>
  <c r="AJ32" i="4"/>
  <c r="AI63" i="4"/>
  <c r="BJ187" i="3"/>
  <c r="BH192" i="3"/>
  <c r="BJ192" i="3" s="1"/>
  <c r="BL110" i="3" s="1"/>
  <c r="BH194" i="3"/>
  <c r="AQ106" i="3"/>
  <c r="AQ104" i="3"/>
  <c r="AQ105" i="3" s="1"/>
  <c r="AH55" i="2"/>
  <c r="AH63" i="2"/>
  <c r="AH95" i="2"/>
  <c r="AH93" i="2"/>
  <c r="AH57" i="2"/>
  <c r="AH58" i="2" s="1"/>
  <c r="AI56" i="2" s="1"/>
  <c r="AH59" i="2"/>
  <c r="AJ116" i="1"/>
  <c r="AJ118" i="1"/>
  <c r="Y143" i="5" l="1"/>
  <c r="AJ55" i="4"/>
  <c r="AJ57" i="4"/>
  <c r="AJ42" i="4"/>
  <c r="AJ59" i="4"/>
  <c r="AJ34" i="4"/>
  <c r="AJ36" i="4"/>
  <c r="AJ37" i="4" s="1"/>
  <c r="AK35" i="4" s="1"/>
  <c r="AJ38" i="4"/>
  <c r="AI65" i="4"/>
  <c r="AQ195" i="3"/>
  <c r="AQ197" i="3" s="1"/>
  <c r="AR103" i="3"/>
  <c r="AH98" i="2"/>
  <c r="AH100" i="2"/>
  <c r="AK57" i="1"/>
  <c r="AJ119" i="1"/>
  <c r="Y144" i="5" l="1"/>
  <c r="Z76" i="5"/>
  <c r="AJ62" i="4"/>
  <c r="AJ60" i="4"/>
  <c r="AK32" i="4"/>
  <c r="AJ63" i="4"/>
  <c r="AR104" i="3"/>
  <c r="AR105" i="3" s="1"/>
  <c r="AR106" i="3"/>
  <c r="AI53" i="2"/>
  <c r="AH101" i="2"/>
  <c r="AK116" i="1"/>
  <c r="AK59" i="1"/>
  <c r="AK67" i="1"/>
  <c r="AK61" i="1"/>
  <c r="AK62" i="1" s="1"/>
  <c r="AL60" i="1" s="1"/>
  <c r="AJ121" i="1"/>
  <c r="AK63" i="1"/>
  <c r="Z82" i="5" l="1"/>
  <c r="Z80" i="5"/>
  <c r="Z81" i="5" s="1"/>
  <c r="AA79" i="5" s="1"/>
  <c r="Z86" i="5"/>
  <c r="Z136" i="5"/>
  <c r="Z138" i="5"/>
  <c r="Z140" i="5"/>
  <c r="Z78" i="5"/>
  <c r="AK34" i="4"/>
  <c r="AK59" i="4"/>
  <c r="AK57" i="4"/>
  <c r="AK55" i="4"/>
  <c r="AK42" i="4"/>
  <c r="AK36" i="4"/>
  <c r="AK37" i="4" s="1"/>
  <c r="AL35" i="4" s="1"/>
  <c r="AK38" i="4"/>
  <c r="AJ65" i="4"/>
  <c r="AS103" i="3"/>
  <c r="AR195" i="3"/>
  <c r="AR197" i="3" s="1"/>
  <c r="AI55" i="2"/>
  <c r="AI63" i="2"/>
  <c r="AI93" i="2"/>
  <c r="AI95" i="2"/>
  <c r="AI57" i="2"/>
  <c r="AI58" i="2" s="1"/>
  <c r="AJ56" i="2" s="1"/>
  <c r="AI59" i="2"/>
  <c r="AK118" i="1"/>
  <c r="Z141" i="5" l="1"/>
  <c r="AK60" i="4"/>
  <c r="AK62" i="4"/>
  <c r="AS104" i="3"/>
  <c r="AS105" i="3" s="1"/>
  <c r="AS106" i="3"/>
  <c r="AI98" i="2"/>
  <c r="AI100" i="2"/>
  <c r="AL57" i="1"/>
  <c r="AK119" i="1"/>
  <c r="Z143" i="5" l="1"/>
  <c r="AL32" i="4"/>
  <c r="AK63" i="4"/>
  <c r="AS195" i="3"/>
  <c r="AS197" i="3" s="1"/>
  <c r="AT103" i="3"/>
  <c r="AJ53" i="2"/>
  <c r="AI101" i="2"/>
  <c r="AL59" i="1"/>
  <c r="AL67" i="1"/>
  <c r="AL61" i="1"/>
  <c r="AL62" i="1" s="1"/>
  <c r="AM60" i="1" s="1"/>
  <c r="AK121" i="1"/>
  <c r="AL63" i="1"/>
  <c r="Z144" i="5" l="1"/>
  <c r="AA76" i="5"/>
  <c r="AL34" i="4"/>
  <c r="AL55" i="4"/>
  <c r="AL57" i="4"/>
  <c r="AL59" i="4"/>
  <c r="AL42" i="4"/>
  <c r="AL36" i="4"/>
  <c r="AL37" i="4" s="1"/>
  <c r="AM35" i="4" s="1"/>
  <c r="AL38" i="4"/>
  <c r="AK65" i="4"/>
  <c r="AT104" i="3"/>
  <c r="AT105" i="3" s="1"/>
  <c r="AT106" i="3"/>
  <c r="AJ55" i="2"/>
  <c r="AJ63" i="2"/>
  <c r="AJ93" i="2"/>
  <c r="AJ95" i="2"/>
  <c r="AJ57" i="2"/>
  <c r="AJ58" i="2" s="1"/>
  <c r="AK56" i="2" s="1"/>
  <c r="AJ59" i="2"/>
  <c r="AL116" i="1"/>
  <c r="AL118" i="1"/>
  <c r="AA82" i="5" l="1"/>
  <c r="AA80" i="5"/>
  <c r="AA81" i="5" s="1"/>
  <c r="AB79" i="5" s="1"/>
  <c r="AA140" i="5"/>
  <c r="AA86" i="5"/>
  <c r="AA136" i="5"/>
  <c r="AA138" i="5"/>
  <c r="AA78" i="5"/>
  <c r="AL62" i="4"/>
  <c r="AL60" i="4"/>
  <c r="AU103" i="3"/>
  <c r="AT195" i="3"/>
  <c r="AT197" i="3" s="1"/>
  <c r="AJ100" i="2"/>
  <c r="AJ101" i="2" s="1"/>
  <c r="AK53" i="2"/>
  <c r="AJ98" i="2"/>
  <c r="AM57" i="1"/>
  <c r="AL119" i="1"/>
  <c r="AA141" i="5" l="1"/>
  <c r="AM32" i="4"/>
  <c r="AL63" i="4"/>
  <c r="AU104" i="3"/>
  <c r="AU105" i="3" s="1"/>
  <c r="AU106" i="3"/>
  <c r="AK59" i="2"/>
  <c r="AK57" i="2"/>
  <c r="AK58" i="2" s="1"/>
  <c r="AL56" i="2" s="1"/>
  <c r="AK55" i="2"/>
  <c r="AK63" i="2"/>
  <c r="AK95" i="2"/>
  <c r="AK93" i="2"/>
  <c r="AM59" i="1"/>
  <c r="AM67" i="1"/>
  <c r="AM61" i="1"/>
  <c r="AM62" i="1" s="1"/>
  <c r="AN60" i="1" s="1"/>
  <c r="AL121" i="1"/>
  <c r="AM63" i="1"/>
  <c r="AA143" i="5" l="1"/>
  <c r="AM57" i="4"/>
  <c r="AM42" i="4"/>
  <c r="AM34" i="4"/>
  <c r="AM59" i="4"/>
  <c r="AM55" i="4"/>
  <c r="AM38" i="4"/>
  <c r="AM36" i="4"/>
  <c r="AM37" i="4" s="1"/>
  <c r="AN35" i="4" s="1"/>
  <c r="AL65" i="4"/>
  <c r="AV103" i="3"/>
  <c r="AU195" i="3"/>
  <c r="AU197" i="3" s="1"/>
  <c r="AK98" i="2"/>
  <c r="AK100" i="2"/>
  <c r="AM116" i="1"/>
  <c r="AM118" i="1"/>
  <c r="AA144" i="5" l="1"/>
  <c r="AB76" i="5"/>
  <c r="AM62" i="4"/>
  <c r="AM63" i="4" s="1"/>
  <c r="AN32" i="4"/>
  <c r="AM60" i="4"/>
  <c r="AV104" i="3"/>
  <c r="AV105" i="3" s="1"/>
  <c r="AV106" i="3"/>
  <c r="AL53" i="2"/>
  <c r="AK101" i="2"/>
  <c r="AN57" i="1"/>
  <c r="AM119" i="1"/>
  <c r="AB82" i="5" l="1"/>
  <c r="AB80" i="5"/>
  <c r="AB81" i="5" s="1"/>
  <c r="AC79" i="5" s="1"/>
  <c r="AB86" i="5"/>
  <c r="AB136" i="5"/>
  <c r="AB138" i="5"/>
  <c r="AB140" i="5"/>
  <c r="AB78" i="5"/>
  <c r="AN36" i="4"/>
  <c r="AN37" i="4" s="1"/>
  <c r="AO35" i="4" s="1"/>
  <c r="AN38" i="4"/>
  <c r="AM65" i="4"/>
  <c r="AN59" i="4"/>
  <c r="AN57" i="4"/>
  <c r="AN55" i="4"/>
  <c r="AN34" i="4"/>
  <c r="AN42" i="4"/>
  <c r="AW103" i="3"/>
  <c r="AV195" i="3"/>
  <c r="AV197" i="3" s="1"/>
  <c r="AL55" i="2"/>
  <c r="AL63" i="2"/>
  <c r="AL93" i="2"/>
  <c r="AL95" i="2"/>
  <c r="AL59" i="2"/>
  <c r="AL57" i="2"/>
  <c r="AL58" i="2" s="1"/>
  <c r="AM56" i="2" s="1"/>
  <c r="AN116" i="1"/>
  <c r="AN59" i="1"/>
  <c r="AN67" i="1"/>
  <c r="AM121" i="1"/>
  <c r="AN63" i="1"/>
  <c r="AN61" i="1"/>
  <c r="AN62" i="1" s="1"/>
  <c r="AO60" i="1" s="1"/>
  <c r="AB141" i="5" l="1"/>
  <c r="AN60" i="4"/>
  <c r="AN62" i="4"/>
  <c r="AW106" i="3"/>
  <c r="AW104" i="3"/>
  <c r="AW105" i="3" s="1"/>
  <c r="AL98" i="2"/>
  <c r="AL100" i="2"/>
  <c r="AN118" i="1"/>
  <c r="AB143" i="5" l="1"/>
  <c r="AN63" i="4"/>
  <c r="AO32" i="4"/>
  <c r="AW195" i="3"/>
  <c r="AW197" i="3" s="1"/>
  <c r="AX103" i="3"/>
  <c r="AM53" i="2"/>
  <c r="AL101" i="2"/>
  <c r="AO57" i="1"/>
  <c r="AN119" i="1"/>
  <c r="AB144" i="5" l="1"/>
  <c r="AC76" i="5"/>
  <c r="AO36" i="4"/>
  <c r="AO37" i="4" s="1"/>
  <c r="AP35" i="4" s="1"/>
  <c r="AO38" i="4"/>
  <c r="AN65" i="4"/>
  <c r="AO57" i="4"/>
  <c r="AO34" i="4"/>
  <c r="AO59" i="4"/>
  <c r="AO55" i="4"/>
  <c r="AO60" i="4" s="1"/>
  <c r="AO42" i="4"/>
  <c r="AX104" i="3"/>
  <c r="AX105" i="3" s="1"/>
  <c r="AX106" i="3"/>
  <c r="AM55" i="2"/>
  <c r="AM63" i="2"/>
  <c r="AM95" i="2"/>
  <c r="AM93" i="2"/>
  <c r="AM57" i="2"/>
  <c r="AM58" i="2" s="1"/>
  <c r="AN56" i="2" s="1"/>
  <c r="AM59" i="2"/>
  <c r="AO59" i="1"/>
  <c r="AO116" i="1"/>
  <c r="AO67" i="1"/>
  <c r="AO61" i="1"/>
  <c r="AO62" i="1" s="1"/>
  <c r="AP60" i="1" s="1"/>
  <c r="AN121" i="1"/>
  <c r="AO63" i="1"/>
  <c r="AC82" i="5" l="1"/>
  <c r="AC80" i="5"/>
  <c r="AC81" i="5" s="1"/>
  <c r="AD79" i="5" s="1"/>
  <c r="AC86" i="5"/>
  <c r="AC136" i="5"/>
  <c r="AC138" i="5"/>
  <c r="AC140" i="5"/>
  <c r="AC78" i="5"/>
  <c r="AO62" i="4"/>
  <c r="AY103" i="3"/>
  <c r="AX195" i="3"/>
  <c r="AX197" i="3" s="1"/>
  <c r="AM98" i="2"/>
  <c r="AM100" i="2"/>
  <c r="AO118" i="1"/>
  <c r="AC141" i="5" l="1"/>
  <c r="AO63" i="4"/>
  <c r="AP32" i="4"/>
  <c r="AY106" i="3"/>
  <c r="AY104" i="3"/>
  <c r="AY105" i="3" s="1"/>
  <c r="AN53" i="2"/>
  <c r="AM101" i="2"/>
  <c r="AP57" i="1"/>
  <c r="AO119" i="1"/>
  <c r="AC143" i="5" l="1"/>
  <c r="AP36" i="4"/>
  <c r="AP37" i="4" s="1"/>
  <c r="AQ35" i="4" s="1"/>
  <c r="AP38" i="4"/>
  <c r="AO65" i="4"/>
  <c r="AP34" i="4"/>
  <c r="AP59" i="4"/>
  <c r="AP55" i="4"/>
  <c r="AP57" i="4"/>
  <c r="AP42" i="4"/>
  <c r="AZ103" i="3"/>
  <c r="AY195" i="3"/>
  <c r="AY197" i="3" s="1"/>
  <c r="AN55" i="2"/>
  <c r="AN63" i="2"/>
  <c r="AN93" i="2"/>
  <c r="AN95" i="2"/>
  <c r="AN57" i="2"/>
  <c r="AN58" i="2" s="1"/>
  <c r="AO56" i="2" s="1"/>
  <c r="AN59" i="2"/>
  <c r="AP59" i="1"/>
  <c r="AP67" i="1"/>
  <c r="AP61" i="1"/>
  <c r="AP62" i="1" s="1"/>
  <c r="AQ60" i="1" s="1"/>
  <c r="AO121" i="1"/>
  <c r="AP63" i="1"/>
  <c r="AC144" i="5" l="1"/>
  <c r="AD76" i="5"/>
  <c r="AP62" i="4"/>
  <c r="AQ32" i="4" s="1"/>
  <c r="AP63" i="4"/>
  <c r="AP60" i="4"/>
  <c r="AZ104" i="3"/>
  <c r="AZ105" i="3" s="1"/>
  <c r="AZ106" i="3"/>
  <c r="AN98" i="2"/>
  <c r="AN100" i="2"/>
  <c r="AP116" i="1"/>
  <c r="AP118" i="1"/>
  <c r="AD82" i="5" l="1"/>
  <c r="AD80" i="5"/>
  <c r="AD81" i="5" s="1"/>
  <c r="AE79" i="5" s="1"/>
  <c r="AD138" i="5"/>
  <c r="AD140" i="5"/>
  <c r="AD86" i="5"/>
  <c r="AD136" i="5"/>
  <c r="AD78" i="5"/>
  <c r="AQ36" i="4"/>
  <c r="AQ37" i="4" s="1"/>
  <c r="AR35" i="4" s="1"/>
  <c r="AQ38" i="4"/>
  <c r="AP65" i="4"/>
  <c r="AQ55" i="4"/>
  <c r="AQ57" i="4"/>
  <c r="AQ34" i="4"/>
  <c r="AQ42" i="4"/>
  <c r="AQ59" i="4"/>
  <c r="AZ195" i="3"/>
  <c r="AZ197" i="3" s="1"/>
  <c r="BA103" i="3"/>
  <c r="AO53" i="2"/>
  <c r="AN101" i="2"/>
  <c r="AQ57" i="1"/>
  <c r="AP119" i="1"/>
  <c r="AD141" i="5" l="1"/>
  <c r="AQ60" i="4"/>
  <c r="AQ62" i="4"/>
  <c r="BA106" i="3"/>
  <c r="BA104" i="3"/>
  <c r="BA105" i="3" s="1"/>
  <c r="AO55" i="2"/>
  <c r="AO63" i="2"/>
  <c r="AO93" i="2"/>
  <c r="AO95" i="2"/>
  <c r="AO57" i="2"/>
  <c r="AO58" i="2" s="1"/>
  <c r="AP56" i="2" s="1"/>
  <c r="AO59" i="2"/>
  <c r="AQ116" i="1"/>
  <c r="AQ59" i="1"/>
  <c r="AQ67" i="1"/>
  <c r="AP121" i="1"/>
  <c r="AQ61" i="1"/>
  <c r="AQ62" i="1" s="1"/>
  <c r="AR60" i="1" s="1"/>
  <c r="AQ63" i="1"/>
  <c r="AD143" i="5" l="1"/>
  <c r="AR32" i="4"/>
  <c r="AQ63" i="4"/>
  <c r="BA195" i="3"/>
  <c r="BA197" i="3" s="1"/>
  <c r="BB103" i="3"/>
  <c r="AO98" i="2"/>
  <c r="AO100" i="2"/>
  <c r="AQ118" i="1"/>
  <c r="AD144" i="5" l="1"/>
  <c r="AE76" i="5"/>
  <c r="AR59" i="4"/>
  <c r="AR57" i="4"/>
  <c r="AR34" i="4"/>
  <c r="AR55" i="4"/>
  <c r="AR42" i="4"/>
  <c r="AR36" i="4"/>
  <c r="AR37" i="4" s="1"/>
  <c r="AS35" i="4" s="1"/>
  <c r="AR38" i="4"/>
  <c r="AQ65" i="4"/>
  <c r="BB104" i="3"/>
  <c r="BB105" i="3" s="1"/>
  <c r="BB106" i="3"/>
  <c r="AO101" i="2"/>
  <c r="AP53" i="2"/>
  <c r="AR57" i="1"/>
  <c r="AQ119" i="1"/>
  <c r="AE82" i="5" l="1"/>
  <c r="AE80" i="5"/>
  <c r="AE81" i="5" s="1"/>
  <c r="AF79" i="5" s="1"/>
  <c r="AE140" i="5"/>
  <c r="AE86" i="5"/>
  <c r="AE136" i="5"/>
  <c r="AE138" i="5"/>
  <c r="AE78" i="5"/>
  <c r="AR60" i="4"/>
  <c r="AR62" i="4"/>
  <c r="BB195" i="3"/>
  <c r="BB197" i="3" s="1"/>
  <c r="BC103" i="3"/>
  <c r="AP59" i="2"/>
  <c r="AP57" i="2"/>
  <c r="AP58" i="2" s="1"/>
  <c r="AQ56" i="2" s="1"/>
  <c r="AP55" i="2"/>
  <c r="AP63" i="2"/>
  <c r="AP95" i="2"/>
  <c r="AP93" i="2"/>
  <c r="AR116" i="1"/>
  <c r="AR59" i="1"/>
  <c r="AR67" i="1"/>
  <c r="AR61" i="1"/>
  <c r="AR62" i="1" s="1"/>
  <c r="AS60" i="1" s="1"/>
  <c r="AQ121" i="1"/>
  <c r="AR63" i="1"/>
  <c r="AE141" i="5" l="1"/>
  <c r="AS32" i="4"/>
  <c r="AR63" i="4"/>
  <c r="BC106" i="3"/>
  <c r="BC104" i="3"/>
  <c r="BC105" i="3" s="1"/>
  <c r="AP98" i="2"/>
  <c r="AP100" i="2"/>
  <c r="AR118" i="1"/>
  <c r="AE143" i="5" l="1"/>
  <c r="AS57" i="4"/>
  <c r="AS42" i="4"/>
  <c r="AS59" i="4"/>
  <c r="AS55" i="4"/>
  <c r="AS34" i="4"/>
  <c r="AS38" i="4"/>
  <c r="AS36" i="4"/>
  <c r="AS37" i="4" s="1"/>
  <c r="AT35" i="4" s="1"/>
  <c r="AR65" i="4"/>
  <c r="BD103" i="3"/>
  <c r="BC195" i="3"/>
  <c r="BC197" i="3" s="1"/>
  <c r="AP101" i="2"/>
  <c r="AQ53" i="2"/>
  <c r="AS57" i="1"/>
  <c r="AR119" i="1"/>
  <c r="AE144" i="5" l="1"/>
  <c r="AF76" i="5"/>
  <c r="AS60" i="4"/>
  <c r="AS62" i="4"/>
  <c r="BD106" i="3"/>
  <c r="BD104" i="3"/>
  <c r="BD105" i="3" s="1"/>
  <c r="AQ59" i="2"/>
  <c r="AQ57" i="2"/>
  <c r="AQ58" i="2" s="1"/>
  <c r="AR56" i="2" s="1"/>
  <c r="AQ63" i="2"/>
  <c r="AQ55" i="2"/>
  <c r="AQ95" i="2"/>
  <c r="AQ93" i="2"/>
  <c r="AS59" i="1"/>
  <c r="AS67" i="1"/>
  <c r="AR121" i="1"/>
  <c r="AS61" i="1"/>
  <c r="AS62" i="1" s="1"/>
  <c r="AT60" i="1" s="1"/>
  <c r="AS63" i="1"/>
  <c r="AF82" i="5" l="1"/>
  <c r="AF80" i="5"/>
  <c r="AF81" i="5" s="1"/>
  <c r="AG79" i="5" s="1"/>
  <c r="AF86" i="5"/>
  <c r="AF136" i="5"/>
  <c r="AF140" i="5"/>
  <c r="AF138" i="5"/>
  <c r="AF78" i="5"/>
  <c r="AT32" i="4"/>
  <c r="AS63" i="4"/>
  <c r="BE103" i="3"/>
  <c r="BD195" i="3"/>
  <c r="BD197" i="3" s="1"/>
  <c r="AQ98" i="2"/>
  <c r="AQ100" i="2"/>
  <c r="AS116" i="1"/>
  <c r="AS118" i="1"/>
  <c r="AF141" i="5" l="1"/>
  <c r="AT34" i="4"/>
  <c r="AT42" i="4"/>
  <c r="AT59" i="4"/>
  <c r="AT55" i="4"/>
  <c r="AT57" i="4"/>
  <c r="AT38" i="4"/>
  <c r="AT36" i="4"/>
  <c r="AT37" i="4" s="1"/>
  <c r="AU35" i="4" s="1"/>
  <c r="AS65" i="4"/>
  <c r="BE104" i="3"/>
  <c r="BE105" i="3" s="1"/>
  <c r="BE106" i="3"/>
  <c r="AR53" i="2"/>
  <c r="AQ101" i="2"/>
  <c r="AT57" i="1"/>
  <c r="AS119" i="1"/>
  <c r="AF143" i="5" l="1"/>
  <c r="AT62" i="4"/>
  <c r="AT60" i="4"/>
  <c r="BF103" i="3"/>
  <c r="BE195" i="3"/>
  <c r="BE197" i="3" s="1"/>
  <c r="AR63" i="2"/>
  <c r="AR55" i="2"/>
  <c r="AR95" i="2"/>
  <c r="AR93" i="2"/>
  <c r="AR59" i="2"/>
  <c r="AR57" i="2"/>
  <c r="AR58" i="2" s="1"/>
  <c r="AS56" i="2" s="1"/>
  <c r="AT67" i="1"/>
  <c r="AT59" i="1"/>
  <c r="AT118" i="1" s="1"/>
  <c r="AS121" i="1"/>
  <c r="AT61" i="1"/>
  <c r="AT62" i="1" s="1"/>
  <c r="AU60" i="1" s="1"/>
  <c r="AT63" i="1"/>
  <c r="AF144" i="5" l="1"/>
  <c r="AG76" i="5"/>
  <c r="AT63" i="4"/>
  <c r="AU32" i="4"/>
  <c r="BF104" i="3"/>
  <c r="BF105" i="3" s="1"/>
  <c r="BF106" i="3"/>
  <c r="AR100" i="2"/>
  <c r="AS53" i="2"/>
  <c r="AR101" i="2"/>
  <c r="AR98" i="2"/>
  <c r="AT119" i="1"/>
  <c r="AU57" i="1"/>
  <c r="AT116" i="1"/>
  <c r="AG82" i="5" l="1"/>
  <c r="AG80" i="5"/>
  <c r="AG81" i="5" s="1"/>
  <c r="AH79" i="5" s="1"/>
  <c r="AG138" i="5"/>
  <c r="AG86" i="5"/>
  <c r="AG136" i="5"/>
  <c r="AG140" i="5"/>
  <c r="AG78" i="5"/>
  <c r="AT65" i="4"/>
  <c r="AU36" i="4"/>
  <c r="AU37" i="4" s="1"/>
  <c r="AV35" i="4" s="1"/>
  <c r="AU38" i="4"/>
  <c r="AU59" i="4"/>
  <c r="AU55" i="4"/>
  <c r="AU57" i="4"/>
  <c r="AU42" i="4"/>
  <c r="AU34" i="4"/>
  <c r="AU62" i="4" s="1"/>
  <c r="BG103" i="3"/>
  <c r="BF195" i="3"/>
  <c r="BF197" i="3" s="1"/>
  <c r="AS55" i="2"/>
  <c r="AS63" i="2"/>
  <c r="AS95" i="2"/>
  <c r="AS93" i="2"/>
  <c r="AS57" i="2"/>
  <c r="AS58" i="2" s="1"/>
  <c r="AT56" i="2" s="1"/>
  <c r="AS59" i="2"/>
  <c r="AU61" i="1"/>
  <c r="AU62" i="1" s="1"/>
  <c r="AV60" i="1" s="1"/>
  <c r="AT121" i="1"/>
  <c r="AU63" i="1"/>
  <c r="AU67" i="1"/>
  <c r="AU59" i="1"/>
  <c r="AU118" i="1" s="1"/>
  <c r="AG141" i="5" l="1"/>
  <c r="AU60" i="4"/>
  <c r="AV32" i="4"/>
  <c r="AU63" i="4"/>
  <c r="BG104" i="3"/>
  <c r="BG105" i="3" s="1"/>
  <c r="BG106" i="3"/>
  <c r="AS100" i="2"/>
  <c r="AT53" i="2" s="1"/>
  <c r="AS101" i="2"/>
  <c r="AS98" i="2"/>
  <c r="AU119" i="1"/>
  <c r="AV57" i="1"/>
  <c r="AU116" i="1"/>
  <c r="AG143" i="5" l="1"/>
  <c r="AV59" i="4"/>
  <c r="AV55" i="4"/>
  <c r="AV57" i="4"/>
  <c r="AV34" i="4"/>
  <c r="AV42" i="4"/>
  <c r="AV36" i="4"/>
  <c r="AV37" i="4" s="1"/>
  <c r="AW35" i="4" s="1"/>
  <c r="AV38" i="4"/>
  <c r="AU65" i="4"/>
  <c r="BH103" i="3"/>
  <c r="BG195" i="3"/>
  <c r="BG197" i="3" s="1"/>
  <c r="AT57" i="2"/>
  <c r="AT58" i="2" s="1"/>
  <c r="AU56" i="2" s="1"/>
  <c r="AT59" i="2"/>
  <c r="AT63" i="2"/>
  <c r="AT55" i="2"/>
  <c r="AT100" i="2" s="1"/>
  <c r="AT95" i="2"/>
  <c r="AT93" i="2"/>
  <c r="AV61" i="1"/>
  <c r="AV62" i="1" s="1"/>
  <c r="AU121" i="1"/>
  <c r="AV63" i="1"/>
  <c r="AV67" i="1"/>
  <c r="AV59" i="1"/>
  <c r="AV118" i="1" s="1"/>
  <c r="AW57" i="1" s="1"/>
  <c r="AG144" i="5" l="1"/>
  <c r="AH76" i="5"/>
  <c r="AV60" i="4"/>
  <c r="AV62" i="4"/>
  <c r="BH106" i="3"/>
  <c r="BH104" i="3"/>
  <c r="BH105" i="3" s="1"/>
  <c r="BH195" i="3" s="1"/>
  <c r="BH197" i="3" s="1"/>
  <c r="BJ197" i="3" s="1"/>
  <c r="AT101" i="2"/>
  <c r="AU53" i="2"/>
  <c r="AT98" i="2"/>
  <c r="AV119" i="1"/>
  <c r="AW60" i="1"/>
  <c r="AW67" i="1"/>
  <c r="AW59" i="1"/>
  <c r="AW118" i="1" s="1"/>
  <c r="AW116" i="1"/>
  <c r="AV116" i="1"/>
  <c r="AH82" i="5" l="1"/>
  <c r="AH80" i="5"/>
  <c r="AH81" i="5" s="1"/>
  <c r="AI79" i="5" s="1"/>
  <c r="AH138" i="5"/>
  <c r="AH86" i="5"/>
  <c r="AH136" i="5"/>
  <c r="AH140" i="5"/>
  <c r="AH78" i="5"/>
  <c r="AV63" i="4"/>
  <c r="AW32" i="4"/>
  <c r="AU57" i="2"/>
  <c r="AU58" i="2" s="1"/>
  <c r="AV56" i="2" s="1"/>
  <c r="AU59" i="2"/>
  <c r="AU55" i="2"/>
  <c r="AU63" i="2"/>
  <c r="AU95" i="2"/>
  <c r="AU93" i="2"/>
  <c r="AV121" i="1"/>
  <c r="AW61" i="1"/>
  <c r="AW62" i="1" s="1"/>
  <c r="AX60" i="1" s="1"/>
  <c r="AW63" i="1"/>
  <c r="AW119" i="1"/>
  <c r="AX57" i="1"/>
  <c r="AH141" i="5" l="1"/>
  <c r="AW38" i="4"/>
  <c r="AW36" i="4"/>
  <c r="AW37" i="4" s="1"/>
  <c r="AX35" i="4" s="1"/>
  <c r="AV65" i="4"/>
  <c r="AW34" i="4"/>
  <c r="AW59" i="4"/>
  <c r="AW55" i="4"/>
  <c r="AW57" i="4"/>
  <c r="AW42" i="4"/>
  <c r="AU98" i="2"/>
  <c r="AU100" i="2"/>
  <c r="AX61" i="1"/>
  <c r="AX62" i="1" s="1"/>
  <c r="AY60" i="1" s="1"/>
  <c r="AW121" i="1"/>
  <c r="AX63" i="1"/>
  <c r="AX67" i="1"/>
  <c r="AX59" i="1"/>
  <c r="AX118" i="1" s="1"/>
  <c r="AH143" i="5" l="1"/>
  <c r="AW62" i="4"/>
  <c r="AW63" i="4" s="1"/>
  <c r="AX32" i="4"/>
  <c r="AW60" i="4"/>
  <c r="AU101" i="2"/>
  <c r="AV53" i="2"/>
  <c r="AX119" i="1"/>
  <c r="AY57" i="1"/>
  <c r="AX116" i="1"/>
  <c r="AH144" i="5" l="1"/>
  <c r="AI76" i="5"/>
  <c r="AX36" i="4"/>
  <c r="AX37" i="4" s="1"/>
  <c r="AY35" i="4" s="1"/>
  <c r="AX38" i="4"/>
  <c r="AW65" i="4"/>
  <c r="AX57" i="4"/>
  <c r="AX34" i="4"/>
  <c r="AX59" i="4"/>
  <c r="AX55" i="4"/>
  <c r="AX60" i="4" s="1"/>
  <c r="AX42" i="4"/>
  <c r="AV57" i="2"/>
  <c r="AV58" i="2" s="1"/>
  <c r="AW56" i="2" s="1"/>
  <c r="AV59" i="2"/>
  <c r="AV55" i="2"/>
  <c r="AV63" i="2"/>
  <c r="AV95" i="2"/>
  <c r="AV93" i="2"/>
  <c r="AY61" i="1"/>
  <c r="AY62" i="1" s="1"/>
  <c r="AZ60" i="1" s="1"/>
  <c r="AX121" i="1"/>
  <c r="AY63" i="1"/>
  <c r="AY67" i="1"/>
  <c r="AY59" i="1"/>
  <c r="AY118" i="1" s="1"/>
  <c r="AI82" i="5" l="1"/>
  <c r="AI80" i="5"/>
  <c r="AI81" i="5" s="1"/>
  <c r="AJ79" i="5" s="1"/>
  <c r="AI86" i="5"/>
  <c r="AI136" i="5"/>
  <c r="AI138" i="5"/>
  <c r="AI140" i="5"/>
  <c r="AI78" i="5"/>
  <c r="AX62" i="4"/>
  <c r="AV98" i="2"/>
  <c r="AV100" i="2"/>
  <c r="AY119" i="1"/>
  <c r="AZ57" i="1"/>
  <c r="AY116" i="1"/>
  <c r="AI141" i="5" l="1"/>
  <c r="AX63" i="4"/>
  <c r="AY32" i="4"/>
  <c r="AW53" i="2"/>
  <c r="AV101" i="2"/>
  <c r="AZ61" i="1"/>
  <c r="AZ62" i="1" s="1"/>
  <c r="BA60" i="1" s="1"/>
  <c r="AY121" i="1"/>
  <c r="AZ63" i="1"/>
  <c r="AZ59" i="1"/>
  <c r="AZ67" i="1"/>
  <c r="AZ116" i="1"/>
  <c r="AI143" i="5" l="1"/>
  <c r="AY38" i="4"/>
  <c r="AY36" i="4"/>
  <c r="AY37" i="4" s="1"/>
  <c r="AZ35" i="4" s="1"/>
  <c r="AX65" i="4"/>
  <c r="AY57" i="4"/>
  <c r="AY55" i="4"/>
  <c r="AY34" i="4"/>
  <c r="AY59" i="4"/>
  <c r="AY42" i="4"/>
  <c r="AW55" i="2"/>
  <c r="AW63" i="2"/>
  <c r="AW93" i="2"/>
  <c r="AW95" i="2"/>
  <c r="AW57" i="2"/>
  <c r="AW58" i="2" s="1"/>
  <c r="AX56" i="2" s="1"/>
  <c r="AW59" i="2"/>
  <c r="AZ118" i="1"/>
  <c r="AI144" i="5" l="1"/>
  <c r="AJ76" i="5"/>
  <c r="AY60" i="4"/>
  <c r="AY62" i="4"/>
  <c r="AW100" i="2"/>
  <c r="AW98" i="2"/>
  <c r="BA57" i="1"/>
  <c r="AZ119" i="1"/>
  <c r="AJ82" i="5" l="1"/>
  <c r="AJ80" i="5"/>
  <c r="AJ81" i="5" s="1"/>
  <c r="AK79" i="5" s="1"/>
  <c r="AJ86" i="5"/>
  <c r="AJ136" i="5"/>
  <c r="AJ138" i="5"/>
  <c r="AJ140" i="5"/>
  <c r="AJ78" i="5"/>
  <c r="AZ32" i="4"/>
  <c r="AY63" i="4"/>
  <c r="AX53" i="2"/>
  <c r="AX93" i="2" s="1"/>
  <c r="AW101" i="2"/>
  <c r="AX55" i="2"/>
  <c r="AX63" i="2"/>
  <c r="AX95" i="2"/>
  <c r="BA59" i="1"/>
  <c r="BA67" i="1"/>
  <c r="BA116" i="1"/>
  <c r="AZ121" i="1"/>
  <c r="BA61" i="1"/>
  <c r="BA62" i="1" s="1"/>
  <c r="BB60" i="1" s="1"/>
  <c r="BA63" i="1"/>
  <c r="AJ141" i="5" l="1"/>
  <c r="AZ55" i="4"/>
  <c r="AZ42" i="4"/>
  <c r="AZ59" i="4"/>
  <c r="AZ57" i="4"/>
  <c r="AZ34" i="4"/>
  <c r="AZ36" i="4"/>
  <c r="AZ37" i="4" s="1"/>
  <c r="BA35" i="4" s="1"/>
  <c r="AZ38" i="4"/>
  <c r="AY65" i="4"/>
  <c r="AX59" i="2"/>
  <c r="AX57" i="2"/>
  <c r="AX58" i="2" s="1"/>
  <c r="AY56" i="2" s="1"/>
  <c r="AX98" i="2"/>
  <c r="AX100" i="2"/>
  <c r="BA118" i="1"/>
  <c r="AJ143" i="5" l="1"/>
  <c r="AZ60" i="4"/>
  <c r="AZ62" i="4"/>
  <c r="AX101" i="2"/>
  <c r="AY53" i="2"/>
  <c r="BB57" i="1"/>
  <c r="BA119" i="1"/>
  <c r="AJ144" i="5" l="1"/>
  <c r="AK76" i="5"/>
  <c r="AZ63" i="4"/>
  <c r="BA32" i="4"/>
  <c r="AY57" i="2"/>
  <c r="AY58" i="2" s="1"/>
  <c r="AZ56" i="2" s="1"/>
  <c r="AY59" i="2"/>
  <c r="AY55" i="2"/>
  <c r="AY63" i="2"/>
  <c r="AY95" i="2"/>
  <c r="AY93" i="2"/>
  <c r="BB67" i="1"/>
  <c r="BB59" i="1"/>
  <c r="BB118" i="1" s="1"/>
  <c r="BB61" i="1"/>
  <c r="BB62" i="1" s="1"/>
  <c r="BC60" i="1" s="1"/>
  <c r="BA121" i="1"/>
  <c r="BB63" i="1"/>
  <c r="AK82" i="5" l="1"/>
  <c r="AK80" i="5"/>
  <c r="AK81" i="5" s="1"/>
  <c r="AL79" i="5" s="1"/>
  <c r="AK86" i="5"/>
  <c r="AK136" i="5"/>
  <c r="AK140" i="5"/>
  <c r="AK138" i="5"/>
  <c r="AK78" i="5"/>
  <c r="BA38" i="4"/>
  <c r="BA36" i="4"/>
  <c r="BA37" i="4" s="1"/>
  <c r="BB35" i="4" s="1"/>
  <c r="AZ65" i="4"/>
  <c r="BA34" i="4"/>
  <c r="BA42" i="4"/>
  <c r="BA59" i="4"/>
  <c r="BA55" i="4"/>
  <c r="BA57" i="4"/>
  <c r="AY100" i="2"/>
  <c r="AZ53" i="2"/>
  <c r="AY101" i="2"/>
  <c r="AY98" i="2"/>
  <c r="BB119" i="1"/>
  <c r="BC57" i="1"/>
  <c r="BB116" i="1"/>
  <c r="AK141" i="5" l="1"/>
  <c r="BA62" i="4"/>
  <c r="BA60" i="4"/>
  <c r="AZ55" i="2"/>
  <c r="AZ63" i="2"/>
  <c r="AZ95" i="2"/>
  <c r="AZ93" i="2"/>
  <c r="AZ57" i="2"/>
  <c r="AZ58" i="2" s="1"/>
  <c r="BA56" i="2" s="1"/>
  <c r="AZ59" i="2"/>
  <c r="BC61" i="1"/>
  <c r="BC62" i="1" s="1"/>
  <c r="BD60" i="1" s="1"/>
  <c r="BB121" i="1"/>
  <c r="BC63" i="1"/>
  <c r="BC67" i="1"/>
  <c r="BC116" i="1"/>
  <c r="BC59" i="1"/>
  <c r="BC118" i="1" s="1"/>
  <c r="AK143" i="5" l="1"/>
  <c r="BA63" i="4"/>
  <c r="BB32" i="4"/>
  <c r="BB36" i="4"/>
  <c r="BB37" i="4" s="1"/>
  <c r="BC35" i="4" s="1"/>
  <c r="AZ98" i="2"/>
  <c r="AZ100" i="2"/>
  <c r="BC119" i="1"/>
  <c r="BD57" i="1"/>
  <c r="AK144" i="5" l="1"/>
  <c r="AL76" i="5"/>
  <c r="BA65" i="4"/>
  <c r="BB38" i="4"/>
  <c r="BB59" i="4"/>
  <c r="BB57" i="4"/>
  <c r="BB55" i="4"/>
  <c r="BB60" i="4" s="1"/>
  <c r="BB42" i="4"/>
  <c r="BB62" i="4" s="1"/>
  <c r="BB34" i="4"/>
  <c r="AZ101" i="2"/>
  <c r="BA53" i="2"/>
  <c r="BD61" i="1"/>
  <c r="BD62" i="1" s="1"/>
  <c r="BE60" i="1" s="1"/>
  <c r="BC121" i="1"/>
  <c r="BD63" i="1"/>
  <c r="BD59" i="1"/>
  <c r="BD116" i="1"/>
  <c r="BD67" i="1"/>
  <c r="AL82" i="5" l="1"/>
  <c r="AL80" i="5"/>
  <c r="AL81" i="5" s="1"/>
  <c r="AM79" i="5" s="1"/>
  <c r="AL138" i="5"/>
  <c r="AL86" i="5"/>
  <c r="AL136" i="5"/>
  <c r="AL140" i="5"/>
  <c r="AL78" i="5"/>
  <c r="BC32" i="4"/>
  <c r="BB63" i="4"/>
  <c r="BC34" i="4"/>
  <c r="BC57" i="4"/>
  <c r="BC55" i="4"/>
  <c r="BC42" i="4"/>
  <c r="BC59" i="4"/>
  <c r="BC36" i="4"/>
  <c r="BC37" i="4" s="1"/>
  <c r="BD35" i="4" s="1"/>
  <c r="BA57" i="2"/>
  <c r="BA58" i="2" s="1"/>
  <c r="BB56" i="2" s="1"/>
  <c r="BA59" i="2"/>
  <c r="BA55" i="2"/>
  <c r="BA63" i="2"/>
  <c r="BA95" i="2"/>
  <c r="BA93" i="2"/>
  <c r="BD118" i="1"/>
  <c r="AL141" i="5" l="1"/>
  <c r="BC38" i="4"/>
  <c r="BB65" i="4"/>
  <c r="BC62" i="4"/>
  <c r="BD32" i="4" s="1"/>
  <c r="BC63" i="4"/>
  <c r="BC60" i="4"/>
  <c r="BA100" i="2"/>
  <c r="BA98" i="2"/>
  <c r="BE57" i="1"/>
  <c r="BD119" i="1"/>
  <c r="AL143" i="5" l="1"/>
  <c r="BD59" i="4"/>
  <c r="BD55" i="4"/>
  <c r="BD57" i="4"/>
  <c r="BD42" i="4"/>
  <c r="BD34" i="4"/>
  <c r="BD62" i="4" s="1"/>
  <c r="BD38" i="4"/>
  <c r="BD36" i="4"/>
  <c r="BD37" i="4" s="1"/>
  <c r="BE35" i="4" s="1"/>
  <c r="BC65" i="4"/>
  <c r="BB53" i="2"/>
  <c r="BA101" i="2"/>
  <c r="BB55" i="2"/>
  <c r="BB63" i="2"/>
  <c r="BB95" i="2"/>
  <c r="BB93" i="2"/>
  <c r="BE59" i="1"/>
  <c r="BE116" i="1"/>
  <c r="BE67" i="1"/>
  <c r="BE61" i="1"/>
  <c r="BE62" i="1" s="1"/>
  <c r="BF60" i="1" s="1"/>
  <c r="BD121" i="1"/>
  <c r="BE63" i="1"/>
  <c r="AL144" i="5" l="1"/>
  <c r="AM76" i="5"/>
  <c r="BD63" i="4"/>
  <c r="BE32" i="4"/>
  <c r="BD60" i="4"/>
  <c r="BB59" i="2"/>
  <c r="BB57" i="2"/>
  <c r="BB58" i="2" s="1"/>
  <c r="BC56" i="2" s="1"/>
  <c r="BB98" i="2"/>
  <c r="BB100" i="2"/>
  <c r="BE118" i="1"/>
  <c r="AM82" i="5" l="1"/>
  <c r="AM80" i="5"/>
  <c r="AM81" i="5" s="1"/>
  <c r="AN79" i="5" s="1"/>
  <c r="AM86" i="5"/>
  <c r="AM136" i="5"/>
  <c r="AM140" i="5"/>
  <c r="AM138" i="5"/>
  <c r="AM78" i="5"/>
  <c r="BE36" i="4"/>
  <c r="BE37" i="4" s="1"/>
  <c r="BF35" i="4" s="1"/>
  <c r="BE38" i="4"/>
  <c r="BD65" i="4"/>
  <c r="BE55" i="4"/>
  <c r="BE34" i="4"/>
  <c r="BE42" i="4"/>
  <c r="BE59" i="4"/>
  <c r="BE57" i="4"/>
  <c r="BC53" i="2"/>
  <c r="BB101" i="2"/>
  <c r="BF57" i="1"/>
  <c r="BE119" i="1"/>
  <c r="AM141" i="5" l="1"/>
  <c r="BE62" i="4"/>
  <c r="BE60" i="4"/>
  <c r="BC55" i="2"/>
  <c r="BC63" i="2"/>
  <c r="BC93" i="2"/>
  <c r="BC95" i="2"/>
  <c r="BC57" i="2"/>
  <c r="BC58" i="2" s="1"/>
  <c r="BD56" i="2" s="1"/>
  <c r="BC59" i="2"/>
  <c r="BF59" i="1"/>
  <c r="BF67" i="1"/>
  <c r="BF116" i="1"/>
  <c r="BF61" i="1"/>
  <c r="BF62" i="1" s="1"/>
  <c r="BG60" i="1" s="1"/>
  <c r="BE121" i="1"/>
  <c r="BF63" i="1"/>
  <c r="AM143" i="5" l="1"/>
  <c r="BF32" i="4"/>
  <c r="BE63" i="4"/>
  <c r="BC98" i="2"/>
  <c r="BC100" i="2"/>
  <c r="BF118" i="1"/>
  <c r="AM144" i="5" l="1"/>
  <c r="AN76" i="5"/>
  <c r="BF57" i="4"/>
  <c r="BF34" i="4"/>
  <c r="BF59" i="4"/>
  <c r="BF55" i="4"/>
  <c r="BF42" i="4"/>
  <c r="BF38" i="4"/>
  <c r="BF36" i="4"/>
  <c r="BF37" i="4" s="1"/>
  <c r="BG35" i="4" s="1"/>
  <c r="BE65" i="4"/>
  <c r="BC101" i="2"/>
  <c r="BD53" i="2"/>
  <c r="BG57" i="1"/>
  <c r="BF119" i="1"/>
  <c r="AN82" i="5" l="1"/>
  <c r="AN80" i="5"/>
  <c r="AN81" i="5" s="1"/>
  <c r="AO79" i="5" s="1"/>
  <c r="AN86" i="5"/>
  <c r="AN136" i="5"/>
  <c r="AN140" i="5"/>
  <c r="AN138" i="5"/>
  <c r="AN78" i="5"/>
  <c r="BF60" i="4"/>
  <c r="BF62" i="4"/>
  <c r="BD57" i="2"/>
  <c r="BD58" i="2" s="1"/>
  <c r="BE56" i="2" s="1"/>
  <c r="BD59" i="2"/>
  <c r="BD55" i="2"/>
  <c r="BD63" i="2"/>
  <c r="BD95" i="2"/>
  <c r="BD93" i="2"/>
  <c r="BG59" i="1"/>
  <c r="BG67" i="1"/>
  <c r="BG116" i="1"/>
  <c r="BG61" i="1"/>
  <c r="BG62" i="1" s="1"/>
  <c r="BH60" i="1" s="1"/>
  <c r="BF121" i="1"/>
  <c r="BG63" i="1"/>
  <c r="AN141" i="5" l="1"/>
  <c r="BF63" i="4"/>
  <c r="BG32" i="4"/>
  <c r="BD98" i="2"/>
  <c r="BD100" i="2"/>
  <c r="BG118" i="1"/>
  <c r="AN143" i="5" l="1"/>
  <c r="BG36" i="4"/>
  <c r="BG37" i="4" s="1"/>
  <c r="BH35" i="4" s="1"/>
  <c r="BG38" i="4"/>
  <c r="BF65" i="4"/>
  <c r="BG59" i="4"/>
  <c r="BG57" i="4"/>
  <c r="BG55" i="4"/>
  <c r="BG42" i="4"/>
  <c r="BG34" i="4"/>
  <c r="BE53" i="2"/>
  <c r="BD101" i="2"/>
  <c r="BH57" i="1"/>
  <c r="BG119" i="1"/>
  <c r="AN144" i="5" l="1"/>
  <c r="AO76" i="5"/>
  <c r="BG62" i="4"/>
  <c r="BG63" i="4" s="1"/>
  <c r="BH32" i="4"/>
  <c r="BG60" i="4"/>
  <c r="BE55" i="2"/>
  <c r="BE63" i="2"/>
  <c r="BE95" i="2"/>
  <c r="BE93" i="2"/>
  <c r="BE57" i="2"/>
  <c r="BE58" i="2" s="1"/>
  <c r="BF56" i="2" s="1"/>
  <c r="BE59" i="2"/>
  <c r="BH59" i="1"/>
  <c r="BH67" i="1"/>
  <c r="BJ67" i="1" s="1"/>
  <c r="BJ113" i="1"/>
  <c r="BG121" i="1"/>
  <c r="BH61" i="1"/>
  <c r="BH62" i="1" s="1"/>
  <c r="BH63" i="1"/>
  <c r="AO82" i="5" l="1"/>
  <c r="AO80" i="5"/>
  <c r="AO81" i="5" s="1"/>
  <c r="AP79" i="5" s="1"/>
  <c r="AO86" i="5"/>
  <c r="AO136" i="5"/>
  <c r="AO140" i="5"/>
  <c r="AO138" i="5"/>
  <c r="AO78" i="5"/>
  <c r="BH36" i="4"/>
  <c r="BH37" i="4" s="1"/>
  <c r="BH38" i="4"/>
  <c r="BG65" i="4"/>
  <c r="BH34" i="4"/>
  <c r="BH42" i="4"/>
  <c r="BJ42" i="4" s="1"/>
  <c r="BH59" i="4"/>
  <c r="BJ59" i="4" s="1"/>
  <c r="BH57" i="4"/>
  <c r="BJ57" i="4" s="1"/>
  <c r="BH55" i="4"/>
  <c r="BE98" i="2"/>
  <c r="BE100" i="2"/>
  <c r="BH118" i="1"/>
  <c r="BH119" i="1" s="1"/>
  <c r="BH116" i="1"/>
  <c r="BJ116" i="1" s="1"/>
  <c r="BL67" i="1" s="1"/>
  <c r="BJ111" i="1"/>
  <c r="BH121" i="1"/>
  <c r="BJ121" i="1" s="1"/>
  <c r="AO141" i="5" l="1"/>
  <c r="BH60" i="4"/>
  <c r="BJ60" i="4" s="1"/>
  <c r="BL42" i="4" s="1"/>
  <c r="BJ55" i="4"/>
  <c r="BH62" i="4"/>
  <c r="BH63" i="4" s="1"/>
  <c r="BH65" i="4" s="1"/>
  <c r="BJ65" i="4" s="1"/>
  <c r="BF53" i="2"/>
  <c r="BE101" i="2"/>
  <c r="AO143" i="5" l="1"/>
  <c r="BF55" i="2"/>
  <c r="BF63" i="2"/>
  <c r="BF95" i="2"/>
  <c r="BF93" i="2"/>
  <c r="BF59" i="2"/>
  <c r="BF57" i="2"/>
  <c r="BF58" i="2" s="1"/>
  <c r="BG56" i="2" s="1"/>
  <c r="AO144" i="5" l="1"/>
  <c r="AP76" i="5"/>
  <c r="BF98" i="2"/>
  <c r="BF100" i="2"/>
  <c r="AP82" i="5" l="1"/>
  <c r="AP80" i="5"/>
  <c r="AP81" i="5" s="1"/>
  <c r="AQ79" i="5" s="1"/>
  <c r="AP86" i="5"/>
  <c r="AP136" i="5"/>
  <c r="AP140" i="5"/>
  <c r="AP138" i="5"/>
  <c r="AP78" i="5"/>
  <c r="BF101" i="2"/>
  <c r="BG53" i="2"/>
  <c r="AP141" i="5" l="1"/>
  <c r="BG57" i="2"/>
  <c r="BG58" i="2" s="1"/>
  <c r="BH56" i="2" s="1"/>
  <c r="BG59" i="2"/>
  <c r="BG55" i="2"/>
  <c r="BG63" i="2"/>
  <c r="BG95" i="2"/>
  <c r="BG93" i="2"/>
  <c r="AP143" i="5" l="1"/>
  <c r="BG98" i="2"/>
  <c r="BG100" i="2"/>
  <c r="AP144" i="5" l="1"/>
  <c r="AQ76" i="5"/>
  <c r="BH53" i="2"/>
  <c r="BG101" i="2"/>
  <c r="AQ82" i="5" l="1"/>
  <c r="AQ80" i="5"/>
  <c r="AQ81" i="5" s="1"/>
  <c r="AR79" i="5" s="1"/>
  <c r="AQ86" i="5"/>
  <c r="AQ136" i="5"/>
  <c r="AQ140" i="5"/>
  <c r="AQ138" i="5"/>
  <c r="AQ78" i="5"/>
  <c r="BH55" i="2"/>
  <c r="BH63" i="2"/>
  <c r="BH95" i="2"/>
  <c r="BH93" i="2"/>
  <c r="BH57" i="2"/>
  <c r="BH58" i="2" s="1"/>
  <c r="BH59" i="2"/>
  <c r="AQ141" i="5" l="1"/>
  <c r="BJ63" i="2"/>
  <c r="BJ103" i="2"/>
  <c r="BJ93" i="2"/>
  <c r="BH98" i="2"/>
  <c r="BH100" i="2"/>
  <c r="BH101" i="2" s="1"/>
  <c r="AQ143" i="5" l="1"/>
  <c r="AQ144" i="5" l="1"/>
  <c r="AR76" i="5"/>
  <c r="AR82" i="5" l="1"/>
  <c r="AR80" i="5"/>
  <c r="AR81" i="5" s="1"/>
  <c r="AS79" i="5" s="1"/>
  <c r="AR138" i="5"/>
  <c r="AR86" i="5"/>
  <c r="AR136" i="5"/>
  <c r="AR140" i="5"/>
  <c r="AR78" i="5"/>
  <c r="AR141" i="5" l="1"/>
  <c r="AR143" i="5" l="1"/>
  <c r="AR144" i="5" l="1"/>
  <c r="AS76" i="5"/>
  <c r="AS82" i="5" l="1"/>
  <c r="AS80" i="5"/>
  <c r="AS81" i="5" s="1"/>
  <c r="AT79" i="5" s="1"/>
  <c r="AS86" i="5"/>
  <c r="AS136" i="5"/>
  <c r="AS140" i="5"/>
  <c r="AS138" i="5"/>
  <c r="AS78" i="5"/>
  <c r="AS141" i="5" l="1"/>
  <c r="AS143" i="5" l="1"/>
  <c r="AS144" i="5" l="1"/>
  <c r="AT76" i="5"/>
  <c r="AT82" i="5" l="1"/>
  <c r="AT80" i="5"/>
  <c r="AT81" i="5" s="1"/>
  <c r="AU79" i="5" s="1"/>
  <c r="AT86" i="5"/>
  <c r="AT136" i="5"/>
  <c r="AT140" i="5"/>
  <c r="AT138" i="5"/>
  <c r="AT78" i="5"/>
  <c r="AT141" i="5" l="1"/>
  <c r="AT143" i="5" l="1"/>
  <c r="AT144" i="5" l="1"/>
  <c r="AU76" i="5"/>
  <c r="AU82" i="5" l="1"/>
  <c r="AU80" i="5"/>
  <c r="AU81" i="5" s="1"/>
  <c r="AV79" i="5" s="1"/>
  <c r="AU86" i="5"/>
  <c r="AU136" i="5"/>
  <c r="AU140" i="5"/>
  <c r="AU138" i="5"/>
  <c r="AU78" i="5"/>
  <c r="AU141" i="5" l="1"/>
  <c r="AU143" i="5" l="1"/>
  <c r="AU144" i="5" l="1"/>
  <c r="AV76" i="5"/>
  <c r="AV82" i="5" l="1"/>
  <c r="AV80" i="5"/>
  <c r="AV81" i="5" s="1"/>
  <c r="AW79" i="5" s="1"/>
  <c r="AV86" i="5"/>
  <c r="AV136" i="5"/>
  <c r="AV140" i="5"/>
  <c r="AV138" i="5"/>
  <c r="AV78" i="5"/>
  <c r="AV141" i="5" l="1"/>
  <c r="AV143" i="5" l="1"/>
  <c r="AV144" i="5" l="1"/>
  <c r="AW76" i="5"/>
  <c r="AW82" i="5" l="1"/>
  <c r="AW80" i="5"/>
  <c r="AW81" i="5" s="1"/>
  <c r="AX79" i="5" s="1"/>
  <c r="AW86" i="5"/>
  <c r="AW136" i="5"/>
  <c r="AW140" i="5"/>
  <c r="AW138" i="5"/>
  <c r="AW78" i="5"/>
  <c r="AW141" i="5" l="1"/>
  <c r="AW143" i="5" l="1"/>
  <c r="AW144" i="5" l="1"/>
  <c r="AX76" i="5"/>
  <c r="AX82" i="5" l="1"/>
  <c r="AX80" i="5"/>
  <c r="AX81" i="5" s="1"/>
  <c r="AY79" i="5" s="1"/>
  <c r="AX86" i="5"/>
  <c r="AX136" i="5"/>
  <c r="AX140" i="5"/>
  <c r="AX138" i="5"/>
  <c r="AX78" i="5"/>
  <c r="AX141" i="5" l="1"/>
  <c r="AX143" i="5" l="1"/>
  <c r="AX144" i="5" l="1"/>
  <c r="AY76" i="5"/>
  <c r="AY82" i="5" l="1"/>
  <c r="AY80" i="5"/>
  <c r="AY81" i="5" s="1"/>
  <c r="AZ79" i="5" s="1"/>
  <c r="AY86" i="5"/>
  <c r="AY136" i="5"/>
  <c r="AY140" i="5"/>
  <c r="AY138" i="5"/>
  <c r="AY78" i="5"/>
  <c r="AY141" i="5" l="1"/>
  <c r="AY143" i="5" l="1"/>
  <c r="AY144" i="5" l="1"/>
  <c r="AZ76" i="5"/>
  <c r="AZ82" i="5" l="1"/>
  <c r="AZ80" i="5"/>
  <c r="AZ81" i="5" s="1"/>
  <c r="BA79" i="5" s="1"/>
  <c r="AZ138" i="5"/>
  <c r="AZ86" i="5"/>
  <c r="AZ136" i="5"/>
  <c r="AZ140" i="5"/>
  <c r="AZ78" i="5"/>
  <c r="AZ141" i="5" l="1"/>
  <c r="AZ143" i="5" l="1"/>
  <c r="AZ144" i="5" l="1"/>
  <c r="BA76" i="5"/>
  <c r="BA82" i="5" l="1"/>
  <c r="BA80" i="5"/>
  <c r="BA81" i="5" s="1"/>
  <c r="BB79" i="5" s="1"/>
  <c r="BA138" i="5"/>
  <c r="BA86" i="5"/>
  <c r="BA136" i="5"/>
  <c r="BA140" i="5"/>
  <c r="BA78" i="5"/>
  <c r="BA141" i="5" l="1"/>
  <c r="BA143" i="5" l="1"/>
  <c r="BA144" i="5" l="1"/>
  <c r="BB76" i="5"/>
  <c r="BB82" i="5" l="1"/>
  <c r="BB80" i="5"/>
  <c r="BB81" i="5" s="1"/>
  <c r="BC79" i="5" s="1"/>
  <c r="BB138" i="5"/>
  <c r="BB86" i="5"/>
  <c r="BB136" i="5"/>
  <c r="BB140" i="5"/>
  <c r="BB78" i="5"/>
  <c r="BB141" i="5" l="1"/>
  <c r="BB143" i="5" l="1"/>
  <c r="BB144" i="5" l="1"/>
  <c r="BC76" i="5"/>
  <c r="BC82" i="5" l="1"/>
  <c r="BC80" i="5"/>
  <c r="BC81" i="5" s="1"/>
  <c r="BD79" i="5" s="1"/>
  <c r="BC138" i="5"/>
  <c r="BC86" i="5"/>
  <c r="BC136" i="5"/>
  <c r="BC140" i="5"/>
  <c r="BC78" i="5"/>
  <c r="BC141" i="5" l="1"/>
  <c r="BC143" i="5" l="1"/>
  <c r="BC144" i="5" l="1"/>
  <c r="BD76" i="5"/>
  <c r="BD82" i="5" l="1"/>
  <c r="BD80" i="5"/>
  <c r="BD81" i="5" s="1"/>
  <c r="BE79" i="5" s="1"/>
  <c r="BD138" i="5"/>
  <c r="BD86" i="5"/>
  <c r="BD136" i="5"/>
  <c r="BD140" i="5"/>
  <c r="BD78" i="5"/>
  <c r="BD141" i="5" l="1"/>
  <c r="BD143" i="5" l="1"/>
  <c r="BD144" i="5" l="1"/>
  <c r="BE76" i="5"/>
  <c r="BE82" i="5" l="1"/>
  <c r="BE80" i="5"/>
  <c r="BE81" i="5" s="1"/>
  <c r="BF79" i="5" s="1"/>
  <c r="BE138" i="5"/>
  <c r="BE86" i="5"/>
  <c r="BE136" i="5"/>
  <c r="BE140" i="5"/>
  <c r="BE78" i="5"/>
  <c r="BE141" i="5" l="1"/>
  <c r="BE143" i="5" l="1"/>
  <c r="BE144" i="5" l="1"/>
  <c r="BF76" i="5"/>
  <c r="BF82" i="5" l="1"/>
  <c r="BF80" i="5"/>
  <c r="BF81" i="5" s="1"/>
  <c r="BG79" i="5" s="1"/>
  <c r="BF138" i="5"/>
  <c r="BF86" i="5"/>
  <c r="BF136" i="5"/>
  <c r="BF140" i="5"/>
  <c r="BF78" i="5"/>
  <c r="BF141" i="5" l="1"/>
  <c r="BF143" i="5" l="1"/>
  <c r="BF144" i="5" l="1"/>
  <c r="BG76" i="5"/>
  <c r="BG82" i="5" l="1"/>
  <c r="BG80" i="5"/>
  <c r="BG81" i="5" s="1"/>
  <c r="BH79" i="5" s="1"/>
  <c r="BG138" i="5"/>
  <c r="BG86" i="5"/>
  <c r="BG136" i="5"/>
  <c r="BG140" i="5"/>
  <c r="BG78" i="5"/>
  <c r="BG141" i="5" l="1"/>
  <c r="BG143" i="5" l="1"/>
  <c r="BG144" i="5" l="1"/>
  <c r="BH76" i="5"/>
  <c r="BH82" i="5" l="1"/>
  <c r="BH80" i="5"/>
  <c r="BH81" i="5" s="1"/>
  <c r="BH138" i="5"/>
  <c r="BJ138" i="5" s="1"/>
  <c r="BH86" i="5"/>
  <c r="BJ86" i="5" s="1"/>
  <c r="BH136" i="5"/>
  <c r="BH140" i="5"/>
  <c r="BJ140" i="5" s="1"/>
  <c r="BH78" i="5"/>
  <c r="BJ136" i="5" l="1"/>
  <c r="BH141" i="5"/>
  <c r="BJ141" i="5" l="1"/>
  <c r="BL86" i="5" s="1"/>
  <c r="BH143" i="5"/>
  <c r="BH144" i="5" s="1"/>
  <c r="B98" i="2" l="1"/>
  <c r="C98" i="2" l="1"/>
  <c r="BJ98" i="2" s="1"/>
  <c r="BL63" i="2" s="1"/>
  <c r="BJ95" i="2"/>
</calcChain>
</file>

<file path=xl/sharedStrings.xml><?xml version="1.0" encoding="utf-8"?>
<sst xmlns="http://schemas.openxmlformats.org/spreadsheetml/2006/main" count="939" uniqueCount="299">
  <si>
    <t>ITEM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</si>
  <si>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</si>
  <si>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</si>
  <si>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</si>
  <si>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</si>
  <si>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</si>
  <si>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</si>
  <si>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</si>
  <si>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</si>
  <si>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</si>
  <si>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</si>
  <si>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</si>
  <si>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</si>
  <si>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</si>
  <si>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</si>
  <si>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</si>
  <si>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</si>
  <si>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</si>
  <si>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</si>
  <si>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</si>
  <si>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</si>
  <si>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</si>
  <si>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</si>
  <si>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</si>
  <si>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</si>
  <si>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</si>
  <si>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</si>
  <si>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</si>
  <si>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</si>
  <si>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</si>
  <si>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</si>
  <si>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</si>
  <si>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</si>
  <si>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</si>
  <si>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</si>
  <si>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</si>
  <si>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</si>
  <si>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</si>
  <si>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</si>
  <si>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</si>
  <si>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</si>
  <si>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</si>
  <si>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</si>
  <si>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</si>
  <si>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</si>
  <si>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</si>
  <si>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</si>
  <si>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</si>
  <si>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</si>
  <si>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</si>
  <si>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</si>
  <si>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</si>
  <si>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</si>
  <si>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</si>
  <si>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</si>
  <si>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</si>
  <si>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</si>
  <si>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</si>
  <si>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</si>
  <si>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</si>
  <si>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NSGPEN01-001.20160101</t>
  </si>
  <si>
    <t>NSGPEN01-002.20160101</t>
  </si>
  <si>
    <t>NSGPEN01-013.20160101</t>
  </si>
  <si>
    <t>NSGPEN01-015.20160101</t>
  </si>
  <si>
    <t>NSGPEN01-016.20160101</t>
  </si>
  <si>
    <t>NSGPEN01-017.20160101</t>
  </si>
  <si>
    <t>NSGPEN01-018.20160101</t>
  </si>
  <si>
    <t>NSGPEN01-026.20160101</t>
  </si>
  <si>
    <t>NSGPEN01-030.20160101</t>
  </si>
  <si>
    <t>NSGPEN01-031.20160101</t>
  </si>
  <si>
    <t>NSGPEN01-035.20160101</t>
  </si>
  <si>
    <t>NSGPEN01-039.20160101</t>
  </si>
  <si>
    <t>NSGPEN01-047.20160101</t>
  </si>
  <si>
    <t>NSGPEN01-049.20160101</t>
  </si>
  <si>
    <t>NSGPEN01-050.20160101</t>
  </si>
  <si>
    <t>NSGPEN01-053.20160101</t>
  </si>
  <si>
    <t>NSGPEN01-054.20160101</t>
  </si>
  <si>
    <t>NSGPEN01-056.20160101</t>
  </si>
  <si>
    <t>NSGPEN01-064.20160101</t>
  </si>
  <si>
    <t>NSGPEN01-067.20160101</t>
  </si>
  <si>
    <t>NSGPEN01-068.20160101</t>
  </si>
  <si>
    <t>NSGPEN01-069.20160101</t>
  </si>
  <si>
    <t>NSGPEN01-073.20160101</t>
  </si>
  <si>
    <t>NSGPEN01-074.20160101</t>
  </si>
  <si>
    <t>NSGPEN01-077.20160101</t>
  </si>
  <si>
    <t>NSGPEN01-078.20160101</t>
  </si>
  <si>
    <t>NSGPEN01-082.20160101</t>
  </si>
  <si>
    <t>NSGPEN01-085.20160101</t>
  </si>
  <si>
    <t>NSGPEN01-086.20160101</t>
  </si>
  <si>
    <t>NSGPEN01-087.20160101</t>
  </si>
  <si>
    <t>NSGPEN01-088.20160101</t>
  </si>
  <si>
    <t>NSGPEN01-089.20160101</t>
  </si>
  <si>
    <t>NSGPEN01-090.20160101</t>
  </si>
  <si>
    <t>TOTAL CAPITAL (Apertura)</t>
  </si>
  <si>
    <t>(+) CAPITAL ADICIONAL (Hoy)</t>
  </si>
  <si>
    <t>(=) CAPITAL ACUMULADO</t>
  </si>
  <si>
    <t>CUOTAS APERTURA</t>
  </si>
  <si>
    <t>(+) CUOTAS ADICIONALES (Hoy)</t>
  </si>
  <si>
    <t>(=) CUOTAS TOTALES CIERRE</t>
  </si>
  <si>
    <t>VAL CUOTA INICIAL</t>
  </si>
  <si>
    <t>GANANCIA TOTAL BRUTA (Base 360)</t>
  </si>
  <si>
    <t>PATRIMONIO TOTAL (Pre-Aportes)</t>
  </si>
  <si>
    <t>COM. ADMIN (-) (Base 365)</t>
  </si>
  <si>
    <t>COM. CAPT. (-) (Base 365)</t>
  </si>
  <si>
    <t>COM. MISC. (-)</t>
  </si>
  <si>
    <t>GANANCIA OPERATIVA (Neta)</t>
  </si>
  <si>
    <t>PATRIMONIO TOTAL CIERRE</t>
  </si>
  <si>
    <t>VAL CUOTA FINAL</t>
  </si>
  <si>
    <t>NSGPEN02-001.20250701</t>
  </si>
  <si>
    <t>NSGPEN02-002.20250101</t>
  </si>
  <si>
    <t>NSGPEN02-003.20250101</t>
  </si>
  <si>
    <t>NSGPEN02-004.20260501</t>
  </si>
  <si>
    <t>NSGPEN02-005.20250101</t>
  </si>
  <si>
    <t>NSGPEN02-007.20251013</t>
  </si>
  <si>
    <t>NSGPEN02-008.20251015</t>
  </si>
  <si>
    <t>NSGPEN02-009.20250101</t>
  </si>
  <si>
    <t>NSGPEN02-010.20251117</t>
  </si>
  <si>
    <t>NSGPEN02-011.20220901</t>
  </si>
  <si>
    <t>NSGPEN02-012.20251128</t>
  </si>
  <si>
    <t>NSGPEN02-013.20251229</t>
  </si>
  <si>
    <t>NSGPEN02-014.20260312</t>
  </si>
  <si>
    <t>NSGPEN02-015.20231101</t>
  </si>
  <si>
    <t>NSGPEN02-016.20260312</t>
  </si>
  <si>
    <t>NSGPEN02-017.20260304</t>
  </si>
  <si>
    <t>NSGPEN02-018.20260301</t>
  </si>
  <si>
    <t>NSGPEN02-019.20260413</t>
  </si>
  <si>
    <t>NSGPEN02-029.20250101</t>
  </si>
  <si>
    <t>NSGPEN02-031.20250101</t>
  </si>
  <si>
    <t>NSGPEN02-034.20240301</t>
  </si>
  <si>
    <t>NSGPEN02-035.20241217</t>
  </si>
  <si>
    <t>NSGPEN02-036.20250301</t>
  </si>
  <si>
    <t>NSGPEN02-043.20250101</t>
  </si>
  <si>
    <t>NSGPEN02-044.20250101</t>
  </si>
  <si>
    <t>NSGPEN02-047.20250101</t>
  </si>
  <si>
    <t>NSGPEN02-048.20250827</t>
  </si>
  <si>
    <t>NSGPEN02-049.20250905</t>
  </si>
  <si>
    <t>NSGPEN02-050.20250922</t>
  </si>
  <si>
    <t>NSGPEN03-001.20260120</t>
  </si>
  <si>
    <t>NSGPEN03-002.20260113</t>
  </si>
  <si>
    <t>NSGPEN03-003.20241104</t>
  </si>
  <si>
    <t>NSGPEN03-004.20260311</t>
  </si>
  <si>
    <t>NSGPEN03-005.20251117</t>
  </si>
  <si>
    <t>NSGPEN03-006.20251115</t>
  </si>
  <si>
    <t>NSGPEN03-007.20251128</t>
  </si>
  <si>
    <t>NSGPEN03-008.20210925</t>
  </si>
  <si>
    <t>NSGPEN03-009.20251217</t>
  </si>
  <si>
    <t>NSGPEN03-010.20251222</t>
  </si>
  <si>
    <t>NSGPEN03-011.20251201</t>
  </si>
  <si>
    <t>NSGPEN03-012.20251202</t>
  </si>
  <si>
    <t>NSGPEN03-013.20211025</t>
  </si>
  <si>
    <t>NSGPEN03-014.20250101</t>
  </si>
  <si>
    <t>NSGPEN03-015.20211118</t>
  </si>
  <si>
    <t>NSGPEN03-016.20211125</t>
  </si>
  <si>
    <t>NSGPEN03-017.20240101</t>
  </si>
  <si>
    <t>NSGPEN03-018.20251111</t>
  </si>
  <si>
    <t>NSGPEN03-019.20260101</t>
  </si>
  <si>
    <t>NSGPEN03-020.20240301</t>
  </si>
  <si>
    <t>NSGPEN03-021.20260119</t>
  </si>
  <si>
    <t>NSGPEN03-022.20260120</t>
  </si>
  <si>
    <t>NSGPEN03-023.20260121</t>
  </si>
  <si>
    <t>NSGPEN03-024.20250301</t>
  </si>
  <si>
    <t>NSGPEN03-025.20260512</t>
  </si>
  <si>
    <t>NSGPEN03-026.20220210</t>
  </si>
  <si>
    <t>NSGPEN03-027.20260202</t>
  </si>
  <si>
    <t>NSGPEN03-028.20250501</t>
  </si>
  <si>
    <t>NSGPEN03-029.20260203</t>
  </si>
  <si>
    <t>NSGPEN03-030.20260120</t>
  </si>
  <si>
    <t>NSGPEN03-031.20260501</t>
  </si>
  <si>
    <t>NSGPEN03-032.20230501</t>
  </si>
  <si>
    <t>NSGPEN03-033.20250501</t>
  </si>
  <si>
    <t>NSGPEN03-034.20260219</t>
  </si>
  <si>
    <t>NSGPEN03-035.20260701</t>
  </si>
  <si>
    <t>NSGPEN03-036.20260818</t>
  </si>
  <si>
    <t>NSGPEN03-037.20260224</t>
  </si>
  <si>
    <t>NSGPEN03-038.20260429</t>
  </si>
  <si>
    <t>NSGPEN03-039.20260716</t>
  </si>
  <si>
    <t>NSGPEN03-040.20220920</t>
  </si>
  <si>
    <t>NSGPEN03-041.20221011</t>
  </si>
  <si>
    <t>NSGPEN03-042.20260101</t>
  </si>
  <si>
    <t>NSGPEN03-043.20260731</t>
  </si>
  <si>
    <t>NSGPEN03-044.20230131</t>
  </si>
  <si>
    <t>NSGPEN03-045.20230220</t>
  </si>
  <si>
    <t>NSGPEN03-046.20230309</t>
  </si>
  <si>
    <t>NSGPEN03-047.20230510</t>
  </si>
  <si>
    <t>NSGPEN03-048.20260803</t>
  </si>
  <si>
    <t>NSGPEN03-049.20230901</t>
  </si>
  <si>
    <t>NSGPEN03-051.20240311</t>
  </si>
  <si>
    <t>NSGPEN03-052.20260813</t>
  </si>
  <si>
    <t>NSGPEN03-053.20240710</t>
  </si>
  <si>
    <t>NSGPEN03-054.20240731</t>
  </si>
  <si>
    <t>NSGPEN03-056.20240710</t>
  </si>
  <si>
    <t>NSGPEN03-057.20240919</t>
  </si>
  <si>
    <t>NSGPEN03-058.20240923</t>
  </si>
  <si>
    <t>NSGPEN03-060.20241205</t>
  </si>
  <si>
    <t>NSGPEN03-061.20250204</t>
  </si>
  <si>
    <t>NSGPEN03-062.20250205</t>
  </si>
  <si>
    <t>NSGPEN03-064.20250210</t>
  </si>
  <si>
    <t>NSGPEN03-065.20250221</t>
  </si>
  <si>
    <t>NSGPEN03-066.20250225</t>
  </si>
  <si>
    <t>NSGPEN03-067.20250225</t>
  </si>
  <si>
    <t>NSGPEN03-068.20250303</t>
  </si>
  <si>
    <t>NSGPEN03-069.20250312</t>
  </si>
  <si>
    <t>NSGPEN03-070.20250331</t>
  </si>
  <si>
    <t>NSGPEN03-071.20250331</t>
  </si>
  <si>
    <t>NSGPEN03-072.20250507</t>
  </si>
  <si>
    <t>NSGPEN03-073.20250513</t>
  </si>
  <si>
    <t>NSGPEN03-074.20250513</t>
  </si>
  <si>
    <t>NSGPEN03-075.20250522</t>
  </si>
  <si>
    <t>NSGPEN03-076.20250714</t>
  </si>
  <si>
    <t>NSGPEN03-077.20250805</t>
  </si>
  <si>
    <t>NSGPEN03-078.20250812</t>
  </si>
  <si>
    <t>NSGPEN03-079.20250819</t>
  </si>
  <si>
    <t>NSGPEN03-080.20250902</t>
  </si>
  <si>
    <t>NSGUSD01-005.20160101</t>
  </si>
  <si>
    <t>NSGUSD01-020.20160101</t>
  </si>
  <si>
    <t>NSGUSD01-024.20160101</t>
  </si>
  <si>
    <t>NSGUSD01-031.20160101</t>
  </si>
  <si>
    <t>NSGUSD01-033.20160101</t>
  </si>
  <si>
    <t>NSGUSD01-034.20160101</t>
  </si>
  <si>
    <t>NSGUSD01-035.20160101</t>
  </si>
  <si>
    <t>NSGUSD01-039.20160101</t>
  </si>
  <si>
    <t>NSGUSD02-001.20260527</t>
  </si>
  <si>
    <t>NSGUSD02-002.20260101</t>
  </si>
  <si>
    <t>NSGUSD02-003.20250901</t>
  </si>
  <si>
    <t>NSGUSD02-004.20251013</t>
  </si>
  <si>
    <t>NSGUSD02-005.20240901</t>
  </si>
  <si>
    <t>NSGUSD02-006.20251029</t>
  </si>
  <si>
    <t>NSGUSD02-007.20260104</t>
  </si>
  <si>
    <t>NSGUSD02-008.20260203</t>
  </si>
  <si>
    <t>NSGUSD02-009.20260302</t>
  </si>
  <si>
    <t>NSGUSD02-010.20230301</t>
  </si>
  <si>
    <t>NSGUSD02-011.20211108</t>
  </si>
  <si>
    <t>NSGUSD02-012.20260316</t>
  </si>
  <si>
    <t>NSGUSD02-013.20260320</t>
  </si>
  <si>
    <t>NSGUSD02-014.20260314</t>
  </si>
  <si>
    <t>NSGUSD02-015.20260625</t>
  </si>
  <si>
    <t>NSGUSD02-016.20260101</t>
  </si>
  <si>
    <t>NSGUSD02-017.20250101</t>
  </si>
  <si>
    <t>NSGUSD02-018.20250501</t>
  </si>
  <si>
    <t>NSGUSD02-019.20240301</t>
  </si>
  <si>
    <t>NSGUSD02-020.20250701</t>
  </si>
  <si>
    <t>NSGUSD02-021.20260720</t>
  </si>
  <si>
    <t>NSGUSD02-022.20260101</t>
  </si>
  <si>
    <t>NSGUSD02-023.20260101</t>
  </si>
  <si>
    <t>NSGUSD02-024.20260709</t>
  </si>
  <si>
    <t>NSGUSD02-025.20230130</t>
  </si>
  <si>
    <t>NSGUSD02-026.20230131</t>
  </si>
  <si>
    <t>NSGUSD02-027.20240101</t>
  </si>
  <si>
    <t>NSGUSD02-028.20230309</t>
  </si>
  <si>
    <t>NSGUSD02-029.20230503</t>
  </si>
  <si>
    <t>NSGUSD02-030.20260803</t>
  </si>
  <si>
    <t>NSGUSD02-031.20240115</t>
  </si>
  <si>
    <t>NSGUSD02-032.20240301</t>
  </si>
  <si>
    <t>NSGUSD02-033.20240415</t>
  </si>
  <si>
    <t>NSGUSD02-034.20240422</t>
  </si>
  <si>
    <t>NSGUSD02-035.20250901</t>
  </si>
  <si>
    <t>NSGUSD02-036.20250902</t>
  </si>
  <si>
    <t>NSGUSD02-038.20240701</t>
  </si>
  <si>
    <t>NSGUSD02-039.20250901</t>
  </si>
  <si>
    <t>NSGUSD02-040.20250901</t>
  </si>
  <si>
    <t>NSGUSD02-041.20250101</t>
  </si>
  <si>
    <t>NSGUSD02-042.20250130</t>
  </si>
  <si>
    <t>NSGUSD02-043.20250207</t>
  </si>
  <si>
    <t>NSGUSD02-044.20250210</t>
  </si>
  <si>
    <t>NSGUSD02-045.20250401</t>
  </si>
  <si>
    <t>NSGUSD02-046.20250401</t>
  </si>
  <si>
    <t>NSGUSD02-047.20250625</t>
  </si>
  <si>
    <t>NSGUSD02-048.20250704</t>
  </si>
  <si>
    <t>NSGUSD02-049.20250704</t>
  </si>
  <si>
    <t>NSGUSD02-050.20250709</t>
  </si>
  <si>
    <t>NSGUSD02-051.20250811</t>
  </si>
  <si>
    <t>NSGUSD02-052.20250908</t>
  </si>
  <si>
    <t>NSGUSD02-053.20250908</t>
  </si>
  <si>
    <t>NSLCON01-002.20200901</t>
  </si>
  <si>
    <t>INGRESOS BRUTOS</t>
  </si>
  <si>
    <t>TASA ACTIVA DIARIA (INGRESOS POR IFCSAC)</t>
  </si>
  <si>
    <t>PAGO A LOS INVERSIONISTAS</t>
  </si>
  <si>
    <t>NSGPEN01-046.20160101</t>
  </si>
  <si>
    <t>NSGPEN01-081.20160101</t>
  </si>
  <si>
    <t>NSGPEN01-084.20160101</t>
  </si>
  <si>
    <t>Aumento (02/01/26)</t>
  </si>
  <si>
    <t>Aumento (03/01/26)</t>
  </si>
  <si>
    <t>Aumento (12/01/26)</t>
  </si>
  <si>
    <t>TASA ACTIVA ANUAL NOMINAL BRUTA</t>
  </si>
  <si>
    <t>TASA PARA PAGO POR ADMINISTRACION</t>
  </si>
  <si>
    <t>TASA PARA PAGO POR CAPTACION</t>
  </si>
  <si>
    <t>TASA PARA PAGO POR MISCELANEOS</t>
  </si>
  <si>
    <t>EGRESOS BRUTOS</t>
  </si>
  <si>
    <t>NSGPEN02-004.20230501</t>
  </si>
  <si>
    <t>NSGPEN02-006.20230501</t>
  </si>
  <si>
    <t>NSGPEN03-025.20240301</t>
  </si>
  <si>
    <t>NSGPEN03-031.20250501</t>
  </si>
  <si>
    <t>NSGPEN03-035.20250701</t>
  </si>
  <si>
    <t>NSGPEN03-036.20240701</t>
  </si>
  <si>
    <t>NSGPEN03-050.20240219</t>
  </si>
  <si>
    <t>NSGPEN03-063.20250207</t>
  </si>
  <si>
    <t>NSGUSD01-038.20160101</t>
  </si>
  <si>
    <t>NSGUSD02-021.20240901</t>
  </si>
  <si>
    <t>NSGUSD02-037.20240701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</si>
</sst>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0"/>
    <numFmt numFmtId="167" formatCode="0.0000%"/>
    <numFmt numFmtId="171" formatCode="_-* #,##0.000000_-;\-* #,##0.000000_-;_-* &quot;-&quot;??_-;_-@_-"/>
  </numFmts>
  <fonts count="25" x14ac:knownFonts="1">
    <font>
      <sz val="11"/>
      <color theme="1"/>
      <name val="Calibri"/>
      <family val="2"/>
      <scheme val="minor"/>
    </font>
    <font>
      <b/>
      <sz val="10"/>
      <color rgb="FFFFFFFF"/>
      <name val="Consolas"/>
      <family val="3"/>
    </font>
    <font>
      <sz val="9.5"/>
      <color rgb="FF1E293B"/>
      <name val="Consolas"/>
      <family val="3"/>
    </font>
    <font>
      <b/>
      <sz val="10"/>
      <color rgb="FF0F172A"/>
      <name val="Consolas"/>
      <family val="3"/>
    </font>
    <font>
      <b/>
      <sz val="9.5"/>
      <color rgb="FF0F172A"/>
      <name val="Consolas"/>
      <family val="3"/>
    </font>
    <font>
      <b/>
      <sz val="10"/>
      <color rgb="FF047857"/>
      <name val="Consolas"/>
      <family val="3"/>
    </font>
    <font>
      <b/>
      <sz val="9.5"/>
      <color rgb="FF047857"/>
      <name val="Consolas"/>
      <family val="3"/>
    </font>
    <font>
      <b/>
      <sz val="10"/>
      <color rgb="FF1E293B"/>
      <name val="Consolas"/>
      <family val="3"/>
    </font>
    <font>
      <b/>
      <sz val="9.5"/>
      <color rgb="FF1E293B"/>
      <name val="Consolas"/>
      <family val="3"/>
    </font>
    <font>
      <b/>
      <sz val="10"/>
      <color rgb="FF1E40AF"/>
      <name val="Consolas"/>
      <family val="3"/>
    </font>
    <font>
      <b/>
      <sz val="9.5"/>
      <color rgb="FF1E40AF"/>
      <name val="Consolas"/>
      <family val="3"/>
    </font>
    <font>
      <b/>
      <sz val="10"/>
      <color rgb="FFB91C1C"/>
      <name val="Consolas"/>
      <family val="3"/>
    </font>
    <font>
      <b/>
      <sz val="9.5"/>
      <color rgb="FFB91C1C"/>
      <name val="Consolas"/>
      <family val="3"/>
    </font>
    <font>
      <b/>
      <sz val="10"/>
      <color rgb="FF1D4ED8"/>
      <name val="Consolas"/>
      <family val="3"/>
    </font>
    <font>
      <b/>
      <sz val="9.5"/>
      <color rgb="FF1D4ED8"/>
      <name val="Consolas"/>
      <family val="3"/>
    </font>
    <font>
      <b/>
      <sz val="10"/>
      <color rgb="FF78350F"/>
      <name val="Consolas"/>
      <family val="3"/>
    </font>
    <font>
      <b/>
      <sz val="9.5"/>
      <color rgb="FF78350F"/>
      <name val="Consolas"/>
      <family val="3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onsolas"/>
      <family val="3"/>
    </font>
    <font>
      <b/>
      <sz val="9.5"/>
      <color theme="0"/>
      <name val="Consolas"/>
      <family val="3"/>
    </font>
    <font>
      <b/>
      <sz val="9.5"/>
      <name val="Consolas"/>
      <family val="3"/>
    </font>
    <font>
      <b/>
      <sz val="10"/>
      <name val="Consolas"/>
      <family val="3"/>
    </font>
    <font>
      <sz val="9.5"/>
      <color rgb="FF334155"/>
      <name val="Consolas"/>
      <family val="3"/>
    </font>
    <font>
      <sz val="8"/>
      <color rgb="FF334155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EFF6FF"/>
      </patternFill>
    </fill>
    <fill>
      <patternFill patternType="solid">
        <fgColor rgb="FFFEF3C7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3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4" fontId="8" fillId="6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/>
    </xf>
    <xf numFmtId="164" fontId="10" fillId="7" borderId="2" xfId="0" applyNumberFormat="1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left" vertical="center"/>
    </xf>
    <xf numFmtId="4" fontId="12" fillId="8" borderId="2" xfId="0" applyNumberFormat="1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left" vertical="center"/>
    </xf>
    <xf numFmtId="4" fontId="14" fillId="9" borderId="2" xfId="0" applyNumberFormat="1" applyFont="1" applyFill="1" applyBorder="1" applyAlignment="1">
      <alignment horizontal="right" vertical="center"/>
    </xf>
    <xf numFmtId="0" fontId="15" fillId="10" borderId="3" xfId="0" applyFont="1" applyFill="1" applyBorder="1" applyAlignment="1">
      <alignment horizontal="left" vertical="center"/>
    </xf>
    <xf numFmtId="4" fontId="16" fillId="10" borderId="3" xfId="0" applyNumberFormat="1" applyFont="1" applyFill="1" applyBorder="1" applyAlignment="1">
      <alignment horizontal="right" vertical="center"/>
    </xf>
    <xf numFmtId="0" fontId="9" fillId="7" borderId="0" xfId="0" applyFont="1" applyFill="1" applyBorder="1" applyAlignment="1">
      <alignment horizontal="left" vertical="center"/>
    </xf>
    <xf numFmtId="164" fontId="10" fillId="7" borderId="0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Border="1" applyAlignment="1">
      <alignment horizontal="right" vertical="center"/>
    </xf>
    <xf numFmtId="4" fontId="21" fillId="0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4" fontId="2" fillId="0" borderId="0" xfId="0" applyNumberFormat="1" applyFont="1" applyBorder="1" applyAlignment="1">
      <alignment horizontal="right" vertical="center"/>
    </xf>
    <xf numFmtId="0" fontId="19" fillId="11" borderId="0" xfId="0" applyFont="1" applyFill="1" applyBorder="1" applyAlignment="1">
      <alignment horizontal="left" vertical="center"/>
    </xf>
    <xf numFmtId="4" fontId="20" fillId="11" borderId="0" xfId="0" applyNumberFormat="1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left" vertical="center"/>
    </xf>
    <xf numFmtId="4" fontId="6" fillId="5" borderId="0" xfId="0" applyNumberFormat="1" applyFont="1" applyFill="1" applyBorder="1" applyAlignment="1">
      <alignment horizontal="right" vertical="center"/>
    </xf>
    <xf numFmtId="0" fontId="7" fillId="6" borderId="0" xfId="0" applyFont="1" applyFill="1" applyBorder="1" applyAlignment="1">
      <alignment horizontal="left" vertical="center"/>
    </xf>
    <xf numFmtId="4" fontId="8" fillId="6" borderId="0" xfId="0" applyNumberFormat="1" applyFont="1" applyFill="1" applyBorder="1" applyAlignment="1">
      <alignment horizontal="right" vertical="center"/>
    </xf>
    <xf numFmtId="0" fontId="11" fillId="8" borderId="0" xfId="0" applyFont="1" applyFill="1" applyBorder="1" applyAlignment="1">
      <alignment horizontal="left" vertical="center"/>
    </xf>
    <xf numFmtId="4" fontId="12" fillId="8" borderId="0" xfId="0" applyNumberFormat="1" applyFont="1" applyFill="1" applyBorder="1" applyAlignment="1">
      <alignment horizontal="right" vertical="center"/>
    </xf>
    <xf numFmtId="0" fontId="13" fillId="9" borderId="0" xfId="0" applyFont="1" applyFill="1" applyBorder="1" applyAlignment="1">
      <alignment horizontal="left" vertical="center"/>
    </xf>
    <xf numFmtId="4" fontId="14" fillId="9" borderId="0" xfId="0" applyNumberFormat="1" applyFont="1" applyFill="1" applyBorder="1" applyAlignment="1">
      <alignment horizontal="right" vertical="center"/>
    </xf>
    <xf numFmtId="0" fontId="15" fillId="10" borderId="0" xfId="0" applyFont="1" applyFill="1" applyBorder="1" applyAlignment="1">
      <alignment horizontal="left" vertical="center"/>
    </xf>
    <xf numFmtId="4" fontId="16" fillId="10" borderId="0" xfId="0" applyNumberFormat="1" applyFont="1" applyFill="1" applyBorder="1" applyAlignment="1">
      <alignment horizontal="right" vertical="center"/>
    </xf>
    <xf numFmtId="0" fontId="0" fillId="13" borderId="0" xfId="0" applyFill="1" applyBorder="1"/>
    <xf numFmtId="4" fontId="21" fillId="12" borderId="0" xfId="0" applyNumberFormat="1" applyFont="1" applyFill="1" applyBorder="1" applyAlignment="1">
      <alignment horizontal="right" vertical="center"/>
    </xf>
    <xf numFmtId="3" fontId="6" fillId="5" borderId="0" xfId="0" applyNumberFormat="1" applyFont="1" applyFill="1" applyBorder="1" applyAlignment="1">
      <alignment horizontal="center" vertical="center"/>
    </xf>
    <xf numFmtId="164" fontId="10" fillId="12" borderId="0" xfId="0" applyNumberFormat="1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left" vertical="center"/>
    </xf>
    <xf numFmtId="0" fontId="0" fillId="0" borderId="0" xfId="0" applyFill="1" applyBorder="1"/>
    <xf numFmtId="167" fontId="10" fillId="12" borderId="0" xfId="2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167" fontId="10" fillId="0" borderId="0" xfId="2" applyNumberFormat="1" applyFont="1" applyFill="1" applyBorder="1" applyAlignment="1">
      <alignment horizontal="center" vertical="center"/>
    </xf>
    <xf numFmtId="43" fontId="10" fillId="0" borderId="0" xfId="1" applyFont="1" applyFill="1" applyBorder="1" applyAlignment="1">
      <alignment horizontal="right" vertical="center"/>
    </xf>
    <xf numFmtId="4" fontId="23" fillId="0" borderId="0" xfId="0" applyNumberFormat="1" applyFont="1" applyBorder="1" applyAlignment="1">
      <alignment horizontal="right" vertical="center"/>
    </xf>
    <xf numFmtId="4" fontId="24" fillId="0" borderId="0" xfId="0" applyNumberFormat="1" applyFont="1" applyBorder="1" applyAlignment="1">
      <alignment horizontal="right" vertical="center"/>
    </xf>
    <xf numFmtId="4" fontId="12" fillId="0" borderId="0" xfId="0" applyNumberFormat="1" applyFont="1" applyFill="1" applyBorder="1" applyAlignment="1">
      <alignment horizontal="right" vertical="center"/>
    </xf>
    <xf numFmtId="171" fontId="0" fillId="0" borderId="0" xfId="1" applyNumberFormat="1" applyFont="1" applyBorder="1"/>
    <xf numFmtId="171" fontId="18" fillId="14" borderId="0" xfId="1" applyNumberFormat="1" applyFont="1" applyFill="1" applyBorder="1"/>
    <xf numFmtId="164" fontId="0" fillId="0" borderId="0" xfId="0" applyNumberFormat="1" applyBorder="1"/>
    <xf numFmtId="0" fontId="3" fillId="4" borderId="0" xfId="0" applyFont="1" applyFill="1" applyBorder="1" applyAlignment="1">
      <alignment horizontal="left" vertical="center"/>
    </xf>
    <xf numFmtId="4" fontId="4" fillId="4" borderId="0" xfId="0" applyNumberFormat="1" applyFont="1" applyFill="1" applyBorder="1" applyAlignment="1">
      <alignment horizontal="right" vertical="center"/>
    </xf>
    <xf numFmtId="4" fontId="23" fillId="0" borderId="0" xfId="0" applyNumberFormat="1" applyFont="1" applyBorder="1" applyAlignment="1">
      <alignment horizontal="left" vertical="center"/>
    </xf>
    <xf numFmtId="4" fontId="24" fillId="0" borderId="0" xfId="0" applyNumberFormat="1" applyFont="1" applyBorder="1" applyAlignment="1">
      <alignment horizontal="left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T126"/>
  <sheetViews>
    <sheetView showGridLines="0" workbookViewId="0">
      <pane xSplit="1" ySplit="1" topLeftCell="B63" activePane="bottomRight" state="frozen"/>
      <selection pane="topRight"/>
      <selection pane="bottomLeft"/>
      <selection pane="bottomRight" activeCell="BK121" sqref="BK121"/>
    </sheetView>
  </sheetViews>
  <sheetFormatPr baseColWidth="10" defaultColWidth="9.140625" defaultRowHeight="15" outlineLevelRow="1" outlineLevelCol="1" x14ac:dyDescent="0.25"/>
  <cols>
    <col min="1" max="1" width="40" style="25" customWidth="1"/>
    <col min="2" max="2" width="15" style="25" customWidth="1"/>
    <col min="3" max="59" width="15" style="25" hidden="1" customWidth="1" outlineLevel="1"/>
    <col min="60" max="60" width="15" style="25" customWidth="1" collapsed="1"/>
    <col min="61" max="61" width="9.140625" style="25"/>
    <col min="62" max="62" width="15.7109375" style="25" customWidth="1"/>
    <col min="63" max="63" width="9.140625" style="25"/>
    <col min="64" max="64" width="15.7109375" style="25" customWidth="1"/>
    <col min="65" max="16384" width="9.140625" style="25"/>
  </cols>
  <sheetData>
    <row r="1" spans="1:60" ht="27.95" customHeigh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</row>
    <row r="2" spans="1:60" ht="21" customHeight="1" x14ac:dyDescent="0.25">
      <c r="A2" s="26" t="s">
        <v>60</v>
      </c>
      <c r="B2" s="27">
        <v>738.88888888888891</v>
      </c>
      <c r="C2" s="27">
        <v>738.88888888888891</v>
      </c>
      <c r="D2" s="27">
        <v>738.88888888888891</v>
      </c>
      <c r="E2" s="27">
        <v>738.88888888888891</v>
      </c>
      <c r="F2" s="27">
        <v>738.88888888888891</v>
      </c>
      <c r="G2" s="27">
        <v>738.88888888888891</v>
      </c>
      <c r="H2" s="27">
        <v>738.88888888888891</v>
      </c>
      <c r="I2" s="27">
        <v>738.88888888888891</v>
      </c>
      <c r="J2" s="27">
        <v>738.88888888888891</v>
      </c>
      <c r="K2" s="27">
        <v>738.88888888888891</v>
      </c>
      <c r="L2" s="27">
        <v>738.88888888888891</v>
      </c>
      <c r="M2" s="27">
        <v>738.88888888888891</v>
      </c>
      <c r="N2" s="27">
        <v>738.88888888888891</v>
      </c>
      <c r="O2" s="27">
        <v>738.88888888888891</v>
      </c>
      <c r="P2" s="27">
        <v>738.88888888888891</v>
      </c>
      <c r="Q2" s="27">
        <v>738.88888888888891</v>
      </c>
      <c r="R2" s="27">
        <v>738.88888888888891</v>
      </c>
      <c r="S2" s="27">
        <v>738.88888888888891</v>
      </c>
      <c r="T2" s="27">
        <v>738.88888888888891</v>
      </c>
      <c r="U2" s="27">
        <v>738.88888888888891</v>
      </c>
      <c r="V2" s="27">
        <v>738.88888888888891</v>
      </c>
      <c r="W2" s="27">
        <v>738.88888888888891</v>
      </c>
      <c r="X2" s="27">
        <v>738.88888888888891</v>
      </c>
      <c r="Y2" s="27">
        <v>738.88888888888891</v>
      </c>
      <c r="Z2" s="27">
        <v>738.88888888888891</v>
      </c>
      <c r="AA2" s="27">
        <v>738.88888888888891</v>
      </c>
      <c r="AB2" s="27">
        <v>738.88888888888891</v>
      </c>
      <c r="AC2" s="27">
        <v>738.88888888888891</v>
      </c>
      <c r="AD2" s="27">
        <v>738.88888888888891</v>
      </c>
      <c r="AE2" s="27">
        <v>738.88888888888891</v>
      </c>
      <c r="AF2" s="27">
        <v>738.88888888888891</v>
      </c>
      <c r="AG2" s="27">
        <v>738.88888888888891</v>
      </c>
      <c r="AH2" s="27">
        <v>738.88888888888891</v>
      </c>
      <c r="AI2" s="27">
        <v>738.88888888888891</v>
      </c>
      <c r="AJ2" s="27">
        <v>738.88888888888891</v>
      </c>
      <c r="AK2" s="27">
        <v>738.88888888888891</v>
      </c>
      <c r="AL2" s="27">
        <v>738.88888888888891</v>
      </c>
      <c r="AM2" s="27">
        <v>738.88888888888891</v>
      </c>
      <c r="AN2" s="27">
        <v>738.88888888888891</v>
      </c>
      <c r="AO2" s="27">
        <v>738.88888888888891</v>
      </c>
      <c r="AP2" s="27">
        <v>738.88888888888891</v>
      </c>
      <c r="AQ2" s="27">
        <v>738.88888888888891</v>
      </c>
      <c r="AR2" s="27">
        <v>738.88888888888891</v>
      </c>
      <c r="AS2" s="27">
        <v>738.88888888888891</v>
      </c>
      <c r="AT2" s="27">
        <v>738.88888888888891</v>
      </c>
      <c r="AU2" s="27">
        <v>738.88888888888891</v>
      </c>
      <c r="AV2" s="27">
        <v>738.88888888888891</v>
      </c>
      <c r="AW2" s="27">
        <v>738.88888888888891</v>
      </c>
      <c r="AX2" s="27">
        <v>738.88888888888891</v>
      </c>
      <c r="AY2" s="27">
        <v>738.88888888888891</v>
      </c>
      <c r="AZ2" s="27">
        <v>738.88888888888891</v>
      </c>
      <c r="BA2" s="27">
        <v>738.88888888888891</v>
      </c>
      <c r="BB2" s="27">
        <v>738.88888888888891</v>
      </c>
      <c r="BC2" s="27">
        <v>738.88888888888891</v>
      </c>
      <c r="BD2" s="27">
        <v>738.88888888888891</v>
      </c>
      <c r="BE2" s="27">
        <v>738.88888888888891</v>
      </c>
      <c r="BF2" s="27">
        <v>738.88888888888891</v>
      </c>
      <c r="BG2" s="27">
        <v>738.88888888888891</v>
      </c>
      <c r="BH2" s="27">
        <v>738.88888888888891</v>
      </c>
    </row>
    <row r="3" spans="1:60" ht="21" customHeight="1" x14ac:dyDescent="0.25">
      <c r="A3" s="26" t="s">
        <v>61</v>
      </c>
      <c r="B3" s="27">
        <v>233.33333333333334</v>
      </c>
      <c r="C3" s="27">
        <v>233.33333333333334</v>
      </c>
      <c r="D3" s="27">
        <v>233.33333333333334</v>
      </c>
      <c r="E3" s="27">
        <v>233.33333333333334</v>
      </c>
      <c r="F3" s="27">
        <v>233.33333333333334</v>
      </c>
      <c r="G3" s="27">
        <v>233.33333333333334</v>
      </c>
      <c r="H3" s="27">
        <v>233.33333333333334</v>
      </c>
      <c r="I3" s="27">
        <v>233.33333333333334</v>
      </c>
      <c r="J3" s="27">
        <v>233.33333333333334</v>
      </c>
      <c r="K3" s="27">
        <v>233.33333333333334</v>
      </c>
      <c r="L3" s="27">
        <v>233.33333333333334</v>
      </c>
      <c r="M3" s="27">
        <v>233.33333333333334</v>
      </c>
      <c r="N3" s="27">
        <v>233.33333333333334</v>
      </c>
      <c r="O3" s="27">
        <v>233.33333333333334</v>
      </c>
      <c r="P3" s="27">
        <v>233.33333333333334</v>
      </c>
      <c r="Q3" s="27">
        <v>233.33333333333334</v>
      </c>
      <c r="R3" s="27">
        <v>233.33333333333334</v>
      </c>
      <c r="S3" s="27">
        <v>233.33333333333334</v>
      </c>
      <c r="T3" s="27">
        <v>233.33333333333334</v>
      </c>
      <c r="U3" s="27">
        <v>233.33333333333334</v>
      </c>
      <c r="V3" s="27">
        <v>233.33333333333334</v>
      </c>
      <c r="W3" s="27">
        <v>233.33333333333334</v>
      </c>
      <c r="X3" s="27">
        <v>233.33333333333334</v>
      </c>
      <c r="Y3" s="27">
        <v>233.33333333333334</v>
      </c>
      <c r="Z3" s="27">
        <v>233.33333333333334</v>
      </c>
      <c r="AA3" s="27">
        <v>233.33333333333334</v>
      </c>
      <c r="AB3" s="27">
        <v>233.33333333333334</v>
      </c>
      <c r="AC3" s="27">
        <v>233.33333333333334</v>
      </c>
      <c r="AD3" s="27">
        <v>233.33333333333334</v>
      </c>
      <c r="AE3" s="27">
        <v>233.33333333333334</v>
      </c>
      <c r="AF3" s="27">
        <v>233.33333333333334</v>
      </c>
      <c r="AG3" s="27">
        <v>233.33333333333334</v>
      </c>
      <c r="AH3" s="27">
        <v>233.33333333333334</v>
      </c>
      <c r="AI3" s="27">
        <v>233.33333333333334</v>
      </c>
      <c r="AJ3" s="27">
        <v>233.33333333333334</v>
      </c>
      <c r="AK3" s="27">
        <v>233.33333333333334</v>
      </c>
      <c r="AL3" s="27">
        <v>233.33333333333334</v>
      </c>
      <c r="AM3" s="27">
        <v>233.33333333333334</v>
      </c>
      <c r="AN3" s="27">
        <v>233.33333333333334</v>
      </c>
      <c r="AO3" s="27">
        <v>233.33333333333334</v>
      </c>
      <c r="AP3" s="27">
        <v>233.33333333333334</v>
      </c>
      <c r="AQ3" s="27">
        <v>233.33333333333334</v>
      </c>
      <c r="AR3" s="27">
        <v>233.33333333333334</v>
      </c>
      <c r="AS3" s="27">
        <v>233.33333333333334</v>
      </c>
      <c r="AT3" s="27">
        <v>233.33333333333334</v>
      </c>
      <c r="AU3" s="27">
        <v>233.33333333333334</v>
      </c>
      <c r="AV3" s="27">
        <v>233.33333333333334</v>
      </c>
      <c r="AW3" s="27">
        <v>233.33333333333334</v>
      </c>
      <c r="AX3" s="27">
        <v>233.33333333333334</v>
      </c>
      <c r="AY3" s="27">
        <v>233.33333333333334</v>
      </c>
      <c r="AZ3" s="27">
        <v>233.33333333333334</v>
      </c>
      <c r="BA3" s="27">
        <v>233.33333333333334</v>
      </c>
      <c r="BB3" s="27">
        <v>233.33333333333334</v>
      </c>
      <c r="BC3" s="27">
        <v>233.33333333333334</v>
      </c>
      <c r="BD3" s="27">
        <v>233.33333333333334</v>
      </c>
      <c r="BE3" s="27">
        <v>233.33333333333334</v>
      </c>
      <c r="BF3" s="27">
        <v>233.33333333333334</v>
      </c>
      <c r="BG3" s="27">
        <v>233.33333333333334</v>
      </c>
      <c r="BH3" s="27">
        <v>233.33333333333334</v>
      </c>
    </row>
    <row r="4" spans="1:60" ht="21" hidden="1" customHeight="1" outlineLevel="1" x14ac:dyDescent="0.25">
      <c r="A4" s="26" t="s">
        <v>62</v>
      </c>
      <c r="B4" s="27">
        <v>31.111111111111114</v>
      </c>
      <c r="C4" s="27">
        <v>31.111111111111114</v>
      </c>
      <c r="D4" s="27">
        <v>31.111111111111114</v>
      </c>
      <c r="E4" s="27">
        <v>31.111111111111114</v>
      </c>
      <c r="F4" s="27">
        <v>31.111111111111114</v>
      </c>
      <c r="G4" s="27">
        <v>31.111111111111114</v>
      </c>
      <c r="H4" s="27">
        <v>31.111111111111114</v>
      </c>
      <c r="I4" s="27">
        <v>31.111111111111114</v>
      </c>
      <c r="J4" s="27">
        <v>31.111111111111114</v>
      </c>
      <c r="K4" s="27">
        <v>31.111111111111114</v>
      </c>
      <c r="L4" s="27">
        <v>31.111111111111114</v>
      </c>
      <c r="M4" s="27">
        <v>31.111111111111114</v>
      </c>
      <c r="N4" s="27">
        <v>31.111111111111114</v>
      </c>
      <c r="O4" s="27">
        <v>31.111111111111114</v>
      </c>
      <c r="P4" s="27">
        <v>31.111111111111114</v>
      </c>
      <c r="Q4" s="27">
        <v>31.111111111111114</v>
      </c>
      <c r="R4" s="27">
        <v>31.111111111111114</v>
      </c>
      <c r="S4" s="27">
        <v>31.111111111111114</v>
      </c>
      <c r="T4" s="27">
        <v>31.111111111111114</v>
      </c>
      <c r="U4" s="27">
        <v>31.111111111111114</v>
      </c>
      <c r="V4" s="27">
        <v>31.111111111111114</v>
      </c>
      <c r="W4" s="27">
        <v>31.111111111111114</v>
      </c>
      <c r="X4" s="27">
        <v>31.111111111111114</v>
      </c>
      <c r="Y4" s="27">
        <v>31.111111111111114</v>
      </c>
      <c r="Z4" s="27">
        <v>31.111111111111114</v>
      </c>
      <c r="AA4" s="27">
        <v>31.111111111111114</v>
      </c>
      <c r="AB4" s="27">
        <v>31.111111111111114</v>
      </c>
      <c r="AC4" s="27">
        <v>31.111111111111114</v>
      </c>
      <c r="AD4" s="27">
        <v>31.111111111111114</v>
      </c>
      <c r="AE4" s="27">
        <v>31.111111111111114</v>
      </c>
      <c r="AF4" s="27">
        <v>31.111111111111114</v>
      </c>
      <c r="AG4" s="27">
        <v>31.111111111111114</v>
      </c>
      <c r="AH4" s="27">
        <v>31.111111111111114</v>
      </c>
      <c r="AI4" s="27">
        <v>31.111111111111114</v>
      </c>
      <c r="AJ4" s="27">
        <v>31.111111111111114</v>
      </c>
      <c r="AK4" s="27">
        <v>31.111111111111114</v>
      </c>
      <c r="AL4" s="27">
        <v>31.111111111111114</v>
      </c>
      <c r="AM4" s="27">
        <v>31.111111111111114</v>
      </c>
      <c r="AN4" s="27">
        <v>31.111111111111114</v>
      </c>
      <c r="AO4" s="27">
        <v>31.111111111111114</v>
      </c>
      <c r="AP4" s="27">
        <v>31.111111111111114</v>
      </c>
      <c r="AQ4" s="27">
        <v>31.111111111111114</v>
      </c>
      <c r="AR4" s="27">
        <v>31.111111111111114</v>
      </c>
      <c r="AS4" s="27">
        <v>31.111111111111114</v>
      </c>
      <c r="AT4" s="27">
        <v>31.111111111111114</v>
      </c>
      <c r="AU4" s="27">
        <v>31.111111111111114</v>
      </c>
      <c r="AV4" s="27">
        <v>31.111111111111114</v>
      </c>
      <c r="AW4" s="27">
        <v>31.111111111111114</v>
      </c>
      <c r="AX4" s="27">
        <v>31.111111111111114</v>
      </c>
      <c r="AY4" s="27">
        <v>31.111111111111114</v>
      </c>
      <c r="AZ4" s="27">
        <v>31.111111111111114</v>
      </c>
      <c r="BA4" s="27">
        <v>31.111111111111114</v>
      </c>
      <c r="BB4" s="27">
        <v>31.111111111111114</v>
      </c>
      <c r="BC4" s="27">
        <v>31.111111111111114</v>
      </c>
      <c r="BD4" s="27">
        <v>31.111111111111114</v>
      </c>
      <c r="BE4" s="27">
        <v>31.111111111111114</v>
      </c>
      <c r="BF4" s="27">
        <v>31.111111111111114</v>
      </c>
      <c r="BG4" s="27">
        <v>31.111111111111114</v>
      </c>
      <c r="BH4" s="27">
        <v>31.111111111111114</v>
      </c>
    </row>
    <row r="5" spans="1:60" ht="21" hidden="1" customHeight="1" outlineLevel="1" x14ac:dyDescent="0.25">
      <c r="A5" s="26" t="s">
        <v>63</v>
      </c>
      <c r="B5" s="27">
        <v>38.888888888888893</v>
      </c>
      <c r="C5" s="27">
        <v>38.888888888888893</v>
      </c>
      <c r="D5" s="27">
        <v>38.888888888888893</v>
      </c>
      <c r="E5" s="27">
        <v>38.888888888888893</v>
      </c>
      <c r="F5" s="27">
        <v>38.888888888888893</v>
      </c>
      <c r="G5" s="27">
        <v>38.888888888888893</v>
      </c>
      <c r="H5" s="27">
        <v>38.888888888888893</v>
      </c>
      <c r="I5" s="27">
        <v>38.888888888888893</v>
      </c>
      <c r="J5" s="27">
        <v>38.888888888888893</v>
      </c>
      <c r="K5" s="27">
        <v>38.888888888888893</v>
      </c>
      <c r="L5" s="27">
        <v>38.888888888888893</v>
      </c>
      <c r="M5" s="27">
        <v>38.888888888888893</v>
      </c>
      <c r="N5" s="27">
        <v>38.888888888888893</v>
      </c>
      <c r="O5" s="27">
        <v>38.888888888888893</v>
      </c>
      <c r="P5" s="27">
        <v>38.888888888888893</v>
      </c>
      <c r="Q5" s="27">
        <v>38.888888888888893</v>
      </c>
      <c r="R5" s="27">
        <v>38.888888888888893</v>
      </c>
      <c r="S5" s="27">
        <v>38.888888888888893</v>
      </c>
      <c r="T5" s="27">
        <v>38.888888888888893</v>
      </c>
      <c r="U5" s="27">
        <v>38.888888888888893</v>
      </c>
      <c r="V5" s="27">
        <v>38.888888888888893</v>
      </c>
      <c r="W5" s="27">
        <v>38.888888888888893</v>
      </c>
      <c r="X5" s="27">
        <v>38.888888888888893</v>
      </c>
      <c r="Y5" s="27">
        <v>38.888888888888893</v>
      </c>
      <c r="Z5" s="27">
        <v>38.888888888888893</v>
      </c>
      <c r="AA5" s="27">
        <v>38.888888888888893</v>
      </c>
      <c r="AB5" s="27">
        <v>38.888888888888893</v>
      </c>
      <c r="AC5" s="27">
        <v>38.888888888888893</v>
      </c>
      <c r="AD5" s="27">
        <v>38.888888888888893</v>
      </c>
      <c r="AE5" s="27">
        <v>38.888888888888893</v>
      </c>
      <c r="AF5" s="27">
        <v>38.888888888888893</v>
      </c>
      <c r="AG5" s="27">
        <v>38.888888888888893</v>
      </c>
      <c r="AH5" s="27">
        <v>38.888888888888893</v>
      </c>
      <c r="AI5" s="27">
        <v>38.888888888888893</v>
      </c>
      <c r="AJ5" s="27">
        <v>38.888888888888893</v>
      </c>
      <c r="AK5" s="27">
        <v>38.888888888888893</v>
      </c>
      <c r="AL5" s="27">
        <v>38.888888888888893</v>
      </c>
      <c r="AM5" s="27">
        <v>38.888888888888893</v>
      </c>
      <c r="AN5" s="27">
        <v>38.888888888888893</v>
      </c>
      <c r="AO5" s="27">
        <v>38.888888888888893</v>
      </c>
      <c r="AP5" s="27">
        <v>38.888888888888893</v>
      </c>
      <c r="AQ5" s="27">
        <v>38.888888888888893</v>
      </c>
      <c r="AR5" s="27">
        <v>38.888888888888893</v>
      </c>
      <c r="AS5" s="27">
        <v>38.888888888888893</v>
      </c>
      <c r="AT5" s="27">
        <v>38.888888888888893</v>
      </c>
      <c r="AU5" s="27">
        <v>38.888888888888893</v>
      </c>
      <c r="AV5" s="27">
        <v>38.888888888888893</v>
      </c>
      <c r="AW5" s="27">
        <v>38.888888888888893</v>
      </c>
      <c r="AX5" s="27">
        <v>38.888888888888893</v>
      </c>
      <c r="AY5" s="27">
        <v>38.888888888888893</v>
      </c>
      <c r="AZ5" s="27">
        <v>38.888888888888893</v>
      </c>
      <c r="BA5" s="27">
        <v>38.888888888888893</v>
      </c>
      <c r="BB5" s="27">
        <v>38.888888888888893</v>
      </c>
      <c r="BC5" s="27">
        <v>38.888888888888893</v>
      </c>
      <c r="BD5" s="27">
        <v>38.888888888888893</v>
      </c>
      <c r="BE5" s="27">
        <v>38.888888888888893</v>
      </c>
      <c r="BF5" s="27">
        <v>38.888888888888893</v>
      </c>
      <c r="BG5" s="27">
        <v>38.888888888888893</v>
      </c>
      <c r="BH5" s="27">
        <v>38.888888888888893</v>
      </c>
    </row>
    <row r="6" spans="1:60" ht="21" hidden="1" customHeight="1" outlineLevel="1" x14ac:dyDescent="0.25">
      <c r="A6" s="26" t="s">
        <v>64</v>
      </c>
      <c r="B6" s="27">
        <v>130.2777777777778</v>
      </c>
      <c r="C6" s="27">
        <v>130.2777777777778</v>
      </c>
      <c r="D6" s="27">
        <v>130.2777777777778</v>
      </c>
      <c r="E6" s="27">
        <v>130.2777777777778</v>
      </c>
      <c r="F6" s="27">
        <v>130.2777777777778</v>
      </c>
      <c r="G6" s="27">
        <v>130.2777777777778</v>
      </c>
      <c r="H6" s="27">
        <v>130.2777777777778</v>
      </c>
      <c r="I6" s="27">
        <v>130.2777777777778</v>
      </c>
      <c r="J6" s="27">
        <v>130.2777777777778</v>
      </c>
      <c r="K6" s="27">
        <v>130.2777777777778</v>
      </c>
      <c r="L6" s="27">
        <v>130.2777777777778</v>
      </c>
      <c r="M6" s="27">
        <v>130.2777777777778</v>
      </c>
      <c r="N6" s="27">
        <v>130.2777777777778</v>
      </c>
      <c r="O6" s="27">
        <v>130.2777777777778</v>
      </c>
      <c r="P6" s="27">
        <v>130.2777777777778</v>
      </c>
      <c r="Q6" s="27">
        <v>130.2777777777778</v>
      </c>
      <c r="R6" s="27">
        <v>130.2777777777778</v>
      </c>
      <c r="S6" s="27">
        <v>130.2777777777778</v>
      </c>
      <c r="T6" s="27">
        <v>130.2777777777778</v>
      </c>
      <c r="U6" s="27">
        <v>130.2777777777778</v>
      </c>
      <c r="V6" s="27">
        <v>130.2777777777778</v>
      </c>
      <c r="W6" s="27">
        <v>130.2777777777778</v>
      </c>
      <c r="X6" s="27">
        <v>130.2777777777778</v>
      </c>
      <c r="Y6" s="27">
        <v>130.2777777777778</v>
      </c>
      <c r="Z6" s="27">
        <v>130.2777777777778</v>
      </c>
      <c r="AA6" s="27">
        <v>130.2777777777778</v>
      </c>
      <c r="AB6" s="27">
        <v>130.2777777777778</v>
      </c>
      <c r="AC6" s="27">
        <v>130.2777777777778</v>
      </c>
      <c r="AD6" s="27">
        <v>130.2777777777778</v>
      </c>
      <c r="AE6" s="27">
        <v>130.2777777777778</v>
      </c>
      <c r="AF6" s="27">
        <v>130.2777777777778</v>
      </c>
      <c r="AG6" s="27">
        <v>130.2777777777778</v>
      </c>
      <c r="AH6" s="27">
        <v>130.2777777777778</v>
      </c>
      <c r="AI6" s="27">
        <v>130.2777777777778</v>
      </c>
      <c r="AJ6" s="27">
        <v>130.2777777777778</v>
      </c>
      <c r="AK6" s="27">
        <v>130.2777777777778</v>
      </c>
      <c r="AL6" s="27">
        <v>130.2777777777778</v>
      </c>
      <c r="AM6" s="27">
        <v>130.2777777777778</v>
      </c>
      <c r="AN6" s="27">
        <v>130.2777777777778</v>
      </c>
      <c r="AO6" s="27">
        <v>130.2777777777778</v>
      </c>
      <c r="AP6" s="27">
        <v>130.2777777777778</v>
      </c>
      <c r="AQ6" s="27">
        <v>130.2777777777778</v>
      </c>
      <c r="AR6" s="27">
        <v>130.2777777777778</v>
      </c>
      <c r="AS6" s="27">
        <v>130.2777777777778</v>
      </c>
      <c r="AT6" s="27">
        <v>130.2777777777778</v>
      </c>
      <c r="AU6" s="27">
        <v>130.2777777777778</v>
      </c>
      <c r="AV6" s="27">
        <v>130.2777777777778</v>
      </c>
      <c r="AW6" s="27">
        <v>130.2777777777778</v>
      </c>
      <c r="AX6" s="27">
        <v>130.2777777777778</v>
      </c>
      <c r="AY6" s="27">
        <v>130.2777777777778</v>
      </c>
      <c r="AZ6" s="27">
        <v>130.2777777777778</v>
      </c>
      <c r="BA6" s="27">
        <v>130.2777777777778</v>
      </c>
      <c r="BB6" s="27">
        <v>130.2777777777778</v>
      </c>
      <c r="BC6" s="27">
        <v>130.2777777777778</v>
      </c>
      <c r="BD6" s="27">
        <v>130.2777777777778</v>
      </c>
      <c r="BE6" s="27">
        <v>130.2777777777778</v>
      </c>
      <c r="BF6" s="27">
        <v>130.2777777777778</v>
      </c>
      <c r="BG6" s="27">
        <v>130.2777777777778</v>
      </c>
      <c r="BH6" s="27">
        <v>130.2777777777778</v>
      </c>
    </row>
    <row r="7" spans="1:60" ht="21" hidden="1" customHeight="1" outlineLevel="1" x14ac:dyDescent="0.25">
      <c r="A7" s="26" t="s">
        <v>65</v>
      </c>
      <c r="B7" s="27">
        <v>23.333333333333336</v>
      </c>
      <c r="C7" s="27">
        <v>23.333333333333336</v>
      </c>
      <c r="D7" s="27">
        <v>23.333333333333336</v>
      </c>
      <c r="E7" s="27">
        <v>23.333333333333336</v>
      </c>
      <c r="F7" s="27">
        <v>23.333333333333336</v>
      </c>
      <c r="G7" s="27">
        <v>23.333333333333336</v>
      </c>
      <c r="H7" s="27">
        <v>23.333333333333336</v>
      </c>
      <c r="I7" s="27">
        <v>23.333333333333336</v>
      </c>
      <c r="J7" s="27">
        <v>23.333333333333336</v>
      </c>
      <c r="K7" s="27">
        <v>23.333333333333336</v>
      </c>
      <c r="L7" s="27">
        <v>23.333333333333336</v>
      </c>
      <c r="M7" s="27">
        <v>23.333333333333336</v>
      </c>
      <c r="N7" s="27">
        <v>23.333333333333336</v>
      </c>
      <c r="O7" s="27">
        <v>23.333333333333336</v>
      </c>
      <c r="P7" s="27">
        <v>23.333333333333336</v>
      </c>
      <c r="Q7" s="27">
        <v>23.333333333333336</v>
      </c>
      <c r="R7" s="27">
        <v>23.333333333333336</v>
      </c>
      <c r="S7" s="27">
        <v>23.333333333333336</v>
      </c>
      <c r="T7" s="27">
        <v>23.333333333333336</v>
      </c>
      <c r="U7" s="27">
        <v>23.333333333333336</v>
      </c>
      <c r="V7" s="27">
        <v>23.333333333333336</v>
      </c>
      <c r="W7" s="27">
        <v>23.333333333333336</v>
      </c>
      <c r="X7" s="27">
        <v>23.333333333333336</v>
      </c>
      <c r="Y7" s="27">
        <v>23.333333333333336</v>
      </c>
      <c r="Z7" s="27">
        <v>23.333333333333336</v>
      </c>
      <c r="AA7" s="27">
        <v>23.333333333333336</v>
      </c>
      <c r="AB7" s="27">
        <v>23.333333333333336</v>
      </c>
      <c r="AC7" s="27">
        <v>23.333333333333336</v>
      </c>
      <c r="AD7" s="27">
        <v>23.333333333333336</v>
      </c>
      <c r="AE7" s="27">
        <v>23.333333333333336</v>
      </c>
      <c r="AF7" s="27">
        <v>23.333333333333336</v>
      </c>
      <c r="AG7" s="27">
        <v>23.333333333333336</v>
      </c>
      <c r="AH7" s="27">
        <v>23.333333333333336</v>
      </c>
      <c r="AI7" s="27">
        <v>23.333333333333336</v>
      </c>
      <c r="AJ7" s="27">
        <v>23.333333333333336</v>
      </c>
      <c r="AK7" s="27">
        <v>23.333333333333336</v>
      </c>
      <c r="AL7" s="27">
        <v>23.333333333333336</v>
      </c>
      <c r="AM7" s="27">
        <v>23.333333333333336</v>
      </c>
      <c r="AN7" s="27">
        <v>23.333333333333336</v>
      </c>
      <c r="AO7" s="27">
        <v>23.333333333333336</v>
      </c>
      <c r="AP7" s="27">
        <v>23.333333333333336</v>
      </c>
      <c r="AQ7" s="27">
        <v>23.333333333333336</v>
      </c>
      <c r="AR7" s="27">
        <v>23.333333333333336</v>
      </c>
      <c r="AS7" s="27">
        <v>23.333333333333336</v>
      </c>
      <c r="AT7" s="27">
        <v>23.333333333333336</v>
      </c>
      <c r="AU7" s="27">
        <v>23.333333333333336</v>
      </c>
      <c r="AV7" s="27">
        <v>23.333333333333336</v>
      </c>
      <c r="AW7" s="27">
        <v>23.333333333333336</v>
      </c>
      <c r="AX7" s="27">
        <v>23.333333333333336</v>
      </c>
      <c r="AY7" s="27">
        <v>23.333333333333336</v>
      </c>
      <c r="AZ7" s="27">
        <v>23.333333333333336</v>
      </c>
      <c r="BA7" s="27">
        <v>23.333333333333336</v>
      </c>
      <c r="BB7" s="27">
        <v>23.333333333333336</v>
      </c>
      <c r="BC7" s="27">
        <v>23.333333333333336</v>
      </c>
      <c r="BD7" s="27">
        <v>23.333333333333336</v>
      </c>
      <c r="BE7" s="27">
        <v>23.333333333333336</v>
      </c>
      <c r="BF7" s="27">
        <v>23.333333333333336</v>
      </c>
      <c r="BG7" s="27">
        <v>23.333333333333336</v>
      </c>
      <c r="BH7" s="27">
        <v>23.333333333333336</v>
      </c>
    </row>
    <row r="8" spans="1:60" ht="21" hidden="1" customHeight="1" outlineLevel="1" x14ac:dyDescent="0.25">
      <c r="A8" s="26" t="s">
        <v>66</v>
      </c>
      <c r="B8" s="27">
        <v>25.277777777777779</v>
      </c>
      <c r="C8" s="27">
        <v>25.277777777777779</v>
      </c>
      <c r="D8" s="27">
        <v>25.277777777777779</v>
      </c>
      <c r="E8" s="27">
        <v>25.277777777777779</v>
      </c>
      <c r="F8" s="27">
        <v>25.277777777777779</v>
      </c>
      <c r="G8" s="27">
        <v>25.277777777777779</v>
      </c>
      <c r="H8" s="27">
        <v>25.277777777777779</v>
      </c>
      <c r="I8" s="27">
        <v>25.277777777777779</v>
      </c>
      <c r="J8" s="27">
        <v>25.277777777777779</v>
      </c>
      <c r="K8" s="27">
        <v>25.277777777777779</v>
      </c>
      <c r="L8" s="27">
        <v>25.277777777777779</v>
      </c>
      <c r="M8" s="27">
        <v>25.277777777777779</v>
      </c>
      <c r="N8" s="27">
        <v>25.277777777777779</v>
      </c>
      <c r="O8" s="27">
        <v>25.277777777777779</v>
      </c>
      <c r="P8" s="27">
        <v>25.277777777777779</v>
      </c>
      <c r="Q8" s="27">
        <v>25.277777777777779</v>
      </c>
      <c r="R8" s="27">
        <v>25.277777777777779</v>
      </c>
      <c r="S8" s="27">
        <v>25.277777777777779</v>
      </c>
      <c r="T8" s="27">
        <v>25.277777777777779</v>
      </c>
      <c r="U8" s="27">
        <v>25.277777777777779</v>
      </c>
      <c r="V8" s="27">
        <v>25.277777777777779</v>
      </c>
      <c r="W8" s="27">
        <v>25.277777777777779</v>
      </c>
      <c r="X8" s="27">
        <v>25.277777777777779</v>
      </c>
      <c r="Y8" s="27">
        <v>25.277777777777779</v>
      </c>
      <c r="Z8" s="27">
        <v>25.277777777777779</v>
      </c>
      <c r="AA8" s="27">
        <v>25.277777777777779</v>
      </c>
      <c r="AB8" s="27">
        <v>25.277777777777779</v>
      </c>
      <c r="AC8" s="27">
        <v>25.277777777777779</v>
      </c>
      <c r="AD8" s="27">
        <v>25.277777777777779</v>
      </c>
      <c r="AE8" s="27">
        <v>25.277777777777779</v>
      </c>
      <c r="AF8" s="27">
        <v>25.277777777777779</v>
      </c>
      <c r="AG8" s="27">
        <v>25.277777777777779</v>
      </c>
      <c r="AH8" s="27">
        <v>25.277777777777779</v>
      </c>
      <c r="AI8" s="27">
        <v>25.277777777777779</v>
      </c>
      <c r="AJ8" s="27">
        <v>25.277777777777779</v>
      </c>
      <c r="AK8" s="27">
        <v>25.277777777777779</v>
      </c>
      <c r="AL8" s="27">
        <v>25.277777777777779</v>
      </c>
      <c r="AM8" s="27">
        <v>25.277777777777779</v>
      </c>
      <c r="AN8" s="27">
        <v>25.277777777777779</v>
      </c>
      <c r="AO8" s="27">
        <v>25.277777777777779</v>
      </c>
      <c r="AP8" s="27">
        <v>25.277777777777779</v>
      </c>
      <c r="AQ8" s="27">
        <v>25.277777777777779</v>
      </c>
      <c r="AR8" s="27">
        <v>25.277777777777779</v>
      </c>
      <c r="AS8" s="27">
        <v>25.277777777777779</v>
      </c>
      <c r="AT8" s="27">
        <v>25.277777777777779</v>
      </c>
      <c r="AU8" s="27">
        <v>25.277777777777779</v>
      </c>
      <c r="AV8" s="27">
        <v>25.277777777777779</v>
      </c>
      <c r="AW8" s="27">
        <v>25.277777777777779</v>
      </c>
      <c r="AX8" s="27">
        <v>25.277777777777779</v>
      </c>
      <c r="AY8" s="27">
        <v>25.277777777777779</v>
      </c>
      <c r="AZ8" s="27">
        <v>25.277777777777779</v>
      </c>
      <c r="BA8" s="27">
        <v>25.277777777777779</v>
      </c>
      <c r="BB8" s="27">
        <v>25.277777777777779</v>
      </c>
      <c r="BC8" s="27">
        <v>25.277777777777779</v>
      </c>
      <c r="BD8" s="27">
        <v>25.277777777777779</v>
      </c>
      <c r="BE8" s="27">
        <v>25.277777777777779</v>
      </c>
      <c r="BF8" s="27">
        <v>25.277777777777779</v>
      </c>
      <c r="BG8" s="27">
        <v>25.277777777777779</v>
      </c>
      <c r="BH8" s="27">
        <v>25.277777777777779</v>
      </c>
    </row>
    <row r="9" spans="1:60" ht="21" hidden="1" customHeight="1" outlineLevel="1" x14ac:dyDescent="0.25">
      <c r="A9" s="26" t="s">
        <v>67</v>
      </c>
      <c r="B9" s="27">
        <v>58.333333333333336</v>
      </c>
      <c r="C9" s="27">
        <v>58.333333333333336</v>
      </c>
      <c r="D9" s="27">
        <v>58.333333333333336</v>
      </c>
      <c r="E9" s="27">
        <v>58.333333333333336</v>
      </c>
      <c r="F9" s="27">
        <v>58.333333333333336</v>
      </c>
      <c r="G9" s="27">
        <v>58.333333333333336</v>
      </c>
      <c r="H9" s="27">
        <v>58.333333333333336</v>
      </c>
      <c r="I9" s="27">
        <v>58.333333333333336</v>
      </c>
      <c r="J9" s="27">
        <v>58.333333333333336</v>
      </c>
      <c r="K9" s="27">
        <v>58.333333333333336</v>
      </c>
      <c r="L9" s="27">
        <v>58.333333333333336</v>
      </c>
      <c r="M9" s="27">
        <v>58.333333333333336</v>
      </c>
      <c r="N9" s="27">
        <v>58.333333333333336</v>
      </c>
      <c r="O9" s="27">
        <v>58.333333333333336</v>
      </c>
      <c r="P9" s="27">
        <v>58.333333333333336</v>
      </c>
      <c r="Q9" s="27">
        <v>58.333333333333336</v>
      </c>
      <c r="R9" s="27">
        <v>58.333333333333336</v>
      </c>
      <c r="S9" s="27">
        <v>58.333333333333336</v>
      </c>
      <c r="T9" s="27">
        <v>58.333333333333336</v>
      </c>
      <c r="U9" s="27">
        <v>58.333333333333336</v>
      </c>
      <c r="V9" s="27">
        <v>58.333333333333336</v>
      </c>
      <c r="W9" s="27">
        <v>58.333333333333336</v>
      </c>
      <c r="X9" s="27">
        <v>58.333333333333336</v>
      </c>
      <c r="Y9" s="27">
        <v>58.333333333333336</v>
      </c>
      <c r="Z9" s="27">
        <v>58.333333333333336</v>
      </c>
      <c r="AA9" s="27">
        <v>58.333333333333336</v>
      </c>
      <c r="AB9" s="27">
        <v>58.333333333333336</v>
      </c>
      <c r="AC9" s="27">
        <v>58.333333333333336</v>
      </c>
      <c r="AD9" s="27">
        <v>58.333333333333336</v>
      </c>
      <c r="AE9" s="27">
        <v>58.333333333333336</v>
      </c>
      <c r="AF9" s="27">
        <v>58.333333333333336</v>
      </c>
      <c r="AG9" s="27">
        <v>58.333333333333336</v>
      </c>
      <c r="AH9" s="27">
        <v>58.333333333333336</v>
      </c>
      <c r="AI9" s="27">
        <v>58.333333333333336</v>
      </c>
      <c r="AJ9" s="27">
        <v>58.333333333333336</v>
      </c>
      <c r="AK9" s="27">
        <v>58.333333333333336</v>
      </c>
      <c r="AL9" s="27">
        <v>58.333333333333336</v>
      </c>
      <c r="AM9" s="27">
        <v>58.333333333333336</v>
      </c>
      <c r="AN9" s="27">
        <v>58.333333333333336</v>
      </c>
      <c r="AO9" s="27">
        <v>58.333333333333336</v>
      </c>
      <c r="AP9" s="27">
        <v>58.333333333333336</v>
      </c>
      <c r="AQ9" s="27">
        <v>58.333333333333336</v>
      </c>
      <c r="AR9" s="27">
        <v>58.333333333333336</v>
      </c>
      <c r="AS9" s="27">
        <v>58.333333333333336</v>
      </c>
      <c r="AT9" s="27">
        <v>58.333333333333336</v>
      </c>
      <c r="AU9" s="27">
        <v>58.333333333333336</v>
      </c>
      <c r="AV9" s="27">
        <v>58.333333333333336</v>
      </c>
      <c r="AW9" s="27">
        <v>58.333333333333336</v>
      </c>
      <c r="AX9" s="27">
        <v>58.333333333333336</v>
      </c>
      <c r="AY9" s="27">
        <v>58.333333333333336</v>
      </c>
      <c r="AZ9" s="27">
        <v>58.333333333333336</v>
      </c>
      <c r="BA9" s="27">
        <v>58.333333333333336</v>
      </c>
      <c r="BB9" s="27">
        <v>58.333333333333336</v>
      </c>
      <c r="BC9" s="27">
        <v>58.333333333333336</v>
      </c>
      <c r="BD9" s="27">
        <v>58.333333333333336</v>
      </c>
      <c r="BE9" s="27">
        <v>58.333333333333336</v>
      </c>
      <c r="BF9" s="27">
        <v>58.333333333333336</v>
      </c>
      <c r="BG9" s="27">
        <v>58.333333333333336</v>
      </c>
      <c r="BH9" s="27">
        <v>58.333333333333336</v>
      </c>
    </row>
    <row r="10" spans="1:60" ht="21" hidden="1" customHeight="1" outlineLevel="1" x14ac:dyDescent="0.25">
      <c r="A10" s="26" t="s">
        <v>68</v>
      </c>
      <c r="B10" s="27">
        <v>54.44444444444445</v>
      </c>
      <c r="C10" s="27">
        <v>54.44444444444445</v>
      </c>
      <c r="D10" s="27">
        <v>54.44444444444445</v>
      </c>
      <c r="E10" s="27">
        <v>54.44444444444445</v>
      </c>
      <c r="F10" s="27">
        <v>54.44444444444445</v>
      </c>
      <c r="G10" s="27">
        <v>54.44444444444445</v>
      </c>
      <c r="H10" s="27">
        <v>54.44444444444445</v>
      </c>
      <c r="I10" s="27">
        <v>54.44444444444445</v>
      </c>
      <c r="J10" s="27">
        <v>54.44444444444445</v>
      </c>
      <c r="K10" s="27">
        <v>54.44444444444445</v>
      </c>
      <c r="L10" s="27">
        <v>54.44444444444445</v>
      </c>
      <c r="M10" s="27">
        <v>54.44444444444445</v>
      </c>
      <c r="N10" s="27">
        <v>54.44444444444445</v>
      </c>
      <c r="O10" s="27">
        <v>54.44444444444445</v>
      </c>
      <c r="P10" s="27">
        <v>54.44444444444445</v>
      </c>
      <c r="Q10" s="27">
        <v>54.44444444444445</v>
      </c>
      <c r="R10" s="27">
        <v>54.44444444444445</v>
      </c>
      <c r="S10" s="27">
        <v>54.44444444444445</v>
      </c>
      <c r="T10" s="27">
        <v>54.44444444444445</v>
      </c>
      <c r="U10" s="27">
        <v>54.44444444444445</v>
      </c>
      <c r="V10" s="27">
        <v>54.44444444444445</v>
      </c>
      <c r="W10" s="27">
        <v>54.44444444444445</v>
      </c>
      <c r="X10" s="27">
        <v>54.44444444444445</v>
      </c>
      <c r="Y10" s="27">
        <v>54.44444444444445</v>
      </c>
      <c r="Z10" s="27">
        <v>54.44444444444445</v>
      </c>
      <c r="AA10" s="27">
        <v>54.44444444444445</v>
      </c>
      <c r="AB10" s="27">
        <v>54.44444444444445</v>
      </c>
      <c r="AC10" s="27">
        <v>54.44444444444445</v>
      </c>
      <c r="AD10" s="27">
        <v>54.44444444444445</v>
      </c>
      <c r="AE10" s="27">
        <v>54.44444444444445</v>
      </c>
      <c r="AF10" s="27">
        <v>54.44444444444445</v>
      </c>
      <c r="AG10" s="27">
        <v>54.44444444444445</v>
      </c>
      <c r="AH10" s="27">
        <v>54.44444444444445</v>
      </c>
      <c r="AI10" s="27">
        <v>54.44444444444445</v>
      </c>
      <c r="AJ10" s="27">
        <v>54.44444444444445</v>
      </c>
      <c r="AK10" s="27">
        <v>54.44444444444445</v>
      </c>
      <c r="AL10" s="27">
        <v>54.44444444444445</v>
      </c>
      <c r="AM10" s="27">
        <v>54.44444444444445</v>
      </c>
      <c r="AN10" s="27">
        <v>54.44444444444445</v>
      </c>
      <c r="AO10" s="27">
        <v>54.44444444444445</v>
      </c>
      <c r="AP10" s="27">
        <v>54.44444444444445</v>
      </c>
      <c r="AQ10" s="27">
        <v>54.44444444444445</v>
      </c>
      <c r="AR10" s="27">
        <v>54.44444444444445</v>
      </c>
      <c r="AS10" s="27">
        <v>54.44444444444445</v>
      </c>
      <c r="AT10" s="27">
        <v>54.44444444444445</v>
      </c>
      <c r="AU10" s="27">
        <v>54.44444444444445</v>
      </c>
      <c r="AV10" s="27">
        <v>54.44444444444445</v>
      </c>
      <c r="AW10" s="27">
        <v>54.44444444444445</v>
      </c>
      <c r="AX10" s="27">
        <v>54.44444444444445</v>
      </c>
      <c r="AY10" s="27">
        <v>54.44444444444445</v>
      </c>
      <c r="AZ10" s="27">
        <v>54.44444444444445</v>
      </c>
      <c r="BA10" s="27">
        <v>54.44444444444445</v>
      </c>
      <c r="BB10" s="27">
        <v>54.44444444444445</v>
      </c>
      <c r="BC10" s="27">
        <v>54.44444444444445</v>
      </c>
      <c r="BD10" s="27">
        <v>54.44444444444445</v>
      </c>
      <c r="BE10" s="27">
        <v>54.44444444444445</v>
      </c>
      <c r="BF10" s="27">
        <v>54.44444444444445</v>
      </c>
      <c r="BG10" s="27">
        <v>54.44444444444445</v>
      </c>
      <c r="BH10" s="27">
        <v>54.44444444444445</v>
      </c>
    </row>
    <row r="11" spans="1:60" ht="21" hidden="1" customHeight="1" outlineLevel="1" x14ac:dyDescent="0.25">
      <c r="A11" s="26" t="s">
        <v>69</v>
      </c>
      <c r="B11" s="27">
        <v>38.888888888888893</v>
      </c>
      <c r="C11" s="27">
        <v>38.888888888888893</v>
      </c>
      <c r="D11" s="27">
        <v>38.888888888888893</v>
      </c>
      <c r="E11" s="27">
        <v>38.888888888888893</v>
      </c>
      <c r="F11" s="27">
        <v>38.888888888888893</v>
      </c>
      <c r="G11" s="27">
        <v>38.888888888888893</v>
      </c>
      <c r="H11" s="27">
        <v>38.888888888888893</v>
      </c>
      <c r="I11" s="27">
        <v>38.888888888888893</v>
      </c>
      <c r="J11" s="27">
        <v>38.888888888888893</v>
      </c>
      <c r="K11" s="27">
        <v>38.888888888888893</v>
      </c>
      <c r="L11" s="27">
        <v>38.888888888888893</v>
      </c>
      <c r="M11" s="27">
        <v>38.888888888888893</v>
      </c>
      <c r="N11" s="27">
        <v>38.888888888888893</v>
      </c>
      <c r="O11" s="27">
        <v>38.888888888888893</v>
      </c>
      <c r="P11" s="27">
        <v>38.888888888888893</v>
      </c>
      <c r="Q11" s="27">
        <v>38.888888888888893</v>
      </c>
      <c r="R11" s="27">
        <v>38.888888888888893</v>
      </c>
      <c r="S11" s="27">
        <v>38.888888888888893</v>
      </c>
      <c r="T11" s="27">
        <v>38.888888888888893</v>
      </c>
      <c r="U11" s="27">
        <v>38.888888888888893</v>
      </c>
      <c r="V11" s="27">
        <v>38.888888888888893</v>
      </c>
      <c r="W11" s="27">
        <v>38.888888888888893</v>
      </c>
      <c r="X11" s="27">
        <v>38.888888888888893</v>
      </c>
      <c r="Y11" s="27">
        <v>38.888888888888893</v>
      </c>
      <c r="Z11" s="27">
        <v>38.888888888888893</v>
      </c>
      <c r="AA11" s="27">
        <v>38.888888888888893</v>
      </c>
      <c r="AB11" s="27">
        <v>38.888888888888893</v>
      </c>
      <c r="AC11" s="27">
        <v>38.888888888888893</v>
      </c>
      <c r="AD11" s="27">
        <v>38.888888888888893</v>
      </c>
      <c r="AE11" s="27">
        <v>38.888888888888893</v>
      </c>
      <c r="AF11" s="27">
        <v>38.888888888888893</v>
      </c>
      <c r="AG11" s="27">
        <v>38.888888888888893</v>
      </c>
      <c r="AH11" s="27">
        <v>38.888888888888893</v>
      </c>
      <c r="AI11" s="27">
        <v>38.888888888888893</v>
      </c>
      <c r="AJ11" s="27">
        <v>38.888888888888893</v>
      </c>
      <c r="AK11" s="27">
        <v>38.888888888888893</v>
      </c>
      <c r="AL11" s="27">
        <v>38.888888888888893</v>
      </c>
      <c r="AM11" s="27">
        <v>38.888888888888893</v>
      </c>
      <c r="AN11" s="27">
        <v>38.888888888888893</v>
      </c>
      <c r="AO11" s="27">
        <v>38.888888888888893</v>
      </c>
      <c r="AP11" s="27">
        <v>38.888888888888893</v>
      </c>
      <c r="AQ11" s="27">
        <v>38.888888888888893</v>
      </c>
      <c r="AR11" s="27">
        <v>38.888888888888893</v>
      </c>
      <c r="AS11" s="27">
        <v>38.888888888888893</v>
      </c>
      <c r="AT11" s="27">
        <v>38.888888888888893</v>
      </c>
      <c r="AU11" s="27">
        <v>38.888888888888893</v>
      </c>
      <c r="AV11" s="27">
        <v>38.888888888888893</v>
      </c>
      <c r="AW11" s="27">
        <v>38.888888888888893</v>
      </c>
      <c r="AX11" s="27">
        <v>38.888888888888893</v>
      </c>
      <c r="AY11" s="27">
        <v>38.888888888888893</v>
      </c>
      <c r="AZ11" s="27">
        <v>38.888888888888893</v>
      </c>
      <c r="BA11" s="27">
        <v>38.888888888888893</v>
      </c>
      <c r="BB11" s="27">
        <v>38.888888888888893</v>
      </c>
      <c r="BC11" s="27">
        <v>38.888888888888893</v>
      </c>
      <c r="BD11" s="27">
        <v>38.888888888888893</v>
      </c>
      <c r="BE11" s="27">
        <v>38.888888888888893</v>
      </c>
      <c r="BF11" s="27">
        <v>38.888888888888893</v>
      </c>
      <c r="BG11" s="27">
        <v>38.888888888888893</v>
      </c>
      <c r="BH11" s="27">
        <v>38.888888888888893</v>
      </c>
    </row>
    <row r="12" spans="1:60" ht="21" hidden="1" customHeight="1" outlineLevel="1" x14ac:dyDescent="0.25">
      <c r="A12" s="26" t="s">
        <v>70</v>
      </c>
      <c r="B12" s="27">
        <v>233.33333333333334</v>
      </c>
      <c r="C12" s="27">
        <v>233.33333333333334</v>
      </c>
      <c r="D12" s="27">
        <v>233.33333333333334</v>
      </c>
      <c r="E12" s="27">
        <v>233.33333333333334</v>
      </c>
      <c r="F12" s="27">
        <v>233.33333333333334</v>
      </c>
      <c r="G12" s="27">
        <v>233.33333333333334</v>
      </c>
      <c r="H12" s="27">
        <v>233.33333333333334</v>
      </c>
      <c r="I12" s="27">
        <v>233.33333333333334</v>
      </c>
      <c r="J12" s="27">
        <v>233.33333333333334</v>
      </c>
      <c r="K12" s="27">
        <v>233.33333333333334</v>
      </c>
      <c r="L12" s="27">
        <v>233.33333333333334</v>
      </c>
      <c r="M12" s="27">
        <v>233.33333333333334</v>
      </c>
      <c r="N12" s="27">
        <v>233.33333333333334</v>
      </c>
      <c r="O12" s="27">
        <v>233.33333333333334</v>
      </c>
      <c r="P12" s="27">
        <v>233.33333333333334</v>
      </c>
      <c r="Q12" s="27">
        <v>233.33333333333334</v>
      </c>
      <c r="R12" s="27">
        <v>233.33333333333334</v>
      </c>
      <c r="S12" s="27">
        <v>233.33333333333334</v>
      </c>
      <c r="T12" s="27">
        <v>233.33333333333334</v>
      </c>
      <c r="U12" s="27">
        <v>233.33333333333334</v>
      </c>
      <c r="V12" s="27">
        <v>233.33333333333334</v>
      </c>
      <c r="W12" s="27">
        <v>233.33333333333334</v>
      </c>
      <c r="X12" s="27">
        <v>233.33333333333334</v>
      </c>
      <c r="Y12" s="27">
        <v>233.33333333333334</v>
      </c>
      <c r="Z12" s="27">
        <v>233.33333333333334</v>
      </c>
      <c r="AA12" s="27">
        <v>233.33333333333334</v>
      </c>
      <c r="AB12" s="27">
        <v>233.33333333333334</v>
      </c>
      <c r="AC12" s="27">
        <v>233.33333333333334</v>
      </c>
      <c r="AD12" s="27">
        <v>233.33333333333334</v>
      </c>
      <c r="AE12" s="27">
        <v>233.33333333333334</v>
      </c>
      <c r="AF12" s="27">
        <v>233.33333333333334</v>
      </c>
      <c r="AG12" s="27">
        <v>233.33333333333334</v>
      </c>
      <c r="AH12" s="27">
        <v>233.33333333333334</v>
      </c>
      <c r="AI12" s="27">
        <v>233.33333333333334</v>
      </c>
      <c r="AJ12" s="27">
        <v>233.33333333333334</v>
      </c>
      <c r="AK12" s="27">
        <v>233.33333333333334</v>
      </c>
      <c r="AL12" s="27">
        <v>233.33333333333334</v>
      </c>
      <c r="AM12" s="27">
        <v>233.33333333333334</v>
      </c>
      <c r="AN12" s="27">
        <v>233.33333333333334</v>
      </c>
      <c r="AO12" s="27">
        <v>233.33333333333334</v>
      </c>
      <c r="AP12" s="27">
        <v>233.33333333333334</v>
      </c>
      <c r="AQ12" s="27">
        <v>233.33333333333334</v>
      </c>
      <c r="AR12" s="27">
        <v>233.33333333333334</v>
      </c>
      <c r="AS12" s="27">
        <v>233.33333333333334</v>
      </c>
      <c r="AT12" s="27">
        <v>233.33333333333334</v>
      </c>
      <c r="AU12" s="27">
        <v>233.33333333333334</v>
      </c>
      <c r="AV12" s="27">
        <v>233.33333333333334</v>
      </c>
      <c r="AW12" s="27">
        <v>233.33333333333334</v>
      </c>
      <c r="AX12" s="27">
        <v>233.33333333333334</v>
      </c>
      <c r="AY12" s="27">
        <v>233.33333333333334</v>
      </c>
      <c r="AZ12" s="27">
        <v>233.33333333333334</v>
      </c>
      <c r="BA12" s="27">
        <v>233.33333333333334</v>
      </c>
      <c r="BB12" s="27">
        <v>233.33333333333334</v>
      </c>
      <c r="BC12" s="27">
        <v>233.33333333333334</v>
      </c>
      <c r="BD12" s="27">
        <v>233.33333333333334</v>
      </c>
      <c r="BE12" s="27">
        <v>233.33333333333334</v>
      </c>
      <c r="BF12" s="27">
        <v>233.33333333333334</v>
      </c>
      <c r="BG12" s="27">
        <v>233.33333333333334</v>
      </c>
      <c r="BH12" s="27">
        <v>233.33333333333334</v>
      </c>
    </row>
    <row r="13" spans="1:60" ht="21" hidden="1" customHeight="1" outlineLevel="1" x14ac:dyDescent="0.25">
      <c r="A13" s="26" t="s">
        <v>71</v>
      </c>
      <c r="B13" s="27">
        <v>245.51558888888891</v>
      </c>
      <c r="C13" s="27">
        <v>245.51558888888891</v>
      </c>
      <c r="D13" s="27">
        <v>245.51558888888891</v>
      </c>
      <c r="E13" s="27">
        <v>245.51558888888891</v>
      </c>
      <c r="F13" s="27">
        <v>245.51558888888891</v>
      </c>
      <c r="G13" s="27">
        <v>245.51558888888891</v>
      </c>
      <c r="H13" s="27">
        <v>245.51558888888891</v>
      </c>
      <c r="I13" s="27">
        <v>245.51558888888891</v>
      </c>
      <c r="J13" s="27">
        <v>245.51558888888891</v>
      </c>
      <c r="K13" s="27">
        <v>245.51558888888891</v>
      </c>
      <c r="L13" s="27">
        <v>245.51558888888891</v>
      </c>
      <c r="M13" s="27">
        <v>245.51558888888891</v>
      </c>
      <c r="N13" s="27">
        <v>245.51558888888891</v>
      </c>
      <c r="O13" s="27">
        <v>245.51558888888891</v>
      </c>
      <c r="P13" s="27">
        <v>245.51558888888891</v>
      </c>
      <c r="Q13" s="27">
        <v>245.51558888888891</v>
      </c>
      <c r="R13" s="27">
        <v>245.51558888888891</v>
      </c>
      <c r="S13" s="27">
        <v>245.51558888888891</v>
      </c>
      <c r="T13" s="27">
        <v>245.51558888888891</v>
      </c>
      <c r="U13" s="27">
        <v>245.51558888888891</v>
      </c>
      <c r="V13" s="27">
        <v>245.51558888888891</v>
      </c>
      <c r="W13" s="27">
        <v>245.51558888888891</v>
      </c>
      <c r="X13" s="27">
        <v>245.51558888888891</v>
      </c>
      <c r="Y13" s="27">
        <v>245.51558888888891</v>
      </c>
      <c r="Z13" s="27">
        <v>245.51558888888891</v>
      </c>
      <c r="AA13" s="27">
        <v>245.51558888888891</v>
      </c>
      <c r="AB13" s="27">
        <v>245.51558888888891</v>
      </c>
      <c r="AC13" s="27">
        <v>245.51558888888891</v>
      </c>
      <c r="AD13" s="27">
        <v>245.51558888888891</v>
      </c>
      <c r="AE13" s="27">
        <v>245.51558888888891</v>
      </c>
      <c r="AF13" s="27">
        <v>245.51558888888891</v>
      </c>
      <c r="AG13" s="27">
        <v>245.51558888888891</v>
      </c>
      <c r="AH13" s="27">
        <v>245.51558888888891</v>
      </c>
      <c r="AI13" s="27">
        <v>245.51558888888891</v>
      </c>
      <c r="AJ13" s="27">
        <v>245.51558888888891</v>
      </c>
      <c r="AK13" s="27">
        <v>245.51558888888891</v>
      </c>
      <c r="AL13" s="27">
        <v>245.51558888888891</v>
      </c>
      <c r="AM13" s="27">
        <v>245.51558888888891</v>
      </c>
      <c r="AN13" s="27">
        <v>245.51558888888891</v>
      </c>
      <c r="AO13" s="27">
        <v>245.51558888888891</v>
      </c>
      <c r="AP13" s="27">
        <v>245.51558888888891</v>
      </c>
      <c r="AQ13" s="27">
        <v>245.51558888888891</v>
      </c>
      <c r="AR13" s="27">
        <v>245.51558888888891</v>
      </c>
      <c r="AS13" s="27">
        <v>245.51558888888891</v>
      </c>
      <c r="AT13" s="27">
        <v>245.51558888888891</v>
      </c>
      <c r="AU13" s="27">
        <v>245.51558888888891</v>
      </c>
      <c r="AV13" s="27">
        <v>245.51558888888891</v>
      </c>
      <c r="AW13" s="27">
        <v>245.51558888888891</v>
      </c>
      <c r="AX13" s="27">
        <v>245.51558888888891</v>
      </c>
      <c r="AY13" s="27">
        <v>245.51558888888891</v>
      </c>
      <c r="AZ13" s="27">
        <v>245.51558888888891</v>
      </c>
      <c r="BA13" s="27">
        <v>245.51558888888891</v>
      </c>
      <c r="BB13" s="27">
        <v>245.51558888888891</v>
      </c>
      <c r="BC13" s="27">
        <v>245.51558888888891</v>
      </c>
      <c r="BD13" s="27">
        <v>245.51558888888891</v>
      </c>
      <c r="BE13" s="27">
        <v>245.51558888888891</v>
      </c>
      <c r="BF13" s="27">
        <v>245.51558888888891</v>
      </c>
      <c r="BG13" s="27">
        <v>245.51558888888891</v>
      </c>
      <c r="BH13" s="27">
        <v>245.51558888888891</v>
      </c>
    </row>
    <row r="14" spans="1:60" ht="21" hidden="1" customHeight="1" outlineLevel="1" x14ac:dyDescent="0.25">
      <c r="A14" s="26" t="s">
        <v>72</v>
      </c>
      <c r="B14" s="27">
        <v>116.66666666666667</v>
      </c>
      <c r="C14" s="27">
        <v>116.66666666666667</v>
      </c>
      <c r="D14" s="27">
        <v>116.66666666666667</v>
      </c>
      <c r="E14" s="27">
        <v>116.66666666666667</v>
      </c>
      <c r="F14" s="27">
        <v>116.66666666666667</v>
      </c>
      <c r="G14" s="27">
        <v>116.66666666666667</v>
      </c>
      <c r="H14" s="27">
        <v>116.66666666666667</v>
      </c>
      <c r="I14" s="27">
        <v>116.66666666666667</v>
      </c>
      <c r="J14" s="27">
        <v>116.66666666666667</v>
      </c>
      <c r="K14" s="27">
        <v>116.66666666666667</v>
      </c>
      <c r="L14" s="27">
        <v>116.66666666666667</v>
      </c>
      <c r="M14" s="27">
        <v>116.66666666666667</v>
      </c>
      <c r="N14" s="27">
        <v>116.66666666666667</v>
      </c>
      <c r="O14" s="27">
        <v>116.66666666666667</v>
      </c>
      <c r="P14" s="27">
        <v>116.66666666666667</v>
      </c>
      <c r="Q14" s="27">
        <v>116.66666666666667</v>
      </c>
      <c r="R14" s="27">
        <v>116.66666666666667</v>
      </c>
      <c r="S14" s="27">
        <v>116.66666666666667</v>
      </c>
      <c r="T14" s="27">
        <v>116.66666666666667</v>
      </c>
      <c r="U14" s="27">
        <v>116.66666666666667</v>
      </c>
      <c r="V14" s="27">
        <v>116.66666666666667</v>
      </c>
      <c r="W14" s="27">
        <v>116.66666666666667</v>
      </c>
      <c r="X14" s="27">
        <v>116.66666666666667</v>
      </c>
      <c r="Y14" s="27">
        <v>116.66666666666667</v>
      </c>
      <c r="Z14" s="27">
        <v>116.66666666666667</v>
      </c>
      <c r="AA14" s="27">
        <v>116.66666666666667</v>
      </c>
      <c r="AB14" s="27">
        <v>116.66666666666667</v>
      </c>
      <c r="AC14" s="27">
        <v>116.66666666666667</v>
      </c>
      <c r="AD14" s="27">
        <v>116.66666666666667</v>
      </c>
      <c r="AE14" s="27">
        <v>116.66666666666667</v>
      </c>
      <c r="AF14" s="27">
        <v>116.66666666666667</v>
      </c>
      <c r="AG14" s="27">
        <v>116.66666666666667</v>
      </c>
      <c r="AH14" s="27">
        <v>116.66666666666667</v>
      </c>
      <c r="AI14" s="27">
        <v>116.66666666666667</v>
      </c>
      <c r="AJ14" s="27">
        <v>116.66666666666667</v>
      </c>
      <c r="AK14" s="27">
        <v>116.66666666666667</v>
      </c>
      <c r="AL14" s="27">
        <v>116.66666666666667</v>
      </c>
      <c r="AM14" s="27">
        <v>116.66666666666667</v>
      </c>
      <c r="AN14" s="27">
        <v>116.66666666666667</v>
      </c>
      <c r="AO14" s="27">
        <v>116.66666666666667</v>
      </c>
      <c r="AP14" s="27">
        <v>116.66666666666667</v>
      </c>
      <c r="AQ14" s="27">
        <v>116.66666666666667</v>
      </c>
      <c r="AR14" s="27">
        <v>116.66666666666667</v>
      </c>
      <c r="AS14" s="27">
        <v>116.66666666666667</v>
      </c>
      <c r="AT14" s="27">
        <v>116.66666666666667</v>
      </c>
      <c r="AU14" s="27">
        <v>116.66666666666667</v>
      </c>
      <c r="AV14" s="27">
        <v>116.66666666666667</v>
      </c>
      <c r="AW14" s="27">
        <v>116.66666666666667</v>
      </c>
      <c r="AX14" s="27">
        <v>116.66666666666667</v>
      </c>
      <c r="AY14" s="27">
        <v>116.66666666666667</v>
      </c>
      <c r="AZ14" s="27">
        <v>116.66666666666667</v>
      </c>
      <c r="BA14" s="27">
        <v>116.66666666666667</v>
      </c>
      <c r="BB14" s="27">
        <v>116.66666666666667</v>
      </c>
      <c r="BC14" s="27">
        <v>116.66666666666667</v>
      </c>
      <c r="BD14" s="27">
        <v>116.66666666666667</v>
      </c>
      <c r="BE14" s="27">
        <v>116.66666666666667</v>
      </c>
      <c r="BF14" s="27">
        <v>116.66666666666667</v>
      </c>
      <c r="BG14" s="27">
        <v>116.66666666666667</v>
      </c>
      <c r="BH14" s="27">
        <v>116.66666666666667</v>
      </c>
    </row>
    <row r="15" spans="1:60" ht="21" hidden="1" customHeight="1" outlineLevel="1" x14ac:dyDescent="0.25">
      <c r="A15" s="26" t="s">
        <v>73</v>
      </c>
      <c r="B15" s="27">
        <v>161.67852944444445</v>
      </c>
      <c r="C15" s="27">
        <v>161.67852944444445</v>
      </c>
      <c r="D15" s="27">
        <v>161.67852944444445</v>
      </c>
      <c r="E15" s="27">
        <v>161.67852944444445</v>
      </c>
      <c r="F15" s="27">
        <v>161.67852944444445</v>
      </c>
      <c r="G15" s="27">
        <v>161.67852944444445</v>
      </c>
      <c r="H15" s="27">
        <v>161.67852944444445</v>
      </c>
      <c r="I15" s="27">
        <v>161.67852944444445</v>
      </c>
      <c r="J15" s="27">
        <v>161.67852944444445</v>
      </c>
      <c r="K15" s="27">
        <v>161.67852944444445</v>
      </c>
      <c r="L15" s="27">
        <v>161.67852944444445</v>
      </c>
      <c r="M15" s="27">
        <v>161.67852944444445</v>
      </c>
      <c r="N15" s="27">
        <v>161.67852944444445</v>
      </c>
      <c r="O15" s="27">
        <v>161.67852944444445</v>
      </c>
      <c r="P15" s="27">
        <v>161.67852944444445</v>
      </c>
      <c r="Q15" s="27">
        <v>161.67852944444445</v>
      </c>
      <c r="R15" s="27">
        <v>161.67852944444445</v>
      </c>
      <c r="S15" s="27">
        <v>161.67852944444445</v>
      </c>
      <c r="T15" s="27">
        <v>161.67852944444445</v>
      </c>
      <c r="U15" s="27">
        <v>161.67852944444445</v>
      </c>
      <c r="V15" s="27">
        <v>161.67852944444445</v>
      </c>
      <c r="W15" s="27">
        <v>161.67852944444445</v>
      </c>
      <c r="X15" s="27">
        <v>161.67852944444445</v>
      </c>
      <c r="Y15" s="27">
        <v>161.67852944444445</v>
      </c>
      <c r="Z15" s="27">
        <v>161.67852944444445</v>
      </c>
      <c r="AA15" s="27">
        <v>161.67852944444445</v>
      </c>
      <c r="AB15" s="27">
        <v>161.67852944444445</v>
      </c>
      <c r="AC15" s="27">
        <v>161.67852944444445</v>
      </c>
      <c r="AD15" s="27">
        <v>161.67852944444445</v>
      </c>
      <c r="AE15" s="27">
        <v>161.67852944444445</v>
      </c>
      <c r="AF15" s="27">
        <v>161.67852944444445</v>
      </c>
      <c r="AG15" s="27">
        <v>161.67852944444445</v>
      </c>
      <c r="AH15" s="27">
        <v>161.67852944444445</v>
      </c>
      <c r="AI15" s="27">
        <v>161.67852944444445</v>
      </c>
      <c r="AJ15" s="27">
        <v>161.67852944444445</v>
      </c>
      <c r="AK15" s="27">
        <v>161.67852944444445</v>
      </c>
      <c r="AL15" s="27">
        <v>161.67852944444445</v>
      </c>
      <c r="AM15" s="27">
        <v>161.67852944444445</v>
      </c>
      <c r="AN15" s="27">
        <v>161.67852944444445</v>
      </c>
      <c r="AO15" s="27">
        <v>161.67852944444445</v>
      </c>
      <c r="AP15" s="27">
        <v>161.67852944444445</v>
      </c>
      <c r="AQ15" s="27">
        <v>161.67852944444445</v>
      </c>
      <c r="AR15" s="27">
        <v>161.67852944444445</v>
      </c>
      <c r="AS15" s="27">
        <v>161.67852944444445</v>
      </c>
      <c r="AT15" s="27">
        <v>161.67852944444445</v>
      </c>
      <c r="AU15" s="27">
        <v>161.67852944444445</v>
      </c>
      <c r="AV15" s="27">
        <v>161.67852944444445</v>
      </c>
      <c r="AW15" s="27">
        <v>161.67852944444445</v>
      </c>
      <c r="AX15" s="27">
        <v>161.67852944444445</v>
      </c>
      <c r="AY15" s="27">
        <v>161.67852944444445</v>
      </c>
      <c r="AZ15" s="27">
        <v>161.67852944444445</v>
      </c>
      <c r="BA15" s="27">
        <v>161.67852944444445</v>
      </c>
      <c r="BB15" s="27">
        <v>161.67852944444445</v>
      </c>
      <c r="BC15" s="27">
        <v>161.67852944444445</v>
      </c>
      <c r="BD15" s="27">
        <v>161.67852944444445</v>
      </c>
      <c r="BE15" s="27">
        <v>161.67852944444445</v>
      </c>
      <c r="BF15" s="27">
        <v>161.67852944444445</v>
      </c>
      <c r="BG15" s="27">
        <v>161.67852944444445</v>
      </c>
      <c r="BH15" s="27">
        <v>161.67852944444445</v>
      </c>
    </row>
    <row r="16" spans="1:60" ht="21" hidden="1" customHeight="1" outlineLevel="1" x14ac:dyDescent="0.25">
      <c r="A16" s="26" t="s">
        <v>74</v>
      </c>
      <c r="B16" s="27">
        <v>41.809257777777781</v>
      </c>
      <c r="C16" s="27">
        <v>41.809257777777781</v>
      </c>
      <c r="D16" s="27">
        <v>41.809257777777781</v>
      </c>
      <c r="E16" s="27">
        <v>41.809257777777781</v>
      </c>
      <c r="F16" s="27">
        <v>41.809257777777781</v>
      </c>
      <c r="G16" s="27">
        <v>41.809257777777781</v>
      </c>
      <c r="H16" s="27">
        <v>41.809257777777781</v>
      </c>
      <c r="I16" s="27">
        <v>41.809257777777781</v>
      </c>
      <c r="J16" s="27">
        <v>41.809257777777781</v>
      </c>
      <c r="K16" s="27">
        <v>41.809257777777781</v>
      </c>
      <c r="L16" s="27">
        <v>41.809257777777781</v>
      </c>
      <c r="M16" s="27">
        <v>41.809257777777781</v>
      </c>
      <c r="N16" s="27">
        <v>41.809257777777781</v>
      </c>
      <c r="O16" s="27">
        <v>41.809257777777781</v>
      </c>
      <c r="P16" s="27">
        <v>41.809257777777781</v>
      </c>
      <c r="Q16" s="27">
        <v>41.809257777777781</v>
      </c>
      <c r="R16" s="27">
        <v>41.809257777777781</v>
      </c>
      <c r="S16" s="27">
        <v>41.809257777777781</v>
      </c>
      <c r="T16" s="27">
        <v>41.809257777777781</v>
      </c>
      <c r="U16" s="27">
        <v>41.809257777777781</v>
      </c>
      <c r="V16" s="27">
        <v>41.809257777777781</v>
      </c>
      <c r="W16" s="27">
        <v>41.809257777777781</v>
      </c>
      <c r="X16" s="27">
        <v>41.809257777777781</v>
      </c>
      <c r="Y16" s="27">
        <v>41.809257777777781</v>
      </c>
      <c r="Z16" s="27">
        <v>41.809257777777781</v>
      </c>
      <c r="AA16" s="27">
        <v>41.809257777777781</v>
      </c>
      <c r="AB16" s="27">
        <v>41.809257777777781</v>
      </c>
      <c r="AC16" s="27">
        <v>41.809257777777781</v>
      </c>
      <c r="AD16" s="27">
        <v>41.809257777777781</v>
      </c>
      <c r="AE16" s="27">
        <v>41.809257777777781</v>
      </c>
      <c r="AF16" s="27">
        <v>41.809257777777781</v>
      </c>
      <c r="AG16" s="27">
        <v>41.809257777777781</v>
      </c>
      <c r="AH16" s="27">
        <v>41.809257777777781</v>
      </c>
      <c r="AI16" s="27">
        <v>41.809257777777781</v>
      </c>
      <c r="AJ16" s="27">
        <v>41.809257777777781</v>
      </c>
      <c r="AK16" s="27">
        <v>41.809257777777781</v>
      </c>
      <c r="AL16" s="27">
        <v>41.809257777777781</v>
      </c>
      <c r="AM16" s="27">
        <v>41.809257777777781</v>
      </c>
      <c r="AN16" s="27">
        <v>41.809257777777781</v>
      </c>
      <c r="AO16" s="27">
        <v>41.809257777777781</v>
      </c>
      <c r="AP16" s="27">
        <v>41.809257777777781</v>
      </c>
      <c r="AQ16" s="27">
        <v>41.809257777777781</v>
      </c>
      <c r="AR16" s="27">
        <v>41.809257777777781</v>
      </c>
      <c r="AS16" s="27">
        <v>41.809257777777781</v>
      </c>
      <c r="AT16" s="27">
        <v>41.809257777777781</v>
      </c>
      <c r="AU16" s="27">
        <v>41.809257777777781</v>
      </c>
      <c r="AV16" s="27">
        <v>41.809257777777781</v>
      </c>
      <c r="AW16" s="27">
        <v>41.809257777777781</v>
      </c>
      <c r="AX16" s="27">
        <v>41.809257777777781</v>
      </c>
      <c r="AY16" s="27">
        <v>41.809257777777781</v>
      </c>
      <c r="AZ16" s="27">
        <v>41.809257777777781</v>
      </c>
      <c r="BA16" s="27">
        <v>41.809257777777781</v>
      </c>
      <c r="BB16" s="27">
        <v>41.809257777777781</v>
      </c>
      <c r="BC16" s="27">
        <v>41.809257777777781</v>
      </c>
      <c r="BD16" s="27">
        <v>41.809257777777781</v>
      </c>
      <c r="BE16" s="27">
        <v>41.809257777777781</v>
      </c>
      <c r="BF16" s="27">
        <v>41.809257777777781</v>
      </c>
      <c r="BG16" s="27">
        <v>41.809257777777781</v>
      </c>
      <c r="BH16" s="27">
        <v>41.809257777777781</v>
      </c>
    </row>
    <row r="17" spans="1:60" ht="21" hidden="1" customHeight="1" outlineLevel="1" x14ac:dyDescent="0.25">
      <c r="A17" s="26" t="s">
        <v>75</v>
      </c>
      <c r="B17" s="27">
        <v>196.6648327777778</v>
      </c>
      <c r="C17" s="27">
        <v>196.6648327777778</v>
      </c>
      <c r="D17" s="27">
        <v>196.6648327777778</v>
      </c>
      <c r="E17" s="27">
        <v>196.6648327777778</v>
      </c>
      <c r="F17" s="27">
        <v>196.6648327777778</v>
      </c>
      <c r="G17" s="27">
        <v>196.6648327777778</v>
      </c>
      <c r="H17" s="27">
        <v>196.6648327777778</v>
      </c>
      <c r="I17" s="27">
        <v>196.6648327777778</v>
      </c>
      <c r="J17" s="27">
        <v>196.6648327777778</v>
      </c>
      <c r="K17" s="27">
        <v>196.6648327777778</v>
      </c>
      <c r="L17" s="27">
        <v>196.6648327777778</v>
      </c>
      <c r="M17" s="27">
        <v>196.6648327777778</v>
      </c>
      <c r="N17" s="27">
        <v>196.6648327777778</v>
      </c>
      <c r="O17" s="27">
        <v>196.6648327777778</v>
      </c>
      <c r="P17" s="27">
        <v>196.6648327777778</v>
      </c>
      <c r="Q17" s="27">
        <v>196.6648327777778</v>
      </c>
      <c r="R17" s="27">
        <v>196.6648327777778</v>
      </c>
      <c r="S17" s="27">
        <v>196.6648327777778</v>
      </c>
      <c r="T17" s="27">
        <v>196.6648327777778</v>
      </c>
      <c r="U17" s="27">
        <v>196.6648327777778</v>
      </c>
      <c r="V17" s="27">
        <v>196.6648327777778</v>
      </c>
      <c r="W17" s="27">
        <v>196.6648327777778</v>
      </c>
      <c r="X17" s="27">
        <v>196.6648327777778</v>
      </c>
      <c r="Y17" s="27">
        <v>196.6648327777778</v>
      </c>
      <c r="Z17" s="27">
        <v>196.6648327777778</v>
      </c>
      <c r="AA17" s="27">
        <v>196.6648327777778</v>
      </c>
      <c r="AB17" s="27">
        <v>196.6648327777778</v>
      </c>
      <c r="AC17" s="27">
        <v>196.6648327777778</v>
      </c>
      <c r="AD17" s="27">
        <v>196.6648327777778</v>
      </c>
      <c r="AE17" s="27">
        <v>196.6648327777778</v>
      </c>
      <c r="AF17" s="27">
        <v>196.6648327777778</v>
      </c>
      <c r="AG17" s="27">
        <v>196.6648327777778</v>
      </c>
      <c r="AH17" s="27">
        <v>196.6648327777778</v>
      </c>
      <c r="AI17" s="27">
        <v>196.6648327777778</v>
      </c>
      <c r="AJ17" s="27">
        <v>196.6648327777778</v>
      </c>
      <c r="AK17" s="27">
        <v>196.6648327777778</v>
      </c>
      <c r="AL17" s="27">
        <v>196.6648327777778</v>
      </c>
      <c r="AM17" s="27">
        <v>196.6648327777778</v>
      </c>
      <c r="AN17" s="27">
        <v>196.6648327777778</v>
      </c>
      <c r="AO17" s="27">
        <v>196.6648327777778</v>
      </c>
      <c r="AP17" s="27">
        <v>196.6648327777778</v>
      </c>
      <c r="AQ17" s="27">
        <v>196.6648327777778</v>
      </c>
      <c r="AR17" s="27">
        <v>196.6648327777778</v>
      </c>
      <c r="AS17" s="27">
        <v>196.6648327777778</v>
      </c>
      <c r="AT17" s="27">
        <v>196.6648327777778</v>
      </c>
      <c r="AU17" s="27">
        <v>196.6648327777778</v>
      </c>
      <c r="AV17" s="27">
        <v>196.6648327777778</v>
      </c>
      <c r="AW17" s="27">
        <v>196.6648327777778</v>
      </c>
      <c r="AX17" s="27">
        <v>196.6648327777778</v>
      </c>
      <c r="AY17" s="27">
        <v>196.6648327777778</v>
      </c>
      <c r="AZ17" s="27">
        <v>196.6648327777778</v>
      </c>
      <c r="BA17" s="27">
        <v>196.6648327777778</v>
      </c>
      <c r="BB17" s="27">
        <v>196.6648327777778</v>
      </c>
      <c r="BC17" s="27">
        <v>196.6648327777778</v>
      </c>
      <c r="BD17" s="27">
        <v>196.6648327777778</v>
      </c>
      <c r="BE17" s="27">
        <v>196.6648327777778</v>
      </c>
      <c r="BF17" s="27">
        <v>196.6648327777778</v>
      </c>
      <c r="BG17" s="27">
        <v>196.6648327777778</v>
      </c>
      <c r="BH17" s="27">
        <v>196.6648327777778</v>
      </c>
    </row>
    <row r="18" spans="1:60" ht="21" hidden="1" customHeight="1" outlineLevel="1" x14ac:dyDescent="0.25">
      <c r="A18" s="26" t="s">
        <v>76</v>
      </c>
      <c r="B18" s="27">
        <v>20.222222222222225</v>
      </c>
      <c r="C18" s="27">
        <v>20.222222222222225</v>
      </c>
      <c r="D18" s="27">
        <v>20.222222222222225</v>
      </c>
      <c r="E18" s="27">
        <v>20.222222222222225</v>
      </c>
      <c r="F18" s="27">
        <v>20.222222222222225</v>
      </c>
      <c r="G18" s="27">
        <v>20.222222222222225</v>
      </c>
      <c r="H18" s="27">
        <v>20.222222222222225</v>
      </c>
      <c r="I18" s="27">
        <v>20.222222222222225</v>
      </c>
      <c r="J18" s="27">
        <v>20.222222222222225</v>
      </c>
      <c r="K18" s="27">
        <v>20.222222222222225</v>
      </c>
      <c r="L18" s="27">
        <v>20.222222222222225</v>
      </c>
      <c r="M18" s="27">
        <v>20.222222222222225</v>
      </c>
      <c r="N18" s="27">
        <v>20.222222222222225</v>
      </c>
      <c r="O18" s="27">
        <v>20.222222222222225</v>
      </c>
      <c r="P18" s="27">
        <v>20.222222222222225</v>
      </c>
      <c r="Q18" s="27">
        <v>20.222222222222225</v>
      </c>
      <c r="R18" s="27">
        <v>20.222222222222225</v>
      </c>
      <c r="S18" s="27">
        <v>20.222222222222225</v>
      </c>
      <c r="T18" s="27">
        <v>20.222222222222225</v>
      </c>
      <c r="U18" s="27">
        <v>20.222222222222225</v>
      </c>
      <c r="V18" s="27">
        <v>20.222222222222225</v>
      </c>
      <c r="W18" s="27">
        <v>20.222222222222225</v>
      </c>
      <c r="X18" s="27">
        <v>20.222222222222225</v>
      </c>
      <c r="Y18" s="27">
        <v>20.222222222222225</v>
      </c>
      <c r="Z18" s="27">
        <v>20.222222222222225</v>
      </c>
      <c r="AA18" s="27">
        <v>20.222222222222225</v>
      </c>
      <c r="AB18" s="27">
        <v>20.222222222222225</v>
      </c>
      <c r="AC18" s="27">
        <v>20.222222222222225</v>
      </c>
      <c r="AD18" s="27">
        <v>20.222222222222225</v>
      </c>
      <c r="AE18" s="27">
        <v>20.222222222222225</v>
      </c>
      <c r="AF18" s="27">
        <v>20.222222222222225</v>
      </c>
      <c r="AG18" s="27">
        <v>20.222222222222225</v>
      </c>
      <c r="AH18" s="27">
        <v>20.222222222222225</v>
      </c>
      <c r="AI18" s="27">
        <v>20.222222222222225</v>
      </c>
      <c r="AJ18" s="27">
        <v>20.222222222222225</v>
      </c>
      <c r="AK18" s="27">
        <v>20.222222222222225</v>
      </c>
      <c r="AL18" s="27">
        <v>20.222222222222225</v>
      </c>
      <c r="AM18" s="27">
        <v>20.222222222222225</v>
      </c>
      <c r="AN18" s="27">
        <v>20.222222222222225</v>
      </c>
      <c r="AO18" s="27">
        <v>20.222222222222225</v>
      </c>
      <c r="AP18" s="27">
        <v>20.222222222222225</v>
      </c>
      <c r="AQ18" s="27">
        <v>20.222222222222225</v>
      </c>
      <c r="AR18" s="27">
        <v>20.222222222222225</v>
      </c>
      <c r="AS18" s="27">
        <v>20.222222222222225</v>
      </c>
      <c r="AT18" s="27">
        <v>20.222222222222225</v>
      </c>
      <c r="AU18" s="27">
        <v>20.222222222222225</v>
      </c>
      <c r="AV18" s="27">
        <v>20.222222222222225</v>
      </c>
      <c r="AW18" s="27">
        <v>20.222222222222225</v>
      </c>
      <c r="AX18" s="27">
        <v>20.222222222222225</v>
      </c>
      <c r="AY18" s="27">
        <v>20.222222222222225</v>
      </c>
      <c r="AZ18" s="27">
        <v>20.222222222222225</v>
      </c>
      <c r="BA18" s="27">
        <v>20.222222222222225</v>
      </c>
      <c r="BB18" s="27">
        <v>20.222222222222225</v>
      </c>
      <c r="BC18" s="27">
        <v>20.222222222222225</v>
      </c>
      <c r="BD18" s="27">
        <v>20.222222222222225</v>
      </c>
      <c r="BE18" s="27">
        <v>20.222222222222225</v>
      </c>
      <c r="BF18" s="27">
        <v>20.222222222222225</v>
      </c>
      <c r="BG18" s="27">
        <v>20.222222222222225</v>
      </c>
      <c r="BH18" s="27">
        <v>20.222222222222225</v>
      </c>
    </row>
    <row r="19" spans="1:60" ht="21" hidden="1" customHeight="1" outlineLevel="1" x14ac:dyDescent="0.25">
      <c r="A19" s="26" t="s">
        <v>77</v>
      </c>
      <c r="B19" s="27">
        <v>155.55555555555557</v>
      </c>
      <c r="C19" s="27">
        <v>155.55555555555557</v>
      </c>
      <c r="D19" s="27">
        <v>155.55555555555557</v>
      </c>
      <c r="E19" s="27">
        <v>155.55555555555557</v>
      </c>
      <c r="F19" s="27">
        <v>155.55555555555557</v>
      </c>
      <c r="G19" s="27">
        <v>155.55555555555557</v>
      </c>
      <c r="H19" s="27">
        <v>155.55555555555557</v>
      </c>
      <c r="I19" s="27">
        <v>155.55555555555557</v>
      </c>
      <c r="J19" s="27">
        <v>155.55555555555557</v>
      </c>
      <c r="K19" s="27">
        <v>155.55555555555557</v>
      </c>
      <c r="L19" s="27">
        <v>155.55555555555557</v>
      </c>
      <c r="M19" s="27">
        <v>155.55555555555557</v>
      </c>
      <c r="N19" s="27">
        <v>155.55555555555557</v>
      </c>
      <c r="O19" s="27">
        <v>155.55555555555557</v>
      </c>
      <c r="P19" s="27">
        <v>155.55555555555557</v>
      </c>
      <c r="Q19" s="27">
        <v>155.55555555555557</v>
      </c>
      <c r="R19" s="27">
        <v>155.55555555555557</v>
      </c>
      <c r="S19" s="27">
        <v>155.55555555555557</v>
      </c>
      <c r="T19" s="27">
        <v>155.55555555555557</v>
      </c>
      <c r="U19" s="27">
        <v>155.55555555555557</v>
      </c>
      <c r="V19" s="27">
        <v>155.55555555555557</v>
      </c>
      <c r="W19" s="27">
        <v>155.55555555555557</v>
      </c>
      <c r="X19" s="27">
        <v>155.55555555555557</v>
      </c>
      <c r="Y19" s="27">
        <v>155.55555555555557</v>
      </c>
      <c r="Z19" s="27">
        <v>155.55555555555557</v>
      </c>
      <c r="AA19" s="27">
        <v>155.55555555555557</v>
      </c>
      <c r="AB19" s="27">
        <v>155.55555555555557</v>
      </c>
      <c r="AC19" s="27">
        <v>155.55555555555557</v>
      </c>
      <c r="AD19" s="27">
        <v>155.55555555555557</v>
      </c>
      <c r="AE19" s="27">
        <v>155.55555555555557</v>
      </c>
      <c r="AF19" s="27">
        <v>155.55555555555557</v>
      </c>
      <c r="AG19" s="27">
        <v>155.55555555555557</v>
      </c>
      <c r="AH19" s="27">
        <v>155.55555555555557</v>
      </c>
      <c r="AI19" s="27">
        <v>155.55555555555557</v>
      </c>
      <c r="AJ19" s="27">
        <v>155.55555555555557</v>
      </c>
      <c r="AK19" s="27">
        <v>155.55555555555557</v>
      </c>
      <c r="AL19" s="27">
        <v>155.55555555555557</v>
      </c>
      <c r="AM19" s="27">
        <v>155.55555555555557</v>
      </c>
      <c r="AN19" s="27">
        <v>155.55555555555557</v>
      </c>
      <c r="AO19" s="27">
        <v>155.55555555555557</v>
      </c>
      <c r="AP19" s="27">
        <v>155.55555555555557</v>
      </c>
      <c r="AQ19" s="27">
        <v>155.55555555555557</v>
      </c>
      <c r="AR19" s="27">
        <v>155.55555555555557</v>
      </c>
      <c r="AS19" s="27">
        <v>155.55555555555557</v>
      </c>
      <c r="AT19" s="27">
        <v>155.55555555555557</v>
      </c>
      <c r="AU19" s="27">
        <v>155.55555555555557</v>
      </c>
      <c r="AV19" s="27">
        <v>155.55555555555557</v>
      </c>
      <c r="AW19" s="27">
        <v>155.55555555555557</v>
      </c>
      <c r="AX19" s="27">
        <v>155.55555555555557</v>
      </c>
      <c r="AY19" s="27">
        <v>155.55555555555557</v>
      </c>
      <c r="AZ19" s="27">
        <v>155.55555555555557</v>
      </c>
      <c r="BA19" s="27">
        <v>155.55555555555557</v>
      </c>
      <c r="BB19" s="27">
        <v>155.55555555555557</v>
      </c>
      <c r="BC19" s="27">
        <v>155.55555555555557</v>
      </c>
      <c r="BD19" s="27">
        <v>155.55555555555557</v>
      </c>
      <c r="BE19" s="27">
        <v>155.55555555555557</v>
      </c>
      <c r="BF19" s="27">
        <v>155.55555555555557</v>
      </c>
      <c r="BG19" s="27">
        <v>155.55555555555557</v>
      </c>
      <c r="BH19" s="27">
        <v>155.55555555555557</v>
      </c>
    </row>
    <row r="20" spans="1:60" ht="21" hidden="1" customHeight="1" outlineLevel="1" x14ac:dyDescent="0.25">
      <c r="A20" s="26" t="s">
        <v>78</v>
      </c>
      <c r="B20" s="27">
        <v>23.693817777777781</v>
      </c>
      <c r="C20" s="27">
        <v>23.693817777777781</v>
      </c>
      <c r="D20" s="27">
        <v>23.693817777777781</v>
      </c>
      <c r="E20" s="27">
        <v>23.693817777777781</v>
      </c>
      <c r="F20" s="27">
        <v>23.693817777777781</v>
      </c>
      <c r="G20" s="27">
        <v>23.693817777777781</v>
      </c>
      <c r="H20" s="27">
        <v>23.693817777777781</v>
      </c>
      <c r="I20" s="27">
        <v>23.693817777777781</v>
      </c>
      <c r="J20" s="27">
        <v>23.693817777777781</v>
      </c>
      <c r="K20" s="27">
        <v>23.693817777777781</v>
      </c>
      <c r="L20" s="27">
        <v>23.693817777777781</v>
      </c>
      <c r="M20" s="27">
        <v>23.693817777777781</v>
      </c>
      <c r="N20" s="27">
        <v>23.693817777777781</v>
      </c>
      <c r="O20" s="27">
        <v>23.693817777777781</v>
      </c>
      <c r="P20" s="27">
        <v>23.693817777777781</v>
      </c>
      <c r="Q20" s="27">
        <v>23.693817777777781</v>
      </c>
      <c r="R20" s="27">
        <v>23.693817777777781</v>
      </c>
      <c r="S20" s="27">
        <v>23.693817777777781</v>
      </c>
      <c r="T20" s="27">
        <v>23.693817777777781</v>
      </c>
      <c r="U20" s="27">
        <v>23.693817777777781</v>
      </c>
      <c r="V20" s="27">
        <v>23.693817777777781</v>
      </c>
      <c r="W20" s="27">
        <v>23.693817777777781</v>
      </c>
      <c r="X20" s="27">
        <v>23.693817777777781</v>
      </c>
      <c r="Y20" s="27">
        <v>23.693817777777781</v>
      </c>
      <c r="Z20" s="27">
        <v>23.693817777777781</v>
      </c>
      <c r="AA20" s="27">
        <v>23.693817777777781</v>
      </c>
      <c r="AB20" s="27">
        <v>23.693817777777781</v>
      </c>
      <c r="AC20" s="27">
        <v>23.693817777777781</v>
      </c>
      <c r="AD20" s="27">
        <v>23.693817777777781</v>
      </c>
      <c r="AE20" s="27">
        <v>23.693817777777781</v>
      </c>
      <c r="AF20" s="27">
        <v>23.693817777777781</v>
      </c>
      <c r="AG20" s="27">
        <v>23.693817777777781</v>
      </c>
      <c r="AH20" s="27">
        <v>23.693817777777781</v>
      </c>
      <c r="AI20" s="27">
        <v>23.693817777777781</v>
      </c>
      <c r="AJ20" s="27">
        <v>23.693817777777781</v>
      </c>
      <c r="AK20" s="27">
        <v>23.693817777777781</v>
      </c>
      <c r="AL20" s="27">
        <v>23.693817777777781</v>
      </c>
      <c r="AM20" s="27">
        <v>23.693817777777781</v>
      </c>
      <c r="AN20" s="27">
        <v>23.693817777777781</v>
      </c>
      <c r="AO20" s="27">
        <v>23.693817777777781</v>
      </c>
      <c r="AP20" s="27">
        <v>23.693817777777781</v>
      </c>
      <c r="AQ20" s="27">
        <v>23.693817777777781</v>
      </c>
      <c r="AR20" s="27">
        <v>23.693817777777781</v>
      </c>
      <c r="AS20" s="27">
        <v>23.693817777777781</v>
      </c>
      <c r="AT20" s="27">
        <v>23.693817777777781</v>
      </c>
      <c r="AU20" s="27">
        <v>23.693817777777781</v>
      </c>
      <c r="AV20" s="27">
        <v>23.693817777777781</v>
      </c>
      <c r="AW20" s="27">
        <v>23.693817777777781</v>
      </c>
      <c r="AX20" s="27">
        <v>23.693817777777781</v>
      </c>
      <c r="AY20" s="27">
        <v>23.693817777777781</v>
      </c>
      <c r="AZ20" s="27">
        <v>23.693817777777781</v>
      </c>
      <c r="BA20" s="27">
        <v>23.693817777777781</v>
      </c>
      <c r="BB20" s="27">
        <v>23.693817777777781</v>
      </c>
      <c r="BC20" s="27">
        <v>23.693817777777781</v>
      </c>
      <c r="BD20" s="27">
        <v>23.693817777777781</v>
      </c>
      <c r="BE20" s="27">
        <v>23.693817777777781</v>
      </c>
      <c r="BF20" s="27">
        <v>23.693817777777781</v>
      </c>
      <c r="BG20" s="27">
        <v>23.693817777777781</v>
      </c>
      <c r="BH20" s="27">
        <v>23.693817777777781</v>
      </c>
    </row>
    <row r="21" spans="1:60" ht="21" hidden="1" customHeight="1" outlineLevel="1" x14ac:dyDescent="0.25">
      <c r="A21" s="26" t="s">
        <v>79</v>
      </c>
      <c r="B21" s="27">
        <v>54.44444444444445</v>
      </c>
      <c r="C21" s="27">
        <v>54.44444444444445</v>
      </c>
      <c r="D21" s="27">
        <v>54.44444444444445</v>
      </c>
      <c r="E21" s="27">
        <v>54.44444444444445</v>
      </c>
      <c r="F21" s="27">
        <v>54.44444444444445</v>
      </c>
      <c r="G21" s="27">
        <v>54.44444444444445</v>
      </c>
      <c r="H21" s="27">
        <v>54.44444444444445</v>
      </c>
      <c r="I21" s="27">
        <v>54.44444444444445</v>
      </c>
      <c r="J21" s="27">
        <v>54.44444444444445</v>
      </c>
      <c r="K21" s="27">
        <v>54.44444444444445</v>
      </c>
      <c r="L21" s="27">
        <v>54.44444444444445</v>
      </c>
      <c r="M21" s="27">
        <v>54.44444444444445</v>
      </c>
      <c r="N21" s="27">
        <v>54.44444444444445</v>
      </c>
      <c r="O21" s="27">
        <v>54.44444444444445</v>
      </c>
      <c r="P21" s="27">
        <v>54.44444444444445</v>
      </c>
      <c r="Q21" s="27">
        <v>54.44444444444445</v>
      </c>
      <c r="R21" s="27">
        <v>54.44444444444445</v>
      </c>
      <c r="S21" s="27">
        <v>54.44444444444445</v>
      </c>
      <c r="T21" s="27">
        <v>54.44444444444445</v>
      </c>
      <c r="U21" s="27">
        <v>54.44444444444445</v>
      </c>
      <c r="V21" s="27">
        <v>54.44444444444445</v>
      </c>
      <c r="W21" s="27">
        <v>54.44444444444445</v>
      </c>
      <c r="X21" s="27">
        <v>54.44444444444445</v>
      </c>
      <c r="Y21" s="27">
        <v>54.44444444444445</v>
      </c>
      <c r="Z21" s="27">
        <v>54.44444444444445</v>
      </c>
      <c r="AA21" s="27">
        <v>54.44444444444445</v>
      </c>
      <c r="AB21" s="27">
        <v>54.44444444444445</v>
      </c>
      <c r="AC21" s="27">
        <v>54.44444444444445</v>
      </c>
      <c r="AD21" s="27">
        <v>54.44444444444445</v>
      </c>
      <c r="AE21" s="27">
        <v>54.44444444444445</v>
      </c>
      <c r="AF21" s="27">
        <v>54.44444444444445</v>
      </c>
      <c r="AG21" s="27">
        <v>54.44444444444445</v>
      </c>
      <c r="AH21" s="27">
        <v>54.44444444444445</v>
      </c>
      <c r="AI21" s="27">
        <v>54.44444444444445</v>
      </c>
      <c r="AJ21" s="27">
        <v>54.44444444444445</v>
      </c>
      <c r="AK21" s="27">
        <v>54.44444444444445</v>
      </c>
      <c r="AL21" s="27">
        <v>54.44444444444445</v>
      </c>
      <c r="AM21" s="27">
        <v>54.44444444444445</v>
      </c>
      <c r="AN21" s="27">
        <v>54.44444444444445</v>
      </c>
      <c r="AO21" s="27">
        <v>54.44444444444445</v>
      </c>
      <c r="AP21" s="27">
        <v>54.44444444444445</v>
      </c>
      <c r="AQ21" s="27">
        <v>54.44444444444445</v>
      </c>
      <c r="AR21" s="27">
        <v>54.44444444444445</v>
      </c>
      <c r="AS21" s="27">
        <v>54.44444444444445</v>
      </c>
      <c r="AT21" s="27">
        <v>54.44444444444445</v>
      </c>
      <c r="AU21" s="27">
        <v>54.44444444444445</v>
      </c>
      <c r="AV21" s="27">
        <v>54.44444444444445</v>
      </c>
      <c r="AW21" s="27">
        <v>54.44444444444445</v>
      </c>
      <c r="AX21" s="27">
        <v>54.44444444444445</v>
      </c>
      <c r="AY21" s="27">
        <v>54.44444444444445</v>
      </c>
      <c r="AZ21" s="27">
        <v>54.44444444444445</v>
      </c>
      <c r="BA21" s="27">
        <v>54.44444444444445</v>
      </c>
      <c r="BB21" s="27">
        <v>54.44444444444445</v>
      </c>
      <c r="BC21" s="27">
        <v>54.44444444444445</v>
      </c>
      <c r="BD21" s="27">
        <v>54.44444444444445</v>
      </c>
      <c r="BE21" s="27">
        <v>54.44444444444445</v>
      </c>
      <c r="BF21" s="27">
        <v>54.44444444444445</v>
      </c>
      <c r="BG21" s="27">
        <v>54.44444444444445</v>
      </c>
      <c r="BH21" s="27">
        <v>54.44444444444445</v>
      </c>
    </row>
    <row r="22" spans="1:60" ht="21" hidden="1" customHeight="1" outlineLevel="1" x14ac:dyDescent="0.25">
      <c r="A22" s="26" t="s">
        <v>80</v>
      </c>
      <c r="B22" s="27">
        <v>259.52361944444442</v>
      </c>
      <c r="C22" s="27">
        <v>259.52361944444442</v>
      </c>
      <c r="D22" s="27">
        <v>259.52361944444442</v>
      </c>
      <c r="E22" s="27">
        <v>259.52361944444442</v>
      </c>
      <c r="F22" s="27">
        <v>259.52361944444442</v>
      </c>
      <c r="G22" s="27">
        <v>259.52361944444442</v>
      </c>
      <c r="H22" s="27">
        <v>259.52361944444442</v>
      </c>
      <c r="I22" s="27">
        <v>259.52361944444442</v>
      </c>
      <c r="J22" s="27">
        <v>259.52361944444442</v>
      </c>
      <c r="K22" s="27">
        <v>259.52361944444442</v>
      </c>
      <c r="L22" s="27">
        <v>259.52361944444442</v>
      </c>
      <c r="M22" s="27">
        <v>259.52361944444442</v>
      </c>
      <c r="N22" s="27">
        <v>259.52361944444442</v>
      </c>
      <c r="O22" s="27">
        <v>259.52361944444442</v>
      </c>
      <c r="P22" s="27">
        <v>259.52361944444442</v>
      </c>
      <c r="Q22" s="27">
        <v>259.52361944444442</v>
      </c>
      <c r="R22" s="27">
        <v>259.52361944444442</v>
      </c>
      <c r="S22" s="27">
        <v>259.52361944444442</v>
      </c>
      <c r="T22" s="27">
        <v>259.52361944444442</v>
      </c>
      <c r="U22" s="27">
        <v>259.52361944444442</v>
      </c>
      <c r="V22" s="27">
        <v>259.52361944444442</v>
      </c>
      <c r="W22" s="27">
        <v>259.52361944444442</v>
      </c>
      <c r="X22" s="27">
        <v>259.52361944444442</v>
      </c>
      <c r="Y22" s="27">
        <v>259.52361944444442</v>
      </c>
      <c r="Z22" s="27">
        <v>259.52361944444442</v>
      </c>
      <c r="AA22" s="27">
        <v>259.52361944444442</v>
      </c>
      <c r="AB22" s="27">
        <v>259.52361944444442</v>
      </c>
      <c r="AC22" s="27">
        <v>259.52361944444442</v>
      </c>
      <c r="AD22" s="27">
        <v>259.52361944444442</v>
      </c>
      <c r="AE22" s="27">
        <v>259.52361944444442</v>
      </c>
      <c r="AF22" s="27">
        <v>259.52361944444442</v>
      </c>
      <c r="AG22" s="27">
        <v>259.52361944444442</v>
      </c>
      <c r="AH22" s="27">
        <v>259.52361944444442</v>
      </c>
      <c r="AI22" s="27">
        <v>259.52361944444442</v>
      </c>
      <c r="AJ22" s="27">
        <v>259.52361944444442</v>
      </c>
      <c r="AK22" s="27">
        <v>259.52361944444442</v>
      </c>
      <c r="AL22" s="27">
        <v>259.52361944444442</v>
      </c>
      <c r="AM22" s="27">
        <v>259.52361944444442</v>
      </c>
      <c r="AN22" s="27">
        <v>259.52361944444442</v>
      </c>
      <c r="AO22" s="27">
        <v>259.52361944444442</v>
      </c>
      <c r="AP22" s="27">
        <v>259.52361944444442</v>
      </c>
      <c r="AQ22" s="27">
        <v>259.52361944444442</v>
      </c>
      <c r="AR22" s="27">
        <v>259.52361944444442</v>
      </c>
      <c r="AS22" s="27">
        <v>259.52361944444442</v>
      </c>
      <c r="AT22" s="27">
        <v>259.52361944444442</v>
      </c>
      <c r="AU22" s="27">
        <v>259.52361944444442</v>
      </c>
      <c r="AV22" s="27">
        <v>259.52361944444442</v>
      </c>
      <c r="AW22" s="27">
        <v>259.52361944444442</v>
      </c>
      <c r="AX22" s="27">
        <v>259.52361944444442</v>
      </c>
      <c r="AY22" s="27">
        <v>259.52361944444442</v>
      </c>
      <c r="AZ22" s="27">
        <v>259.52361944444442</v>
      </c>
      <c r="BA22" s="27">
        <v>259.52361944444442</v>
      </c>
      <c r="BB22" s="27">
        <v>259.52361944444442</v>
      </c>
      <c r="BC22" s="27">
        <v>259.52361944444442</v>
      </c>
      <c r="BD22" s="27">
        <v>259.52361944444442</v>
      </c>
      <c r="BE22" s="27">
        <v>259.52361944444442</v>
      </c>
      <c r="BF22" s="27">
        <v>259.52361944444442</v>
      </c>
      <c r="BG22" s="27">
        <v>259.52361944444442</v>
      </c>
      <c r="BH22" s="27">
        <v>259.52361944444442</v>
      </c>
    </row>
    <row r="23" spans="1:60" ht="21" hidden="1" customHeight="1" outlineLevel="1" x14ac:dyDescent="0.25">
      <c r="A23" s="26" t="s">
        <v>81</v>
      </c>
      <c r="B23" s="27">
        <v>70.399548333333342</v>
      </c>
      <c r="C23" s="27">
        <v>70.399548333333342</v>
      </c>
      <c r="D23" s="27">
        <v>70.399548333333342</v>
      </c>
      <c r="E23" s="27">
        <v>70.399548333333342</v>
      </c>
      <c r="F23" s="27">
        <v>70.399548333333342</v>
      </c>
      <c r="G23" s="27">
        <v>70.399548333333342</v>
      </c>
      <c r="H23" s="27">
        <v>70.399548333333342</v>
      </c>
      <c r="I23" s="27">
        <v>70.399548333333342</v>
      </c>
      <c r="J23" s="27">
        <v>70.399548333333342</v>
      </c>
      <c r="K23" s="27">
        <v>70.399548333333342</v>
      </c>
      <c r="L23" s="27">
        <v>70.399548333333342</v>
      </c>
      <c r="M23" s="27">
        <v>70.399548333333342</v>
      </c>
      <c r="N23" s="27">
        <v>70.399548333333342</v>
      </c>
      <c r="O23" s="27">
        <v>70.399548333333342</v>
      </c>
      <c r="P23" s="27">
        <v>70.399548333333342</v>
      </c>
      <c r="Q23" s="27">
        <v>70.399548333333342</v>
      </c>
      <c r="R23" s="27">
        <v>70.399548333333342</v>
      </c>
      <c r="S23" s="27">
        <v>70.399548333333342</v>
      </c>
      <c r="T23" s="27">
        <v>70.399548333333342</v>
      </c>
      <c r="U23" s="27">
        <v>70.399548333333342</v>
      </c>
      <c r="V23" s="27">
        <v>70.399548333333342</v>
      </c>
      <c r="W23" s="27">
        <v>70.399548333333342</v>
      </c>
      <c r="X23" s="27">
        <v>70.399548333333342</v>
      </c>
      <c r="Y23" s="27">
        <v>70.399548333333342</v>
      </c>
      <c r="Z23" s="27">
        <v>70.399548333333342</v>
      </c>
      <c r="AA23" s="27">
        <v>70.399548333333342</v>
      </c>
      <c r="AB23" s="27">
        <v>70.399548333333342</v>
      </c>
      <c r="AC23" s="27">
        <v>70.399548333333342</v>
      </c>
      <c r="AD23" s="27">
        <v>70.399548333333342</v>
      </c>
      <c r="AE23" s="27">
        <v>70.399548333333342</v>
      </c>
      <c r="AF23" s="27">
        <v>70.399548333333342</v>
      </c>
      <c r="AG23" s="27">
        <v>70.399548333333342</v>
      </c>
      <c r="AH23" s="27">
        <v>70.399548333333342</v>
      </c>
      <c r="AI23" s="27">
        <v>70.399548333333342</v>
      </c>
      <c r="AJ23" s="27">
        <v>70.399548333333342</v>
      </c>
      <c r="AK23" s="27">
        <v>70.399548333333342</v>
      </c>
      <c r="AL23" s="27">
        <v>70.399548333333342</v>
      </c>
      <c r="AM23" s="27">
        <v>70.399548333333342</v>
      </c>
      <c r="AN23" s="27">
        <v>70.399548333333342</v>
      </c>
      <c r="AO23" s="27">
        <v>70.399548333333342</v>
      </c>
      <c r="AP23" s="27">
        <v>70.399548333333342</v>
      </c>
      <c r="AQ23" s="27">
        <v>70.399548333333342</v>
      </c>
      <c r="AR23" s="27">
        <v>70.399548333333342</v>
      </c>
      <c r="AS23" s="27">
        <v>70.399548333333342</v>
      </c>
      <c r="AT23" s="27">
        <v>70.399548333333342</v>
      </c>
      <c r="AU23" s="27">
        <v>70.399548333333342</v>
      </c>
      <c r="AV23" s="27">
        <v>70.399548333333342</v>
      </c>
      <c r="AW23" s="27">
        <v>70.399548333333342</v>
      </c>
      <c r="AX23" s="27">
        <v>70.399548333333342</v>
      </c>
      <c r="AY23" s="27">
        <v>70.399548333333342</v>
      </c>
      <c r="AZ23" s="27">
        <v>70.399548333333342</v>
      </c>
      <c r="BA23" s="27">
        <v>70.399548333333342</v>
      </c>
      <c r="BB23" s="27">
        <v>70.399548333333342</v>
      </c>
      <c r="BC23" s="27">
        <v>70.399548333333342</v>
      </c>
      <c r="BD23" s="27">
        <v>70.399548333333342</v>
      </c>
      <c r="BE23" s="27">
        <v>70.399548333333342</v>
      </c>
      <c r="BF23" s="27">
        <v>70.399548333333342</v>
      </c>
      <c r="BG23" s="27">
        <v>70.399548333333342</v>
      </c>
      <c r="BH23" s="27">
        <v>70.399548333333342</v>
      </c>
    </row>
    <row r="24" spans="1:60" ht="21" hidden="1" customHeight="1" outlineLevel="1" x14ac:dyDescent="0.25">
      <c r="A24" s="26" t="s">
        <v>82</v>
      </c>
      <c r="B24" s="27">
        <v>66.8888888888889</v>
      </c>
      <c r="C24" s="27">
        <v>66.8888888888889</v>
      </c>
      <c r="D24" s="27">
        <v>66.8888888888889</v>
      </c>
      <c r="E24" s="27">
        <v>66.8888888888889</v>
      </c>
      <c r="F24" s="27">
        <v>66.8888888888889</v>
      </c>
      <c r="G24" s="27">
        <v>66.8888888888889</v>
      </c>
      <c r="H24" s="27">
        <v>66.8888888888889</v>
      </c>
      <c r="I24" s="27">
        <v>66.8888888888889</v>
      </c>
      <c r="J24" s="27">
        <v>66.8888888888889</v>
      </c>
      <c r="K24" s="27">
        <v>66.8888888888889</v>
      </c>
      <c r="L24" s="27">
        <v>66.8888888888889</v>
      </c>
      <c r="M24" s="27">
        <v>66.8888888888889</v>
      </c>
      <c r="N24" s="27">
        <v>66.8888888888889</v>
      </c>
      <c r="O24" s="27">
        <v>66.8888888888889</v>
      </c>
      <c r="P24" s="27">
        <v>66.8888888888889</v>
      </c>
      <c r="Q24" s="27">
        <v>66.8888888888889</v>
      </c>
      <c r="R24" s="27">
        <v>66.8888888888889</v>
      </c>
      <c r="S24" s="27">
        <v>66.8888888888889</v>
      </c>
      <c r="T24" s="27">
        <v>66.8888888888889</v>
      </c>
      <c r="U24" s="27">
        <v>66.8888888888889</v>
      </c>
      <c r="V24" s="27">
        <v>66.8888888888889</v>
      </c>
      <c r="W24" s="27">
        <v>66.8888888888889</v>
      </c>
      <c r="X24" s="27">
        <v>66.8888888888889</v>
      </c>
      <c r="Y24" s="27">
        <v>66.8888888888889</v>
      </c>
      <c r="Z24" s="27">
        <v>66.8888888888889</v>
      </c>
      <c r="AA24" s="27">
        <v>66.8888888888889</v>
      </c>
      <c r="AB24" s="27">
        <v>66.8888888888889</v>
      </c>
      <c r="AC24" s="27">
        <v>66.8888888888889</v>
      </c>
      <c r="AD24" s="27">
        <v>66.8888888888889</v>
      </c>
      <c r="AE24" s="27">
        <v>66.8888888888889</v>
      </c>
      <c r="AF24" s="27">
        <v>66.8888888888889</v>
      </c>
      <c r="AG24" s="27">
        <v>66.8888888888889</v>
      </c>
      <c r="AH24" s="27">
        <v>66.8888888888889</v>
      </c>
      <c r="AI24" s="27">
        <v>66.8888888888889</v>
      </c>
      <c r="AJ24" s="27">
        <v>66.8888888888889</v>
      </c>
      <c r="AK24" s="27">
        <v>66.8888888888889</v>
      </c>
      <c r="AL24" s="27">
        <v>66.8888888888889</v>
      </c>
      <c r="AM24" s="27">
        <v>66.8888888888889</v>
      </c>
      <c r="AN24" s="27">
        <v>66.8888888888889</v>
      </c>
      <c r="AO24" s="27">
        <v>66.8888888888889</v>
      </c>
      <c r="AP24" s="27">
        <v>66.8888888888889</v>
      </c>
      <c r="AQ24" s="27">
        <v>66.8888888888889</v>
      </c>
      <c r="AR24" s="27">
        <v>66.8888888888889</v>
      </c>
      <c r="AS24" s="27">
        <v>66.8888888888889</v>
      </c>
      <c r="AT24" s="27">
        <v>66.8888888888889</v>
      </c>
      <c r="AU24" s="27">
        <v>66.8888888888889</v>
      </c>
      <c r="AV24" s="27">
        <v>66.8888888888889</v>
      </c>
      <c r="AW24" s="27">
        <v>66.8888888888889</v>
      </c>
      <c r="AX24" s="27">
        <v>66.8888888888889</v>
      </c>
      <c r="AY24" s="27">
        <v>66.8888888888889</v>
      </c>
      <c r="AZ24" s="27">
        <v>66.8888888888889</v>
      </c>
      <c r="BA24" s="27">
        <v>66.8888888888889</v>
      </c>
      <c r="BB24" s="27">
        <v>66.8888888888889</v>
      </c>
      <c r="BC24" s="27">
        <v>66.8888888888889</v>
      </c>
      <c r="BD24" s="27">
        <v>66.8888888888889</v>
      </c>
      <c r="BE24" s="27">
        <v>66.8888888888889</v>
      </c>
      <c r="BF24" s="27">
        <v>66.8888888888889</v>
      </c>
      <c r="BG24" s="27">
        <v>66.8888888888889</v>
      </c>
      <c r="BH24" s="27">
        <v>66.8888888888889</v>
      </c>
    </row>
    <row r="25" spans="1:60" ht="21" hidden="1" customHeight="1" outlineLevel="1" x14ac:dyDescent="0.25">
      <c r="A25" s="26" t="s">
        <v>83</v>
      </c>
      <c r="B25" s="27">
        <v>42.777777777777779</v>
      </c>
      <c r="C25" s="27">
        <v>42.777777777777779</v>
      </c>
      <c r="D25" s="27">
        <v>42.777777777777779</v>
      </c>
      <c r="E25" s="27">
        <v>42.777777777777779</v>
      </c>
      <c r="F25" s="27">
        <v>42.777777777777779</v>
      </c>
      <c r="G25" s="27">
        <v>42.777777777777779</v>
      </c>
      <c r="H25" s="27">
        <v>42.777777777777779</v>
      </c>
      <c r="I25" s="27">
        <v>42.777777777777779</v>
      </c>
      <c r="J25" s="27">
        <v>42.777777777777779</v>
      </c>
      <c r="K25" s="27">
        <v>42.777777777777779</v>
      </c>
      <c r="L25" s="27">
        <v>42.777777777777779</v>
      </c>
      <c r="M25" s="27">
        <v>42.777777777777779</v>
      </c>
      <c r="N25" s="27">
        <v>42.777777777777779</v>
      </c>
      <c r="O25" s="27">
        <v>42.777777777777779</v>
      </c>
      <c r="P25" s="27">
        <v>42.777777777777779</v>
      </c>
      <c r="Q25" s="27">
        <v>42.777777777777779</v>
      </c>
      <c r="R25" s="27">
        <v>42.777777777777779</v>
      </c>
      <c r="S25" s="27">
        <v>42.777777777777779</v>
      </c>
      <c r="T25" s="27">
        <v>42.777777777777779</v>
      </c>
      <c r="U25" s="27">
        <v>42.777777777777779</v>
      </c>
      <c r="V25" s="27">
        <v>42.777777777777779</v>
      </c>
      <c r="W25" s="27">
        <v>42.777777777777779</v>
      </c>
      <c r="X25" s="27">
        <v>42.777777777777779</v>
      </c>
      <c r="Y25" s="27">
        <v>42.777777777777779</v>
      </c>
      <c r="Z25" s="27">
        <v>42.777777777777779</v>
      </c>
      <c r="AA25" s="27">
        <v>42.777777777777779</v>
      </c>
      <c r="AB25" s="27">
        <v>42.777777777777779</v>
      </c>
      <c r="AC25" s="27">
        <v>42.777777777777779</v>
      </c>
      <c r="AD25" s="27">
        <v>42.777777777777779</v>
      </c>
      <c r="AE25" s="27">
        <v>42.777777777777779</v>
      </c>
      <c r="AF25" s="27">
        <v>42.777777777777779</v>
      </c>
      <c r="AG25" s="27">
        <v>42.777777777777779</v>
      </c>
      <c r="AH25" s="27">
        <v>42.777777777777779</v>
      </c>
      <c r="AI25" s="27">
        <v>42.777777777777779</v>
      </c>
      <c r="AJ25" s="27">
        <v>42.777777777777779</v>
      </c>
      <c r="AK25" s="27">
        <v>42.777777777777779</v>
      </c>
      <c r="AL25" s="27">
        <v>42.777777777777779</v>
      </c>
      <c r="AM25" s="27">
        <v>42.777777777777779</v>
      </c>
      <c r="AN25" s="27">
        <v>42.777777777777779</v>
      </c>
      <c r="AO25" s="27">
        <v>42.777777777777779</v>
      </c>
      <c r="AP25" s="27">
        <v>42.777777777777779</v>
      </c>
      <c r="AQ25" s="27">
        <v>42.777777777777779</v>
      </c>
      <c r="AR25" s="27">
        <v>42.777777777777779</v>
      </c>
      <c r="AS25" s="27">
        <v>42.777777777777779</v>
      </c>
      <c r="AT25" s="27">
        <v>42.777777777777779</v>
      </c>
      <c r="AU25" s="27">
        <v>42.777777777777779</v>
      </c>
      <c r="AV25" s="27">
        <v>42.777777777777779</v>
      </c>
      <c r="AW25" s="27">
        <v>42.777777777777779</v>
      </c>
      <c r="AX25" s="27">
        <v>42.777777777777779</v>
      </c>
      <c r="AY25" s="27">
        <v>42.777777777777779</v>
      </c>
      <c r="AZ25" s="27">
        <v>42.777777777777779</v>
      </c>
      <c r="BA25" s="27">
        <v>42.777777777777779</v>
      </c>
      <c r="BB25" s="27">
        <v>42.777777777777779</v>
      </c>
      <c r="BC25" s="27">
        <v>42.777777777777779</v>
      </c>
      <c r="BD25" s="27">
        <v>42.777777777777779</v>
      </c>
      <c r="BE25" s="27">
        <v>42.777777777777779</v>
      </c>
      <c r="BF25" s="27">
        <v>42.777777777777779</v>
      </c>
      <c r="BG25" s="27">
        <v>42.777777777777779</v>
      </c>
      <c r="BH25" s="27">
        <v>42.777777777777779</v>
      </c>
    </row>
    <row r="26" spans="1:60" ht="21" hidden="1" customHeight="1" outlineLevel="1" x14ac:dyDescent="0.25">
      <c r="A26" s="26" t="s">
        <v>84</v>
      </c>
      <c r="B26" s="27">
        <v>89.444444444444457</v>
      </c>
      <c r="C26" s="27">
        <v>89.444444444444457</v>
      </c>
      <c r="D26" s="27">
        <v>89.444444444444457</v>
      </c>
      <c r="E26" s="27">
        <v>89.444444444444457</v>
      </c>
      <c r="F26" s="27">
        <v>89.444444444444457</v>
      </c>
      <c r="G26" s="27">
        <v>89.444444444444457</v>
      </c>
      <c r="H26" s="27">
        <v>89.444444444444457</v>
      </c>
      <c r="I26" s="27">
        <v>89.444444444444457</v>
      </c>
      <c r="J26" s="27">
        <v>89.444444444444457</v>
      </c>
      <c r="K26" s="27">
        <v>89.444444444444457</v>
      </c>
      <c r="L26" s="27">
        <v>89.444444444444457</v>
      </c>
      <c r="M26" s="27">
        <v>89.444444444444457</v>
      </c>
      <c r="N26" s="27">
        <v>89.444444444444457</v>
      </c>
      <c r="O26" s="27">
        <v>89.444444444444457</v>
      </c>
      <c r="P26" s="27">
        <v>89.444444444444457</v>
      </c>
      <c r="Q26" s="27">
        <v>89.444444444444457</v>
      </c>
      <c r="R26" s="27">
        <v>89.444444444444457</v>
      </c>
      <c r="S26" s="27">
        <v>89.444444444444457</v>
      </c>
      <c r="T26" s="27">
        <v>89.444444444444457</v>
      </c>
      <c r="U26" s="27">
        <v>89.444444444444457</v>
      </c>
      <c r="V26" s="27">
        <v>89.444444444444457</v>
      </c>
      <c r="W26" s="27">
        <v>89.444444444444457</v>
      </c>
      <c r="X26" s="27">
        <v>89.444444444444457</v>
      </c>
      <c r="Y26" s="27">
        <v>89.444444444444457</v>
      </c>
      <c r="Z26" s="27">
        <v>89.444444444444457</v>
      </c>
      <c r="AA26" s="27">
        <v>89.444444444444457</v>
      </c>
      <c r="AB26" s="27">
        <v>89.444444444444457</v>
      </c>
      <c r="AC26" s="27">
        <v>89.444444444444457</v>
      </c>
      <c r="AD26" s="27">
        <v>89.444444444444457</v>
      </c>
      <c r="AE26" s="27">
        <v>89.444444444444457</v>
      </c>
      <c r="AF26" s="27">
        <v>89.444444444444457</v>
      </c>
      <c r="AG26" s="27">
        <v>89.444444444444457</v>
      </c>
      <c r="AH26" s="27">
        <v>89.444444444444457</v>
      </c>
      <c r="AI26" s="27">
        <v>89.444444444444457</v>
      </c>
      <c r="AJ26" s="27">
        <v>89.444444444444457</v>
      </c>
      <c r="AK26" s="27">
        <v>89.444444444444457</v>
      </c>
      <c r="AL26" s="27">
        <v>89.444444444444457</v>
      </c>
      <c r="AM26" s="27">
        <v>89.444444444444457</v>
      </c>
      <c r="AN26" s="27">
        <v>89.444444444444457</v>
      </c>
      <c r="AO26" s="27">
        <v>89.444444444444457</v>
      </c>
      <c r="AP26" s="27">
        <v>89.444444444444457</v>
      </c>
      <c r="AQ26" s="27">
        <v>89.444444444444457</v>
      </c>
      <c r="AR26" s="27">
        <v>89.444444444444457</v>
      </c>
      <c r="AS26" s="27">
        <v>89.444444444444457</v>
      </c>
      <c r="AT26" s="27">
        <v>89.444444444444457</v>
      </c>
      <c r="AU26" s="27">
        <v>89.444444444444457</v>
      </c>
      <c r="AV26" s="27">
        <v>89.444444444444457</v>
      </c>
      <c r="AW26" s="27">
        <v>89.444444444444457</v>
      </c>
      <c r="AX26" s="27">
        <v>89.444444444444457</v>
      </c>
      <c r="AY26" s="27">
        <v>89.444444444444457</v>
      </c>
      <c r="AZ26" s="27">
        <v>89.444444444444457</v>
      </c>
      <c r="BA26" s="27">
        <v>89.444444444444457</v>
      </c>
      <c r="BB26" s="27">
        <v>89.444444444444457</v>
      </c>
      <c r="BC26" s="27">
        <v>89.444444444444457</v>
      </c>
      <c r="BD26" s="27">
        <v>89.444444444444457</v>
      </c>
      <c r="BE26" s="27">
        <v>89.444444444444457</v>
      </c>
      <c r="BF26" s="27">
        <v>89.444444444444457</v>
      </c>
      <c r="BG26" s="27">
        <v>89.444444444444457</v>
      </c>
      <c r="BH26" s="27">
        <v>89.444444444444457</v>
      </c>
    </row>
    <row r="27" spans="1:60" ht="21" hidden="1" customHeight="1" outlineLevel="1" x14ac:dyDescent="0.25">
      <c r="A27" s="26" t="s">
        <v>85</v>
      </c>
      <c r="B27" s="27">
        <v>19.444444444444446</v>
      </c>
      <c r="C27" s="27">
        <v>19.444444444444446</v>
      </c>
      <c r="D27" s="27">
        <v>19.444444444444446</v>
      </c>
      <c r="E27" s="27">
        <v>19.444444444444446</v>
      </c>
      <c r="F27" s="27">
        <v>19.444444444444446</v>
      </c>
      <c r="G27" s="27">
        <v>19.444444444444446</v>
      </c>
      <c r="H27" s="27">
        <v>19.444444444444446</v>
      </c>
      <c r="I27" s="27">
        <v>19.444444444444446</v>
      </c>
      <c r="J27" s="27">
        <v>19.444444444444446</v>
      </c>
      <c r="K27" s="27">
        <v>19.444444444444446</v>
      </c>
      <c r="L27" s="27">
        <v>19.444444444444446</v>
      </c>
      <c r="M27" s="27">
        <v>19.444444444444446</v>
      </c>
      <c r="N27" s="27">
        <v>19.444444444444446</v>
      </c>
      <c r="O27" s="27">
        <v>19.444444444444446</v>
      </c>
      <c r="P27" s="27">
        <v>19.444444444444446</v>
      </c>
      <c r="Q27" s="27">
        <v>19.444444444444446</v>
      </c>
      <c r="R27" s="27">
        <v>19.444444444444446</v>
      </c>
      <c r="S27" s="27">
        <v>19.444444444444446</v>
      </c>
      <c r="T27" s="27">
        <v>19.444444444444446</v>
      </c>
      <c r="U27" s="27">
        <v>19.444444444444446</v>
      </c>
      <c r="V27" s="27">
        <v>19.444444444444446</v>
      </c>
      <c r="W27" s="27">
        <v>19.444444444444446</v>
      </c>
      <c r="X27" s="27">
        <v>19.444444444444446</v>
      </c>
      <c r="Y27" s="27">
        <v>19.444444444444446</v>
      </c>
      <c r="Z27" s="27">
        <v>19.444444444444446</v>
      </c>
      <c r="AA27" s="27">
        <v>19.444444444444446</v>
      </c>
      <c r="AB27" s="27">
        <v>19.444444444444446</v>
      </c>
      <c r="AC27" s="27">
        <v>19.444444444444446</v>
      </c>
      <c r="AD27" s="27">
        <v>19.444444444444446</v>
      </c>
      <c r="AE27" s="27">
        <v>19.444444444444446</v>
      </c>
      <c r="AF27" s="27">
        <v>19.444444444444446</v>
      </c>
      <c r="AG27" s="27">
        <v>19.444444444444446</v>
      </c>
      <c r="AH27" s="27">
        <v>19.444444444444446</v>
      </c>
      <c r="AI27" s="27">
        <v>19.444444444444446</v>
      </c>
      <c r="AJ27" s="27">
        <v>19.444444444444446</v>
      </c>
      <c r="AK27" s="27">
        <v>19.444444444444446</v>
      </c>
      <c r="AL27" s="27">
        <v>19.444444444444446</v>
      </c>
      <c r="AM27" s="27">
        <v>19.444444444444446</v>
      </c>
      <c r="AN27" s="27">
        <v>19.444444444444446</v>
      </c>
      <c r="AO27" s="27">
        <v>19.444444444444446</v>
      </c>
      <c r="AP27" s="27">
        <v>19.444444444444446</v>
      </c>
      <c r="AQ27" s="27">
        <v>19.444444444444446</v>
      </c>
      <c r="AR27" s="27">
        <v>19.444444444444446</v>
      </c>
      <c r="AS27" s="27">
        <v>19.444444444444446</v>
      </c>
      <c r="AT27" s="27">
        <v>19.444444444444446</v>
      </c>
      <c r="AU27" s="27">
        <v>19.444444444444446</v>
      </c>
      <c r="AV27" s="27">
        <v>19.444444444444446</v>
      </c>
      <c r="AW27" s="27">
        <v>19.444444444444446</v>
      </c>
      <c r="AX27" s="27">
        <v>19.444444444444446</v>
      </c>
      <c r="AY27" s="27">
        <v>19.444444444444446</v>
      </c>
      <c r="AZ27" s="27">
        <v>19.444444444444446</v>
      </c>
      <c r="BA27" s="27">
        <v>19.444444444444446</v>
      </c>
      <c r="BB27" s="27">
        <v>19.444444444444446</v>
      </c>
      <c r="BC27" s="27">
        <v>19.444444444444446</v>
      </c>
      <c r="BD27" s="27">
        <v>19.444444444444446</v>
      </c>
      <c r="BE27" s="27">
        <v>19.444444444444446</v>
      </c>
      <c r="BF27" s="27">
        <v>19.444444444444446</v>
      </c>
      <c r="BG27" s="27">
        <v>19.444444444444446</v>
      </c>
      <c r="BH27" s="27">
        <v>19.444444444444446</v>
      </c>
    </row>
    <row r="28" spans="1:60" ht="21" hidden="1" customHeight="1" outlineLevel="1" x14ac:dyDescent="0.25">
      <c r="A28" s="26" t="s">
        <v>86</v>
      </c>
      <c r="B28" s="27">
        <v>77.777777777777786</v>
      </c>
      <c r="C28" s="27">
        <v>77.777777777777786</v>
      </c>
      <c r="D28" s="27">
        <v>77.777777777777786</v>
      </c>
      <c r="E28" s="27">
        <v>77.777777777777786</v>
      </c>
      <c r="F28" s="27">
        <v>77.777777777777786</v>
      </c>
      <c r="G28" s="27">
        <v>77.777777777777786</v>
      </c>
      <c r="H28" s="27">
        <v>77.777777777777786</v>
      </c>
      <c r="I28" s="27">
        <v>77.777777777777786</v>
      </c>
      <c r="J28" s="27">
        <v>77.777777777777786</v>
      </c>
      <c r="K28" s="27">
        <v>77.777777777777786</v>
      </c>
      <c r="L28" s="27">
        <v>77.777777777777786</v>
      </c>
      <c r="M28" s="27">
        <v>77.777777777777786</v>
      </c>
      <c r="N28" s="27">
        <v>77.777777777777786</v>
      </c>
      <c r="O28" s="27">
        <v>77.777777777777786</v>
      </c>
      <c r="P28" s="27">
        <v>77.777777777777786</v>
      </c>
      <c r="Q28" s="27">
        <v>77.777777777777786</v>
      </c>
      <c r="R28" s="27">
        <v>77.777777777777786</v>
      </c>
      <c r="S28" s="27">
        <v>77.777777777777786</v>
      </c>
      <c r="T28" s="27">
        <v>77.777777777777786</v>
      </c>
      <c r="U28" s="27">
        <v>77.777777777777786</v>
      </c>
      <c r="V28" s="27">
        <v>77.777777777777786</v>
      </c>
      <c r="W28" s="27">
        <v>77.777777777777786</v>
      </c>
      <c r="X28" s="27">
        <v>77.777777777777786</v>
      </c>
      <c r="Y28" s="27">
        <v>77.777777777777786</v>
      </c>
      <c r="Z28" s="27">
        <v>77.777777777777786</v>
      </c>
      <c r="AA28" s="27">
        <v>77.777777777777786</v>
      </c>
      <c r="AB28" s="27">
        <v>77.777777777777786</v>
      </c>
      <c r="AC28" s="27">
        <v>77.777777777777786</v>
      </c>
      <c r="AD28" s="27">
        <v>77.777777777777786</v>
      </c>
      <c r="AE28" s="27">
        <v>77.777777777777786</v>
      </c>
      <c r="AF28" s="27">
        <v>77.777777777777786</v>
      </c>
      <c r="AG28" s="27">
        <v>77.777777777777786</v>
      </c>
      <c r="AH28" s="27">
        <v>77.777777777777786</v>
      </c>
      <c r="AI28" s="27">
        <v>77.777777777777786</v>
      </c>
      <c r="AJ28" s="27">
        <v>77.777777777777786</v>
      </c>
      <c r="AK28" s="27">
        <v>77.777777777777786</v>
      </c>
      <c r="AL28" s="27">
        <v>77.777777777777786</v>
      </c>
      <c r="AM28" s="27">
        <v>77.777777777777786</v>
      </c>
      <c r="AN28" s="27">
        <v>77.777777777777786</v>
      </c>
      <c r="AO28" s="27">
        <v>77.777777777777786</v>
      </c>
      <c r="AP28" s="27">
        <v>77.777777777777786</v>
      </c>
      <c r="AQ28" s="27">
        <v>77.777777777777786</v>
      </c>
      <c r="AR28" s="27">
        <v>77.777777777777786</v>
      </c>
      <c r="AS28" s="27">
        <v>77.777777777777786</v>
      </c>
      <c r="AT28" s="27">
        <v>77.777777777777786</v>
      </c>
      <c r="AU28" s="27">
        <v>77.777777777777786</v>
      </c>
      <c r="AV28" s="27">
        <v>77.777777777777786</v>
      </c>
      <c r="AW28" s="27">
        <v>77.777777777777786</v>
      </c>
      <c r="AX28" s="27">
        <v>77.777777777777786</v>
      </c>
      <c r="AY28" s="27">
        <v>77.777777777777786</v>
      </c>
      <c r="AZ28" s="27">
        <v>77.777777777777786</v>
      </c>
      <c r="BA28" s="27">
        <v>77.777777777777786</v>
      </c>
      <c r="BB28" s="27">
        <v>77.777777777777786</v>
      </c>
      <c r="BC28" s="27">
        <v>77.777777777777786</v>
      </c>
      <c r="BD28" s="27">
        <v>77.777777777777786</v>
      </c>
      <c r="BE28" s="27">
        <v>77.777777777777786</v>
      </c>
      <c r="BF28" s="27">
        <v>77.777777777777786</v>
      </c>
      <c r="BG28" s="27">
        <v>77.777777777777786</v>
      </c>
      <c r="BH28" s="27">
        <v>77.777777777777786</v>
      </c>
    </row>
    <row r="29" spans="1:60" ht="21" hidden="1" customHeight="1" outlineLevel="1" x14ac:dyDescent="0.25">
      <c r="A29" s="26" t="s">
        <v>87</v>
      </c>
      <c r="B29" s="27">
        <v>38.888888888888893</v>
      </c>
      <c r="C29" s="27">
        <v>38.888888888888893</v>
      </c>
      <c r="D29" s="27">
        <v>38.888888888888893</v>
      </c>
      <c r="E29" s="27">
        <v>38.888888888888893</v>
      </c>
      <c r="F29" s="27">
        <v>38.888888888888893</v>
      </c>
      <c r="G29" s="27">
        <v>38.888888888888893</v>
      </c>
      <c r="H29" s="27">
        <v>38.888888888888893</v>
      </c>
      <c r="I29" s="27">
        <v>38.888888888888893</v>
      </c>
      <c r="J29" s="27">
        <v>38.888888888888893</v>
      </c>
      <c r="K29" s="27">
        <v>38.888888888888893</v>
      </c>
      <c r="L29" s="27">
        <v>38.888888888888893</v>
      </c>
      <c r="M29" s="27">
        <v>38.888888888888893</v>
      </c>
      <c r="N29" s="27">
        <v>38.888888888888893</v>
      </c>
      <c r="O29" s="27">
        <v>38.888888888888893</v>
      </c>
      <c r="P29" s="27">
        <v>38.888888888888893</v>
      </c>
      <c r="Q29" s="27">
        <v>38.888888888888893</v>
      </c>
      <c r="R29" s="27">
        <v>38.888888888888893</v>
      </c>
      <c r="S29" s="27">
        <v>38.888888888888893</v>
      </c>
      <c r="T29" s="27">
        <v>38.888888888888893</v>
      </c>
      <c r="U29" s="27">
        <v>38.888888888888893</v>
      </c>
      <c r="V29" s="27">
        <v>38.888888888888893</v>
      </c>
      <c r="W29" s="27">
        <v>38.888888888888893</v>
      </c>
      <c r="X29" s="27">
        <v>38.888888888888893</v>
      </c>
      <c r="Y29" s="27">
        <v>38.888888888888893</v>
      </c>
      <c r="Z29" s="27">
        <v>38.888888888888893</v>
      </c>
      <c r="AA29" s="27">
        <v>38.888888888888893</v>
      </c>
      <c r="AB29" s="27">
        <v>38.888888888888893</v>
      </c>
      <c r="AC29" s="27">
        <v>38.888888888888893</v>
      </c>
      <c r="AD29" s="27">
        <v>38.888888888888893</v>
      </c>
      <c r="AE29" s="27">
        <v>38.888888888888893</v>
      </c>
      <c r="AF29" s="27">
        <v>38.888888888888893</v>
      </c>
      <c r="AG29" s="27">
        <v>38.888888888888893</v>
      </c>
      <c r="AH29" s="27">
        <v>38.888888888888893</v>
      </c>
      <c r="AI29" s="27">
        <v>38.888888888888893</v>
      </c>
      <c r="AJ29" s="27">
        <v>38.888888888888893</v>
      </c>
      <c r="AK29" s="27">
        <v>38.888888888888893</v>
      </c>
      <c r="AL29" s="27">
        <v>38.888888888888893</v>
      </c>
      <c r="AM29" s="27">
        <v>38.888888888888893</v>
      </c>
      <c r="AN29" s="27">
        <v>38.888888888888893</v>
      </c>
      <c r="AO29" s="27">
        <v>38.888888888888893</v>
      </c>
      <c r="AP29" s="27">
        <v>38.888888888888893</v>
      </c>
      <c r="AQ29" s="27">
        <v>38.888888888888893</v>
      </c>
      <c r="AR29" s="27">
        <v>38.888888888888893</v>
      </c>
      <c r="AS29" s="27">
        <v>38.888888888888893</v>
      </c>
      <c r="AT29" s="27">
        <v>38.888888888888893</v>
      </c>
      <c r="AU29" s="27">
        <v>38.888888888888893</v>
      </c>
      <c r="AV29" s="27">
        <v>38.888888888888893</v>
      </c>
      <c r="AW29" s="27">
        <v>38.888888888888893</v>
      </c>
      <c r="AX29" s="27">
        <v>38.888888888888893</v>
      </c>
      <c r="AY29" s="27">
        <v>38.888888888888893</v>
      </c>
      <c r="AZ29" s="27">
        <v>38.888888888888893</v>
      </c>
      <c r="BA29" s="27">
        <v>38.888888888888893</v>
      </c>
      <c r="BB29" s="27">
        <v>38.888888888888893</v>
      </c>
      <c r="BC29" s="27">
        <v>38.888888888888893</v>
      </c>
      <c r="BD29" s="27">
        <v>38.888888888888893</v>
      </c>
      <c r="BE29" s="27">
        <v>38.888888888888893</v>
      </c>
      <c r="BF29" s="27">
        <v>38.888888888888893</v>
      </c>
      <c r="BG29" s="27">
        <v>38.888888888888893</v>
      </c>
      <c r="BH29" s="27">
        <v>38.888888888888893</v>
      </c>
    </row>
    <row r="30" spans="1:60" ht="21" hidden="1" customHeight="1" outlineLevel="1" x14ac:dyDescent="0.25">
      <c r="A30" s="26" t="s">
        <v>88</v>
      </c>
      <c r="B30" s="27">
        <v>400.5555555555556</v>
      </c>
      <c r="C30" s="27">
        <v>400.5555555555556</v>
      </c>
      <c r="D30" s="27">
        <v>400.5555555555556</v>
      </c>
      <c r="E30" s="27">
        <v>400.5555555555556</v>
      </c>
      <c r="F30" s="27">
        <v>400.5555555555556</v>
      </c>
      <c r="G30" s="27">
        <v>400.5555555555556</v>
      </c>
      <c r="H30" s="27">
        <v>400.5555555555556</v>
      </c>
      <c r="I30" s="27">
        <v>400.5555555555556</v>
      </c>
      <c r="J30" s="27">
        <v>400.5555555555556</v>
      </c>
      <c r="K30" s="27">
        <v>400.5555555555556</v>
      </c>
      <c r="L30" s="27">
        <v>400.5555555555556</v>
      </c>
      <c r="M30" s="27">
        <v>400.5555555555556</v>
      </c>
      <c r="N30" s="27">
        <v>400.5555555555556</v>
      </c>
      <c r="O30" s="27">
        <v>400.5555555555556</v>
      </c>
      <c r="P30" s="27">
        <v>400.5555555555556</v>
      </c>
      <c r="Q30" s="27">
        <v>400.5555555555556</v>
      </c>
      <c r="R30" s="27">
        <v>400.5555555555556</v>
      </c>
      <c r="S30" s="27">
        <v>400.5555555555556</v>
      </c>
      <c r="T30" s="27">
        <v>400.5555555555556</v>
      </c>
      <c r="U30" s="27">
        <v>400.5555555555556</v>
      </c>
      <c r="V30" s="27">
        <v>400.5555555555556</v>
      </c>
      <c r="W30" s="27">
        <v>400.5555555555556</v>
      </c>
      <c r="X30" s="27">
        <v>400.5555555555556</v>
      </c>
      <c r="Y30" s="27">
        <v>400.5555555555556</v>
      </c>
      <c r="Z30" s="27">
        <v>400.5555555555556</v>
      </c>
      <c r="AA30" s="27">
        <v>400.5555555555556</v>
      </c>
      <c r="AB30" s="27">
        <v>400.5555555555556</v>
      </c>
      <c r="AC30" s="27">
        <v>400.5555555555556</v>
      </c>
      <c r="AD30" s="27">
        <v>400.5555555555556</v>
      </c>
      <c r="AE30" s="27">
        <v>400.5555555555556</v>
      </c>
      <c r="AF30" s="27">
        <v>400.5555555555556</v>
      </c>
      <c r="AG30" s="27">
        <v>400.5555555555556</v>
      </c>
      <c r="AH30" s="27">
        <v>400.5555555555556</v>
      </c>
      <c r="AI30" s="27">
        <v>400.5555555555556</v>
      </c>
      <c r="AJ30" s="27">
        <v>400.5555555555556</v>
      </c>
      <c r="AK30" s="27">
        <v>400.5555555555556</v>
      </c>
      <c r="AL30" s="27">
        <v>400.5555555555556</v>
      </c>
      <c r="AM30" s="27">
        <v>400.5555555555556</v>
      </c>
      <c r="AN30" s="27">
        <v>400.5555555555556</v>
      </c>
      <c r="AO30" s="27">
        <v>400.5555555555556</v>
      </c>
      <c r="AP30" s="27">
        <v>400.5555555555556</v>
      </c>
      <c r="AQ30" s="27">
        <v>400.5555555555556</v>
      </c>
      <c r="AR30" s="27">
        <v>400.5555555555556</v>
      </c>
      <c r="AS30" s="27">
        <v>400.5555555555556</v>
      </c>
      <c r="AT30" s="27">
        <v>400.5555555555556</v>
      </c>
      <c r="AU30" s="27">
        <v>400.5555555555556</v>
      </c>
      <c r="AV30" s="27">
        <v>400.5555555555556</v>
      </c>
      <c r="AW30" s="27">
        <v>400.5555555555556</v>
      </c>
      <c r="AX30" s="27">
        <v>400.5555555555556</v>
      </c>
      <c r="AY30" s="27">
        <v>400.5555555555556</v>
      </c>
      <c r="AZ30" s="27">
        <v>400.5555555555556</v>
      </c>
      <c r="BA30" s="27">
        <v>400.5555555555556</v>
      </c>
      <c r="BB30" s="27">
        <v>400.5555555555556</v>
      </c>
      <c r="BC30" s="27">
        <v>400.5555555555556</v>
      </c>
      <c r="BD30" s="27">
        <v>400.5555555555556</v>
      </c>
      <c r="BE30" s="27">
        <v>400.5555555555556</v>
      </c>
      <c r="BF30" s="27">
        <v>400.5555555555556</v>
      </c>
      <c r="BG30" s="27">
        <v>400.5555555555556</v>
      </c>
      <c r="BH30" s="27">
        <v>400.5555555555556</v>
      </c>
    </row>
    <row r="31" spans="1:60" ht="21" hidden="1" customHeight="1" outlineLevel="1" x14ac:dyDescent="0.25">
      <c r="A31" s="26" t="s">
        <v>89</v>
      </c>
      <c r="B31" s="27">
        <v>143.88888888888891</v>
      </c>
      <c r="C31" s="27">
        <v>143.88888888888891</v>
      </c>
      <c r="D31" s="27">
        <v>143.88888888888891</v>
      </c>
      <c r="E31" s="27">
        <v>143.88888888888891</v>
      </c>
      <c r="F31" s="27">
        <v>143.88888888888891</v>
      </c>
      <c r="G31" s="27">
        <v>143.88888888888891</v>
      </c>
      <c r="H31" s="27">
        <v>143.88888888888891</v>
      </c>
      <c r="I31" s="27">
        <v>143.88888888888891</v>
      </c>
      <c r="J31" s="27">
        <v>143.88888888888891</v>
      </c>
      <c r="K31" s="27">
        <v>143.88888888888891</v>
      </c>
      <c r="L31" s="27">
        <v>143.88888888888891</v>
      </c>
      <c r="M31" s="27">
        <v>143.88888888888891</v>
      </c>
      <c r="N31" s="27">
        <v>143.88888888888891</v>
      </c>
      <c r="O31" s="27">
        <v>143.88888888888891</v>
      </c>
      <c r="P31" s="27">
        <v>143.88888888888891</v>
      </c>
      <c r="Q31" s="27">
        <v>143.88888888888891</v>
      </c>
      <c r="R31" s="27">
        <v>143.88888888888891</v>
      </c>
      <c r="S31" s="27">
        <v>143.88888888888891</v>
      </c>
      <c r="T31" s="27">
        <v>143.88888888888891</v>
      </c>
      <c r="U31" s="27">
        <v>143.88888888888891</v>
      </c>
      <c r="V31" s="27">
        <v>143.88888888888891</v>
      </c>
      <c r="W31" s="27">
        <v>143.88888888888891</v>
      </c>
      <c r="X31" s="27">
        <v>143.88888888888891</v>
      </c>
      <c r="Y31" s="27">
        <v>143.88888888888891</v>
      </c>
      <c r="Z31" s="27">
        <v>143.88888888888891</v>
      </c>
      <c r="AA31" s="27">
        <v>143.88888888888891</v>
      </c>
      <c r="AB31" s="27">
        <v>143.88888888888891</v>
      </c>
      <c r="AC31" s="27">
        <v>143.88888888888891</v>
      </c>
      <c r="AD31" s="27">
        <v>143.88888888888891</v>
      </c>
      <c r="AE31" s="27">
        <v>143.88888888888891</v>
      </c>
      <c r="AF31" s="27">
        <v>143.88888888888891</v>
      </c>
      <c r="AG31" s="27">
        <v>143.88888888888891</v>
      </c>
      <c r="AH31" s="27">
        <v>143.88888888888891</v>
      </c>
      <c r="AI31" s="27">
        <v>143.88888888888891</v>
      </c>
      <c r="AJ31" s="27">
        <v>143.88888888888891</v>
      </c>
      <c r="AK31" s="27">
        <v>143.88888888888891</v>
      </c>
      <c r="AL31" s="27">
        <v>143.88888888888891</v>
      </c>
      <c r="AM31" s="27">
        <v>143.88888888888891</v>
      </c>
      <c r="AN31" s="27">
        <v>143.88888888888891</v>
      </c>
      <c r="AO31" s="27">
        <v>143.88888888888891</v>
      </c>
      <c r="AP31" s="27">
        <v>143.88888888888891</v>
      </c>
      <c r="AQ31" s="27">
        <v>143.88888888888891</v>
      </c>
      <c r="AR31" s="27">
        <v>143.88888888888891</v>
      </c>
      <c r="AS31" s="27">
        <v>143.88888888888891</v>
      </c>
      <c r="AT31" s="27">
        <v>143.88888888888891</v>
      </c>
      <c r="AU31" s="27">
        <v>143.88888888888891</v>
      </c>
      <c r="AV31" s="27">
        <v>143.88888888888891</v>
      </c>
      <c r="AW31" s="27">
        <v>143.88888888888891</v>
      </c>
      <c r="AX31" s="27">
        <v>143.88888888888891</v>
      </c>
      <c r="AY31" s="27">
        <v>143.88888888888891</v>
      </c>
      <c r="AZ31" s="27">
        <v>143.88888888888891</v>
      </c>
      <c r="BA31" s="27">
        <v>143.88888888888891</v>
      </c>
      <c r="BB31" s="27">
        <v>143.88888888888891</v>
      </c>
      <c r="BC31" s="27">
        <v>143.88888888888891</v>
      </c>
      <c r="BD31" s="27">
        <v>143.88888888888891</v>
      </c>
      <c r="BE31" s="27">
        <v>143.88888888888891</v>
      </c>
      <c r="BF31" s="27">
        <v>143.88888888888891</v>
      </c>
      <c r="BG31" s="27">
        <v>143.88888888888891</v>
      </c>
      <c r="BH31" s="27">
        <v>143.88888888888891</v>
      </c>
    </row>
    <row r="32" spans="1:60" ht="21" hidden="1" customHeight="1" outlineLevel="1" x14ac:dyDescent="0.25">
      <c r="A32" s="26" t="s">
        <v>90</v>
      </c>
      <c r="B32" s="27">
        <v>163.33372222222224</v>
      </c>
      <c r="C32" s="27">
        <v>163.33372222222224</v>
      </c>
      <c r="D32" s="27">
        <v>163.33372222222224</v>
      </c>
      <c r="E32" s="27">
        <v>163.33372222222224</v>
      </c>
      <c r="F32" s="27">
        <v>163.33372222222224</v>
      </c>
      <c r="G32" s="27">
        <v>163.33372222222224</v>
      </c>
      <c r="H32" s="27">
        <v>163.33372222222224</v>
      </c>
      <c r="I32" s="27">
        <v>163.33372222222224</v>
      </c>
      <c r="J32" s="27">
        <v>163.33372222222224</v>
      </c>
      <c r="K32" s="27">
        <v>163.33372222222224</v>
      </c>
      <c r="L32" s="27">
        <v>163.33372222222224</v>
      </c>
      <c r="M32" s="27">
        <v>163.33372222222224</v>
      </c>
      <c r="N32" s="27">
        <v>163.33372222222224</v>
      </c>
      <c r="O32" s="27">
        <v>163.33372222222224</v>
      </c>
      <c r="P32" s="27">
        <v>163.33372222222224</v>
      </c>
      <c r="Q32" s="27">
        <v>163.33372222222224</v>
      </c>
      <c r="R32" s="27">
        <v>163.33372222222224</v>
      </c>
      <c r="S32" s="27">
        <v>163.33372222222224</v>
      </c>
      <c r="T32" s="27">
        <v>163.33372222222224</v>
      </c>
      <c r="U32" s="27">
        <v>163.33372222222224</v>
      </c>
      <c r="V32" s="27">
        <v>163.33372222222224</v>
      </c>
      <c r="W32" s="27">
        <v>163.33372222222224</v>
      </c>
      <c r="X32" s="27">
        <v>163.33372222222224</v>
      </c>
      <c r="Y32" s="27">
        <v>163.33372222222224</v>
      </c>
      <c r="Z32" s="27">
        <v>163.33372222222224</v>
      </c>
      <c r="AA32" s="27">
        <v>163.33372222222224</v>
      </c>
      <c r="AB32" s="27">
        <v>163.33372222222224</v>
      </c>
      <c r="AC32" s="27">
        <v>163.33372222222224</v>
      </c>
      <c r="AD32" s="27">
        <v>163.33372222222224</v>
      </c>
      <c r="AE32" s="27">
        <v>163.33372222222224</v>
      </c>
      <c r="AF32" s="27">
        <v>163.33372222222224</v>
      </c>
      <c r="AG32" s="27">
        <v>163.33372222222224</v>
      </c>
      <c r="AH32" s="27">
        <v>163.33372222222224</v>
      </c>
      <c r="AI32" s="27">
        <v>163.33372222222224</v>
      </c>
      <c r="AJ32" s="27">
        <v>163.33372222222224</v>
      </c>
      <c r="AK32" s="27">
        <v>163.33372222222224</v>
      </c>
      <c r="AL32" s="27">
        <v>163.33372222222224</v>
      </c>
      <c r="AM32" s="27">
        <v>163.33372222222224</v>
      </c>
      <c r="AN32" s="27">
        <v>163.33372222222224</v>
      </c>
      <c r="AO32" s="27">
        <v>163.33372222222224</v>
      </c>
      <c r="AP32" s="27">
        <v>163.33372222222224</v>
      </c>
      <c r="AQ32" s="27">
        <v>163.33372222222224</v>
      </c>
      <c r="AR32" s="27">
        <v>163.33372222222224</v>
      </c>
      <c r="AS32" s="27">
        <v>163.33372222222224</v>
      </c>
      <c r="AT32" s="27">
        <v>163.33372222222224</v>
      </c>
      <c r="AU32" s="27">
        <v>163.33372222222224</v>
      </c>
      <c r="AV32" s="27">
        <v>163.33372222222224</v>
      </c>
      <c r="AW32" s="27">
        <v>163.33372222222224</v>
      </c>
      <c r="AX32" s="27">
        <v>163.33372222222224</v>
      </c>
      <c r="AY32" s="27">
        <v>163.33372222222224</v>
      </c>
      <c r="AZ32" s="27">
        <v>163.33372222222224</v>
      </c>
      <c r="BA32" s="27">
        <v>163.33372222222224</v>
      </c>
      <c r="BB32" s="27">
        <v>163.33372222222224</v>
      </c>
      <c r="BC32" s="27">
        <v>163.33372222222224</v>
      </c>
      <c r="BD32" s="27">
        <v>163.33372222222224</v>
      </c>
      <c r="BE32" s="27">
        <v>163.33372222222224</v>
      </c>
      <c r="BF32" s="27">
        <v>163.33372222222224</v>
      </c>
      <c r="BG32" s="27">
        <v>163.33372222222224</v>
      </c>
      <c r="BH32" s="27">
        <v>163.33372222222224</v>
      </c>
    </row>
    <row r="33" spans="1:60" ht="21" customHeight="1" collapsed="1" x14ac:dyDescent="0.25">
      <c r="A33" s="26" t="s">
        <v>91</v>
      </c>
      <c r="B33" s="27">
        <v>15.641850000000002</v>
      </c>
      <c r="C33" s="27">
        <v>15.641850000000002</v>
      </c>
      <c r="D33" s="27">
        <v>15.641850000000002</v>
      </c>
      <c r="E33" s="27">
        <v>15.641850000000002</v>
      </c>
      <c r="F33" s="27">
        <v>15.641850000000002</v>
      </c>
      <c r="G33" s="27">
        <v>15.641850000000002</v>
      </c>
      <c r="H33" s="27">
        <v>15.641850000000002</v>
      </c>
      <c r="I33" s="27">
        <v>15.641850000000002</v>
      </c>
      <c r="J33" s="27">
        <v>15.641850000000002</v>
      </c>
      <c r="K33" s="27">
        <v>15.641850000000002</v>
      </c>
      <c r="L33" s="27">
        <v>15.641850000000002</v>
      </c>
      <c r="M33" s="27">
        <v>15.641850000000002</v>
      </c>
      <c r="N33" s="27">
        <v>15.641850000000002</v>
      </c>
      <c r="O33" s="27">
        <v>15.641850000000002</v>
      </c>
      <c r="P33" s="27">
        <v>15.641850000000002</v>
      </c>
      <c r="Q33" s="27">
        <v>15.641850000000002</v>
      </c>
      <c r="R33" s="27">
        <v>15.641850000000002</v>
      </c>
      <c r="S33" s="27">
        <v>15.641850000000002</v>
      </c>
      <c r="T33" s="27">
        <v>15.641850000000002</v>
      </c>
      <c r="U33" s="27">
        <v>15.641850000000002</v>
      </c>
      <c r="V33" s="27">
        <v>15.641850000000002</v>
      </c>
      <c r="W33" s="27">
        <v>15.641850000000002</v>
      </c>
      <c r="X33" s="27">
        <v>15.641850000000002</v>
      </c>
      <c r="Y33" s="27">
        <v>15.641850000000002</v>
      </c>
      <c r="Z33" s="27">
        <v>15.641850000000002</v>
      </c>
      <c r="AA33" s="27">
        <v>15.641850000000002</v>
      </c>
      <c r="AB33" s="27">
        <v>15.641850000000002</v>
      </c>
      <c r="AC33" s="27">
        <v>15.641850000000002</v>
      </c>
      <c r="AD33" s="27">
        <v>15.641850000000002</v>
      </c>
      <c r="AE33" s="27">
        <v>15.641850000000002</v>
      </c>
      <c r="AF33" s="27">
        <v>15.641850000000002</v>
      </c>
      <c r="AG33" s="27">
        <v>15.641850000000002</v>
      </c>
      <c r="AH33" s="27">
        <v>15.641850000000002</v>
      </c>
      <c r="AI33" s="27">
        <v>15.641850000000002</v>
      </c>
      <c r="AJ33" s="27">
        <v>15.641850000000002</v>
      </c>
      <c r="AK33" s="27">
        <v>15.641850000000002</v>
      </c>
      <c r="AL33" s="27">
        <v>15.641850000000002</v>
      </c>
      <c r="AM33" s="27">
        <v>15.641850000000002</v>
      </c>
      <c r="AN33" s="27">
        <v>15.641850000000002</v>
      </c>
      <c r="AO33" s="27">
        <v>15.641850000000002</v>
      </c>
      <c r="AP33" s="27">
        <v>15.641850000000002</v>
      </c>
      <c r="AQ33" s="27">
        <v>15.641850000000002</v>
      </c>
      <c r="AR33" s="27">
        <v>15.641850000000002</v>
      </c>
      <c r="AS33" s="27">
        <v>15.641850000000002</v>
      </c>
      <c r="AT33" s="27">
        <v>15.641850000000002</v>
      </c>
      <c r="AU33" s="27">
        <v>15.641850000000002</v>
      </c>
      <c r="AV33" s="27">
        <v>15.641850000000002</v>
      </c>
      <c r="AW33" s="27">
        <v>15.641850000000002</v>
      </c>
      <c r="AX33" s="27">
        <v>15.641850000000002</v>
      </c>
      <c r="AY33" s="27">
        <v>15.641850000000002</v>
      </c>
      <c r="AZ33" s="27">
        <v>15.641850000000002</v>
      </c>
      <c r="BA33" s="27">
        <v>15.641850000000002</v>
      </c>
      <c r="BB33" s="27">
        <v>15.641850000000002</v>
      </c>
      <c r="BC33" s="27">
        <v>15.641850000000002</v>
      </c>
      <c r="BD33" s="27">
        <v>15.641850000000002</v>
      </c>
      <c r="BE33" s="27">
        <v>15.641850000000002</v>
      </c>
      <c r="BF33" s="27">
        <v>15.641850000000002</v>
      </c>
      <c r="BG33" s="27">
        <v>15.641850000000002</v>
      </c>
      <c r="BH33" s="27">
        <v>15.641850000000002</v>
      </c>
    </row>
    <row r="34" spans="1:60" ht="21" customHeight="1" x14ac:dyDescent="0.25">
      <c r="A34" s="26" t="s">
        <v>92</v>
      </c>
      <c r="B34" s="27">
        <v>85.921398888888888</v>
      </c>
      <c r="C34" s="27">
        <v>85.921398888888888</v>
      </c>
      <c r="D34" s="27">
        <v>85.921398888888888</v>
      </c>
      <c r="E34" s="27">
        <v>85.921398888888888</v>
      </c>
      <c r="F34" s="27">
        <v>85.921398888888888</v>
      </c>
      <c r="G34" s="27">
        <v>85.921398888888888</v>
      </c>
      <c r="H34" s="27">
        <v>85.921398888888888</v>
      </c>
      <c r="I34" s="27">
        <v>85.921398888888888</v>
      </c>
      <c r="J34" s="27">
        <v>85.921398888888888</v>
      </c>
      <c r="K34" s="27">
        <v>85.921398888888888</v>
      </c>
      <c r="L34" s="27">
        <v>85.921398888888888</v>
      </c>
      <c r="M34" s="27">
        <v>85.921398888888888</v>
      </c>
      <c r="N34" s="27">
        <v>85.921398888888888</v>
      </c>
      <c r="O34" s="27">
        <v>85.921398888888888</v>
      </c>
      <c r="P34" s="27">
        <v>85.921398888888888</v>
      </c>
      <c r="Q34" s="27">
        <v>85.921398888888888</v>
      </c>
      <c r="R34" s="27">
        <v>85.921398888888888</v>
      </c>
      <c r="S34" s="27">
        <v>85.921398888888888</v>
      </c>
      <c r="T34" s="27">
        <v>85.921398888888888</v>
      </c>
      <c r="U34" s="27">
        <v>85.921398888888888</v>
      </c>
      <c r="V34" s="27">
        <v>85.921398888888888</v>
      </c>
      <c r="W34" s="27">
        <v>85.921398888888888</v>
      </c>
      <c r="X34" s="27">
        <v>85.921398888888888</v>
      </c>
      <c r="Y34" s="27">
        <v>85.921398888888888</v>
      </c>
      <c r="Z34" s="27">
        <v>85.921398888888888</v>
      </c>
      <c r="AA34" s="27">
        <v>85.921398888888888</v>
      </c>
      <c r="AB34" s="27">
        <v>85.921398888888888</v>
      </c>
      <c r="AC34" s="27">
        <v>85.921398888888888</v>
      </c>
      <c r="AD34" s="27">
        <v>85.921398888888888</v>
      </c>
      <c r="AE34" s="27">
        <v>85.921398888888888</v>
      </c>
      <c r="AF34" s="27">
        <v>85.921398888888888</v>
      </c>
      <c r="AG34" s="27">
        <v>85.921398888888888</v>
      </c>
      <c r="AH34" s="27">
        <v>85.921398888888888</v>
      </c>
      <c r="AI34" s="27">
        <v>85.921398888888888</v>
      </c>
      <c r="AJ34" s="27">
        <v>85.921398888888888</v>
      </c>
      <c r="AK34" s="27">
        <v>85.921398888888888</v>
      </c>
      <c r="AL34" s="27">
        <v>85.921398888888888</v>
      </c>
      <c r="AM34" s="27">
        <v>85.921398888888888</v>
      </c>
      <c r="AN34" s="27">
        <v>85.921398888888888</v>
      </c>
      <c r="AO34" s="27">
        <v>85.921398888888888</v>
      </c>
      <c r="AP34" s="27">
        <v>85.921398888888888</v>
      </c>
      <c r="AQ34" s="27">
        <v>85.921398888888888</v>
      </c>
      <c r="AR34" s="27">
        <v>85.921398888888888</v>
      </c>
      <c r="AS34" s="27">
        <v>85.921398888888888</v>
      </c>
      <c r="AT34" s="27">
        <v>85.921398888888888</v>
      </c>
      <c r="AU34" s="27">
        <v>85.921398888888888</v>
      </c>
      <c r="AV34" s="27">
        <v>85.921398888888888</v>
      </c>
      <c r="AW34" s="27">
        <v>85.921398888888888</v>
      </c>
      <c r="AX34" s="27">
        <v>85.921398888888888</v>
      </c>
      <c r="AY34" s="27">
        <v>85.921398888888888</v>
      </c>
      <c r="AZ34" s="27">
        <v>85.921398888888888</v>
      </c>
      <c r="BA34" s="27">
        <v>85.921398888888888</v>
      </c>
      <c r="BB34" s="27">
        <v>85.921398888888888</v>
      </c>
      <c r="BC34" s="27">
        <v>85.921398888888888</v>
      </c>
      <c r="BD34" s="27">
        <v>85.921398888888888</v>
      </c>
      <c r="BE34" s="27">
        <v>85.921398888888888</v>
      </c>
      <c r="BF34" s="27">
        <v>85.921398888888888</v>
      </c>
      <c r="BG34" s="27">
        <v>85.921398888888888</v>
      </c>
      <c r="BH34" s="27">
        <v>85.921398888888888</v>
      </c>
    </row>
    <row r="35" spans="1:60" ht="21" customHeight="1" x14ac:dyDescent="0.25">
      <c r="A35" s="28" t="s">
        <v>93</v>
      </c>
      <c r="B35" s="29">
        <v>10534754.140000001</v>
      </c>
      <c r="C35" s="29">
        <v>10537985.118628936</v>
      </c>
      <c r="D35" s="29">
        <v>10541217.088189673</v>
      </c>
      <c r="E35" s="29">
        <v>10544450.048986126</v>
      </c>
      <c r="F35" s="29">
        <v>10547684.001322307</v>
      </c>
      <c r="G35" s="29">
        <v>10550918.945502317</v>
      </c>
      <c r="H35" s="29">
        <v>10554154.881830351</v>
      </c>
      <c r="I35" s="29">
        <v>10557391.8106107</v>
      </c>
      <c r="J35" s="29">
        <v>10560629.732147744</v>
      </c>
      <c r="K35" s="29">
        <v>10563868.646745959</v>
      </c>
      <c r="L35" s="29">
        <v>10567108.554709915</v>
      </c>
      <c r="M35" s="29">
        <v>10570349.456344275</v>
      </c>
      <c r="N35" s="29">
        <v>10573591.351953793</v>
      </c>
      <c r="O35" s="29">
        <v>10576834.241843319</v>
      </c>
      <c r="P35" s="29">
        <v>10580078.126317795</v>
      </c>
      <c r="Q35" s="29">
        <v>10583323.00568226</v>
      </c>
      <c r="R35" s="29">
        <v>10586568.880241841</v>
      </c>
      <c r="S35" s="29">
        <v>10589815.750301763</v>
      </c>
      <c r="T35" s="29">
        <v>10593063.616167342</v>
      </c>
      <c r="U35" s="29">
        <v>10596312.47814399</v>
      </c>
      <c r="V35" s="29">
        <v>10599562.33653721</v>
      </c>
      <c r="W35" s="29">
        <v>10602813.191652602</v>
      </c>
      <c r="X35" s="29">
        <v>10606065.043795856</v>
      </c>
      <c r="Y35" s="29">
        <v>10609317.893272758</v>
      </c>
      <c r="Z35" s="29">
        <v>10612571.740389187</v>
      </c>
      <c r="AA35" s="29">
        <v>10615826.585451117</v>
      </c>
      <c r="AB35" s="29">
        <v>10619082.428764615</v>
      </c>
      <c r="AC35" s="29">
        <v>10622339.270635841</v>
      </c>
      <c r="AD35" s="29">
        <v>10625597.111371052</v>
      </c>
      <c r="AE35" s="29">
        <v>10628855.951276593</v>
      </c>
      <c r="AF35" s="29">
        <v>10632115.79065891</v>
      </c>
      <c r="AG35" s="29">
        <v>10635376.629824538</v>
      </c>
      <c r="AH35" s="29">
        <v>10638638.469080107</v>
      </c>
      <c r="AI35" s="29">
        <v>10641901.308732344</v>
      </c>
      <c r="AJ35" s="29">
        <v>10645165.149088066</v>
      </c>
      <c r="AK35" s="29">
        <v>10648429.990454188</v>
      </c>
      <c r="AL35" s="29">
        <v>10651695.833137713</v>
      </c>
      <c r="AM35" s="29">
        <v>10654962.677445745</v>
      </c>
      <c r="AN35" s="29">
        <v>10658230.52368548</v>
      </c>
      <c r="AO35" s="29">
        <v>10661499.372164205</v>
      </c>
      <c r="AP35" s="29">
        <v>10664769.223189306</v>
      </c>
      <c r="AQ35" s="29">
        <v>10668040.07706826</v>
      </c>
      <c r="AR35" s="29">
        <v>10671311.934108639</v>
      </c>
      <c r="AS35" s="29">
        <v>10674584.794618111</v>
      </c>
      <c r="AT35" s="29">
        <v>10677858.658904437</v>
      </c>
      <c r="AU35" s="29">
        <v>10681133.527275471</v>
      </c>
      <c r="AV35" s="29">
        <v>10684409.400039164</v>
      </c>
      <c r="AW35" s="29">
        <v>10687686.277503559</v>
      </c>
      <c r="AX35" s="29">
        <v>10690964.159976797</v>
      </c>
      <c r="AY35" s="29">
        <v>10694243.04776711</v>
      </c>
      <c r="AZ35" s="29">
        <v>10697522.941182826</v>
      </c>
      <c r="BA35" s="29">
        <v>10700803.840532366</v>
      </c>
      <c r="BB35" s="29">
        <v>10704085.746124249</v>
      </c>
      <c r="BC35" s="29">
        <v>10707368.658267086</v>
      </c>
      <c r="BD35" s="29">
        <v>10710652.577269584</v>
      </c>
      <c r="BE35" s="29">
        <v>10713937.503440542</v>
      </c>
      <c r="BF35" s="29">
        <v>10717223.437088858</v>
      </c>
      <c r="BG35" s="29">
        <v>10720510.378523521</v>
      </c>
      <c r="BH35" s="29">
        <v>10723798.328053616</v>
      </c>
    </row>
    <row r="36" spans="1:60" ht="21" customHeight="1" x14ac:dyDescent="0.25">
      <c r="A36" s="30" t="s">
        <v>94</v>
      </c>
      <c r="B36" s="31">
        <v>0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0</v>
      </c>
      <c r="AY36" s="3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</row>
    <row r="37" spans="1:60" ht="21" customHeight="1" x14ac:dyDescent="0.25">
      <c r="A37" s="32" t="s">
        <v>95</v>
      </c>
      <c r="B37" s="33">
        <v>10534754.140000001</v>
      </c>
      <c r="C37" s="33">
        <v>10534754.140000001</v>
      </c>
      <c r="D37" s="33">
        <v>10534754.140000001</v>
      </c>
      <c r="E37" s="33">
        <v>10534754.140000001</v>
      </c>
      <c r="F37" s="33">
        <v>10534754.140000001</v>
      </c>
      <c r="G37" s="33">
        <v>10534754.140000001</v>
      </c>
      <c r="H37" s="33">
        <v>10534754.140000001</v>
      </c>
      <c r="I37" s="33">
        <v>10534754.140000001</v>
      </c>
      <c r="J37" s="33">
        <v>10534754.140000001</v>
      </c>
      <c r="K37" s="33">
        <v>10534754.140000001</v>
      </c>
      <c r="L37" s="33">
        <v>10534754.140000001</v>
      </c>
      <c r="M37" s="33">
        <v>10534754.140000001</v>
      </c>
      <c r="N37" s="33">
        <v>10534754.140000001</v>
      </c>
      <c r="O37" s="33">
        <v>10534754.140000001</v>
      </c>
      <c r="P37" s="33">
        <v>10534754.140000001</v>
      </c>
      <c r="Q37" s="33">
        <v>10534754.140000001</v>
      </c>
      <c r="R37" s="33">
        <v>10534754.140000001</v>
      </c>
      <c r="S37" s="33">
        <v>10534754.140000001</v>
      </c>
      <c r="T37" s="33">
        <v>10534754.140000001</v>
      </c>
      <c r="U37" s="33">
        <v>10534754.140000001</v>
      </c>
      <c r="V37" s="33">
        <v>10534754.140000001</v>
      </c>
      <c r="W37" s="33">
        <v>10534754.140000001</v>
      </c>
      <c r="X37" s="33">
        <v>10534754.140000001</v>
      </c>
      <c r="Y37" s="33">
        <v>10534754.140000001</v>
      </c>
      <c r="Z37" s="33">
        <v>10534754.140000001</v>
      </c>
      <c r="AA37" s="33">
        <v>10534754.140000001</v>
      </c>
      <c r="AB37" s="33">
        <v>10534754.140000001</v>
      </c>
      <c r="AC37" s="33">
        <v>10534754.140000001</v>
      </c>
      <c r="AD37" s="33">
        <v>10534754.140000001</v>
      </c>
      <c r="AE37" s="33">
        <v>10534754.140000001</v>
      </c>
      <c r="AF37" s="33">
        <v>10534754.140000001</v>
      </c>
      <c r="AG37" s="33">
        <v>10534754.140000001</v>
      </c>
      <c r="AH37" s="33">
        <v>10534754.140000001</v>
      </c>
      <c r="AI37" s="33">
        <v>10534754.140000001</v>
      </c>
      <c r="AJ37" s="33">
        <v>10534754.140000001</v>
      </c>
      <c r="AK37" s="33">
        <v>10534754.140000001</v>
      </c>
      <c r="AL37" s="33">
        <v>10534754.140000001</v>
      </c>
      <c r="AM37" s="33">
        <v>10534754.140000001</v>
      </c>
      <c r="AN37" s="33">
        <v>10534754.140000001</v>
      </c>
      <c r="AO37" s="33">
        <v>10534754.140000001</v>
      </c>
      <c r="AP37" s="33">
        <v>10534754.140000001</v>
      </c>
      <c r="AQ37" s="33">
        <v>10534754.140000001</v>
      </c>
      <c r="AR37" s="33">
        <v>10534754.140000001</v>
      </c>
      <c r="AS37" s="33">
        <v>10534754.140000001</v>
      </c>
      <c r="AT37" s="33">
        <v>10534754.140000001</v>
      </c>
      <c r="AU37" s="33">
        <v>10534754.140000001</v>
      </c>
      <c r="AV37" s="33">
        <v>10534754.140000001</v>
      </c>
      <c r="AW37" s="33">
        <v>10534754.140000001</v>
      </c>
      <c r="AX37" s="33">
        <v>10534754.140000001</v>
      </c>
      <c r="AY37" s="33">
        <v>10534754.140000001</v>
      </c>
      <c r="AZ37" s="33">
        <v>10534754.140000001</v>
      </c>
      <c r="BA37" s="33">
        <v>10534754.140000001</v>
      </c>
      <c r="BB37" s="33">
        <v>10534754.140000001</v>
      </c>
      <c r="BC37" s="33">
        <v>10534754.140000001</v>
      </c>
      <c r="BD37" s="33">
        <v>10534754.140000001</v>
      </c>
      <c r="BE37" s="33">
        <v>10534754.140000001</v>
      </c>
      <c r="BF37" s="33">
        <v>10534754.140000001</v>
      </c>
      <c r="BG37" s="33">
        <v>10534754.140000001</v>
      </c>
      <c r="BH37" s="33">
        <v>10534754.140000001</v>
      </c>
    </row>
    <row r="38" spans="1:60" ht="21" customHeight="1" x14ac:dyDescent="0.25">
      <c r="A38" s="32" t="s">
        <v>96</v>
      </c>
      <c r="B38" s="33">
        <v>10534754.140000001</v>
      </c>
      <c r="C38" s="33">
        <v>10534754.140000001</v>
      </c>
      <c r="D38" s="33">
        <v>10534754.140000001</v>
      </c>
      <c r="E38" s="33">
        <v>10534754.140000001</v>
      </c>
      <c r="F38" s="33">
        <v>10534754.140000001</v>
      </c>
      <c r="G38" s="33">
        <v>10534754.140000001</v>
      </c>
      <c r="H38" s="33">
        <v>10534754.140000001</v>
      </c>
      <c r="I38" s="33">
        <v>10534754.140000001</v>
      </c>
      <c r="J38" s="33">
        <v>10534754.140000001</v>
      </c>
      <c r="K38" s="33">
        <v>10534754.140000001</v>
      </c>
      <c r="L38" s="33">
        <v>10534754.140000001</v>
      </c>
      <c r="M38" s="33">
        <v>10534754.140000001</v>
      </c>
      <c r="N38" s="33">
        <v>10534754.140000001</v>
      </c>
      <c r="O38" s="33">
        <v>10534754.140000001</v>
      </c>
      <c r="P38" s="33">
        <v>10534754.140000001</v>
      </c>
      <c r="Q38" s="33">
        <v>10534754.140000001</v>
      </c>
      <c r="R38" s="33">
        <v>10534754.140000001</v>
      </c>
      <c r="S38" s="33">
        <v>10534754.140000001</v>
      </c>
      <c r="T38" s="33">
        <v>10534754.140000001</v>
      </c>
      <c r="U38" s="33">
        <v>10534754.140000001</v>
      </c>
      <c r="V38" s="33">
        <v>10534754.140000001</v>
      </c>
      <c r="W38" s="33">
        <v>10534754.140000001</v>
      </c>
      <c r="X38" s="33">
        <v>10534754.140000001</v>
      </c>
      <c r="Y38" s="33">
        <v>10534754.140000001</v>
      </c>
      <c r="Z38" s="33">
        <v>10534754.140000001</v>
      </c>
      <c r="AA38" s="33">
        <v>10534754.140000001</v>
      </c>
      <c r="AB38" s="33">
        <v>10534754.140000001</v>
      </c>
      <c r="AC38" s="33">
        <v>10534754.140000001</v>
      </c>
      <c r="AD38" s="33">
        <v>10534754.140000001</v>
      </c>
      <c r="AE38" s="33">
        <v>10534754.140000001</v>
      </c>
      <c r="AF38" s="33">
        <v>10534754.140000001</v>
      </c>
      <c r="AG38" s="33">
        <v>10534754.140000001</v>
      </c>
      <c r="AH38" s="33">
        <v>10534754.140000001</v>
      </c>
      <c r="AI38" s="33">
        <v>10534754.140000001</v>
      </c>
      <c r="AJ38" s="33">
        <v>10534754.140000001</v>
      </c>
      <c r="AK38" s="33">
        <v>10534754.140000001</v>
      </c>
      <c r="AL38" s="33">
        <v>10534754.140000001</v>
      </c>
      <c r="AM38" s="33">
        <v>10534754.140000001</v>
      </c>
      <c r="AN38" s="33">
        <v>10534754.140000001</v>
      </c>
      <c r="AO38" s="33">
        <v>10534754.140000001</v>
      </c>
      <c r="AP38" s="33">
        <v>10534754.140000001</v>
      </c>
      <c r="AQ38" s="33">
        <v>10534754.140000001</v>
      </c>
      <c r="AR38" s="33">
        <v>10534754.140000001</v>
      </c>
      <c r="AS38" s="33">
        <v>10534754.140000001</v>
      </c>
      <c r="AT38" s="33">
        <v>10534754.140000001</v>
      </c>
      <c r="AU38" s="33">
        <v>10534754.140000001</v>
      </c>
      <c r="AV38" s="33">
        <v>10534754.140000001</v>
      </c>
      <c r="AW38" s="33">
        <v>10534754.140000001</v>
      </c>
      <c r="AX38" s="33">
        <v>10534754.140000001</v>
      </c>
      <c r="AY38" s="33">
        <v>10534754.140000001</v>
      </c>
      <c r="AZ38" s="33">
        <v>10534754.140000001</v>
      </c>
      <c r="BA38" s="33">
        <v>10534754.140000001</v>
      </c>
      <c r="BB38" s="33">
        <v>10534754.140000001</v>
      </c>
      <c r="BC38" s="33">
        <v>10534754.140000001</v>
      </c>
      <c r="BD38" s="33">
        <v>10534754.140000001</v>
      </c>
      <c r="BE38" s="33">
        <v>10534754.140000001</v>
      </c>
      <c r="BF38" s="33">
        <v>10534754.140000001</v>
      </c>
      <c r="BG38" s="33">
        <v>10534754.140000001</v>
      </c>
      <c r="BH38" s="33">
        <v>10534754.140000001</v>
      </c>
    </row>
    <row r="39" spans="1:60" ht="21" customHeight="1" x14ac:dyDescent="0.25">
      <c r="A39" s="30" t="s">
        <v>97</v>
      </c>
      <c r="B39" s="31">
        <v>0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</row>
    <row r="40" spans="1:60" ht="21" customHeight="1" x14ac:dyDescent="0.25">
      <c r="A40" s="32" t="s">
        <v>98</v>
      </c>
      <c r="B40" s="33">
        <v>10534754.140000001</v>
      </c>
      <c r="C40" s="33">
        <v>10534754.140000001</v>
      </c>
      <c r="D40" s="33">
        <v>10534754.140000001</v>
      </c>
      <c r="E40" s="33">
        <v>10534754.140000001</v>
      </c>
      <c r="F40" s="33">
        <v>10534754.140000001</v>
      </c>
      <c r="G40" s="33">
        <v>10534754.140000001</v>
      </c>
      <c r="H40" s="33">
        <v>10534754.140000001</v>
      </c>
      <c r="I40" s="33">
        <v>10534754.140000001</v>
      </c>
      <c r="J40" s="33">
        <v>10534754.140000001</v>
      </c>
      <c r="K40" s="33">
        <v>10534754.140000001</v>
      </c>
      <c r="L40" s="33">
        <v>10534754.140000001</v>
      </c>
      <c r="M40" s="33">
        <v>10534754.140000001</v>
      </c>
      <c r="N40" s="33">
        <v>10534754.140000001</v>
      </c>
      <c r="O40" s="33">
        <v>10534754.140000001</v>
      </c>
      <c r="P40" s="33">
        <v>10534754.140000001</v>
      </c>
      <c r="Q40" s="33">
        <v>10534754.140000001</v>
      </c>
      <c r="R40" s="33">
        <v>10534754.140000001</v>
      </c>
      <c r="S40" s="33">
        <v>10534754.140000001</v>
      </c>
      <c r="T40" s="33">
        <v>10534754.140000001</v>
      </c>
      <c r="U40" s="33">
        <v>10534754.140000001</v>
      </c>
      <c r="V40" s="33">
        <v>10534754.140000001</v>
      </c>
      <c r="W40" s="33">
        <v>10534754.140000001</v>
      </c>
      <c r="X40" s="33">
        <v>10534754.140000001</v>
      </c>
      <c r="Y40" s="33">
        <v>10534754.140000001</v>
      </c>
      <c r="Z40" s="33">
        <v>10534754.140000001</v>
      </c>
      <c r="AA40" s="33">
        <v>10534754.140000001</v>
      </c>
      <c r="AB40" s="33">
        <v>10534754.140000001</v>
      </c>
      <c r="AC40" s="33">
        <v>10534754.140000001</v>
      </c>
      <c r="AD40" s="33">
        <v>10534754.140000001</v>
      </c>
      <c r="AE40" s="33">
        <v>10534754.140000001</v>
      </c>
      <c r="AF40" s="33">
        <v>10534754.140000001</v>
      </c>
      <c r="AG40" s="33">
        <v>10534754.140000001</v>
      </c>
      <c r="AH40" s="33">
        <v>10534754.140000001</v>
      </c>
      <c r="AI40" s="33">
        <v>10534754.140000001</v>
      </c>
      <c r="AJ40" s="33">
        <v>10534754.140000001</v>
      </c>
      <c r="AK40" s="33">
        <v>10534754.140000001</v>
      </c>
      <c r="AL40" s="33">
        <v>10534754.140000001</v>
      </c>
      <c r="AM40" s="33">
        <v>10534754.140000001</v>
      </c>
      <c r="AN40" s="33">
        <v>10534754.140000001</v>
      </c>
      <c r="AO40" s="33">
        <v>10534754.140000001</v>
      </c>
      <c r="AP40" s="33">
        <v>10534754.140000001</v>
      </c>
      <c r="AQ40" s="33">
        <v>10534754.140000001</v>
      </c>
      <c r="AR40" s="33">
        <v>10534754.140000001</v>
      </c>
      <c r="AS40" s="33">
        <v>10534754.140000001</v>
      </c>
      <c r="AT40" s="33">
        <v>10534754.140000001</v>
      </c>
      <c r="AU40" s="33">
        <v>10534754.140000001</v>
      </c>
      <c r="AV40" s="33">
        <v>10534754.140000001</v>
      </c>
      <c r="AW40" s="33">
        <v>10534754.140000001</v>
      </c>
      <c r="AX40" s="33">
        <v>10534754.140000001</v>
      </c>
      <c r="AY40" s="33">
        <v>10534754.140000001</v>
      </c>
      <c r="AZ40" s="33">
        <v>10534754.140000001</v>
      </c>
      <c r="BA40" s="33">
        <v>10534754.140000001</v>
      </c>
      <c r="BB40" s="33">
        <v>10534754.140000001</v>
      </c>
      <c r="BC40" s="33">
        <v>10534754.140000001</v>
      </c>
      <c r="BD40" s="33">
        <v>10534754.140000001</v>
      </c>
      <c r="BE40" s="33">
        <v>10534754.140000001</v>
      </c>
      <c r="BF40" s="33">
        <v>10534754.140000001</v>
      </c>
      <c r="BG40" s="33">
        <v>10534754.140000001</v>
      </c>
      <c r="BH40" s="33">
        <v>10534754.140000001</v>
      </c>
    </row>
    <row r="41" spans="1:60" ht="24" customHeight="1" x14ac:dyDescent="0.25">
      <c r="A41" s="19" t="s">
        <v>99</v>
      </c>
      <c r="B41" s="20">
        <v>1</v>
      </c>
      <c r="C41" s="20">
        <v>1.000306697108067</v>
      </c>
      <c r="D41" s="20">
        <v>1.0006134882792501</v>
      </c>
      <c r="E41" s="20">
        <v>1.0009203735423982</v>
      </c>
      <c r="F41" s="20">
        <v>1.0012273529263689</v>
      </c>
      <c r="G41" s="20">
        <v>1.001534426460029</v>
      </c>
      <c r="H41" s="20">
        <v>1.0018415941722538</v>
      </c>
      <c r="I41" s="20">
        <v>1.0021488560919278</v>
      </c>
      <c r="J41" s="20">
        <v>1.0024562122479437</v>
      </c>
      <c r="K41" s="20">
        <v>1.0027636626692038</v>
      </c>
      <c r="L41" s="20">
        <v>1.0030712073846191</v>
      </c>
      <c r="M41" s="20">
        <v>1.0033788464231093</v>
      </c>
      <c r="N41" s="20">
        <v>1.0036865798136028</v>
      </c>
      <c r="O41" s="20">
        <v>1.0039944075850371</v>
      </c>
      <c r="P41" s="20">
        <v>1.0043023297663589</v>
      </c>
      <c r="Q41" s="20">
        <v>1.0046103463865232</v>
      </c>
      <c r="R41" s="20">
        <v>1.004918457474494</v>
      </c>
      <c r="S41" s="20">
        <v>1.0052266630592446</v>
      </c>
      <c r="T41" s="20">
        <v>1.0055349631697568</v>
      </c>
      <c r="U41" s="20">
        <v>1.005843357835021</v>
      </c>
      <c r="V41" s="20">
        <v>1.0061518470840374</v>
      </c>
      <c r="W41" s="20">
        <v>1.0064604309458143</v>
      </c>
      <c r="X41" s="20">
        <v>1.0067691094493691</v>
      </c>
      <c r="Y41" s="20">
        <v>1.0070778826237283</v>
      </c>
      <c r="Z41" s="20">
        <v>1.0073867504979273</v>
      </c>
      <c r="AA41" s="20">
        <v>1.0076957131010098</v>
      </c>
      <c r="AB41" s="20">
        <v>1.0080047704620294</v>
      </c>
      <c r="AC41" s="20">
        <v>1.0083139226100477</v>
      </c>
      <c r="AD41" s="20">
        <v>1.0086231695741359</v>
      </c>
      <c r="AE41" s="20">
        <v>1.0089325113833736</v>
      </c>
      <c r="AF41" s="20">
        <v>1.0092419480668497</v>
      </c>
      <c r="AG41" s="20">
        <v>1.0095514796536615</v>
      </c>
      <c r="AH41" s="20">
        <v>1.0098611061729161</v>
      </c>
      <c r="AI41" s="20">
        <v>1.0101708276537285</v>
      </c>
      <c r="AJ41" s="20">
        <v>1.0104806441252236</v>
      </c>
      <c r="AK41" s="20">
        <v>1.0107905556165344</v>
      </c>
      <c r="AL41" s="20">
        <v>1.0111005621568034</v>
      </c>
      <c r="AM41" s="20">
        <v>1.0114106637751819</v>
      </c>
      <c r="AN41" s="20">
        <v>1.0117208605008299</v>
      </c>
      <c r="AO41" s="20">
        <v>1.0120311523629164</v>
      </c>
      <c r="AP41" s="20">
        <v>1.0123415393906199</v>
      </c>
      <c r="AQ41" s="20">
        <v>1.012652021613127</v>
      </c>
      <c r="AR41" s="20">
        <v>1.0129625990596338</v>
      </c>
      <c r="AS41" s="20">
        <v>1.0132732717593456</v>
      </c>
      <c r="AT41" s="20">
        <v>1.0135840397414757</v>
      </c>
      <c r="AU41" s="20">
        <v>1.0138949030352473</v>
      </c>
      <c r="AV41" s="20">
        <v>1.0142058616698921</v>
      </c>
      <c r="AW41" s="20">
        <v>1.0145169156746507</v>
      </c>
      <c r="AX41" s="20">
        <v>1.0148280650787733</v>
      </c>
      <c r="AY41" s="20">
        <v>1.0151393099115182</v>
      </c>
      <c r="AZ41" s="20">
        <v>1.0154506502021532</v>
      </c>
      <c r="BA41" s="20">
        <v>1.0157620859799548</v>
      </c>
      <c r="BB41" s="20">
        <v>1.0160736172742089</v>
      </c>
      <c r="BC41" s="20">
        <v>1.0163852441142101</v>
      </c>
      <c r="BD41" s="20">
        <v>1.016696966529262</v>
      </c>
      <c r="BE41" s="20">
        <v>1.0170087845486768</v>
      </c>
      <c r="BF41" s="20">
        <v>1.0173206982017766</v>
      </c>
      <c r="BG41" s="20">
        <v>1.0176327075178919</v>
      </c>
      <c r="BH41" s="20">
        <v>1.0179448125263619</v>
      </c>
    </row>
    <row r="42" spans="1:60" ht="21" customHeight="1" x14ac:dyDescent="0.25">
      <c r="A42" s="32" t="s">
        <v>100</v>
      </c>
      <c r="B42" s="33">
        <v>4096.8488322222229</v>
      </c>
      <c r="C42" s="33">
        <v>4098.1053239112534</v>
      </c>
      <c r="D42" s="33">
        <v>4099.3622009626506</v>
      </c>
      <c r="E42" s="33">
        <v>4100.619463494605</v>
      </c>
      <c r="F42" s="33">
        <v>4101.877111625342</v>
      </c>
      <c r="G42" s="33">
        <v>4103.1351454731239</v>
      </c>
      <c r="H42" s="33">
        <v>4104.3935651562479</v>
      </c>
      <c r="I42" s="33">
        <v>4105.6523707930501</v>
      </c>
      <c r="J42" s="33">
        <v>4106.9115625019003</v>
      </c>
      <c r="K42" s="33">
        <v>4108.1711404012067</v>
      </c>
      <c r="L42" s="33">
        <v>4109.4311046094117</v>
      </c>
      <c r="M42" s="33">
        <v>4110.6914552449962</v>
      </c>
      <c r="N42" s="33">
        <v>4111.9521924264754</v>
      </c>
      <c r="O42" s="33">
        <v>4113.2133162724022</v>
      </c>
      <c r="P42" s="33">
        <v>4114.4748269013653</v>
      </c>
      <c r="Q42" s="33">
        <v>4115.7367244319903</v>
      </c>
      <c r="R42" s="33">
        <v>4116.9990089829389</v>
      </c>
      <c r="S42" s="33">
        <v>4118.2616806729084</v>
      </c>
      <c r="T42" s="33">
        <v>4119.5247396206332</v>
      </c>
      <c r="U42" s="33">
        <v>4120.7881859448853</v>
      </c>
      <c r="V42" s="33">
        <v>4122.052019764471</v>
      </c>
      <c r="W42" s="33">
        <v>4123.3162411982339</v>
      </c>
      <c r="X42" s="33">
        <v>4124.5808503650551</v>
      </c>
      <c r="Y42" s="33">
        <v>4125.8458473838509</v>
      </c>
      <c r="Z42" s="33">
        <v>4127.1112323735733</v>
      </c>
      <c r="AA42" s="33">
        <v>4128.3770054532124</v>
      </c>
      <c r="AB42" s="33">
        <v>4129.6431667417955</v>
      </c>
      <c r="AC42" s="33">
        <v>4130.9097163583829</v>
      </c>
      <c r="AD42" s="33">
        <v>4132.1766544220764</v>
      </c>
      <c r="AE42" s="33">
        <v>4133.4439810520089</v>
      </c>
      <c r="AF42" s="33">
        <v>4134.7116963673543</v>
      </c>
      <c r="AG42" s="33">
        <v>4135.979800487321</v>
      </c>
      <c r="AH42" s="33">
        <v>4137.2482935311527</v>
      </c>
      <c r="AI42" s="33">
        <v>4138.5171756181344</v>
      </c>
      <c r="AJ42" s="33">
        <v>4139.7864468675816</v>
      </c>
      <c r="AK42" s="33">
        <v>4141.0561073988511</v>
      </c>
      <c r="AL42" s="33">
        <v>4142.326157331333</v>
      </c>
      <c r="AM42" s="33">
        <v>4143.5965967844568</v>
      </c>
      <c r="AN42" s="33">
        <v>4144.8674258776864</v>
      </c>
      <c r="AO42" s="33">
        <v>4146.138644730524</v>
      </c>
      <c r="AP42" s="33">
        <v>4147.4102534625081</v>
      </c>
      <c r="AQ42" s="33">
        <v>4148.6822521932127</v>
      </c>
      <c r="AR42" s="33">
        <v>4149.954641042249</v>
      </c>
      <c r="AS42" s="33">
        <v>4151.2274201292657</v>
      </c>
      <c r="AT42" s="33">
        <v>4152.5005895739478</v>
      </c>
      <c r="AU42" s="33">
        <v>4153.7741494960164</v>
      </c>
      <c r="AV42" s="33">
        <v>4155.0481000152313</v>
      </c>
      <c r="AW42" s="33">
        <v>4156.3224412513846</v>
      </c>
      <c r="AX42" s="33">
        <v>4157.5971733243105</v>
      </c>
      <c r="AY42" s="33">
        <v>4158.8722963538767</v>
      </c>
      <c r="AZ42" s="33">
        <v>4160.1478104599882</v>
      </c>
      <c r="BA42" s="33">
        <v>4161.4237157625876</v>
      </c>
      <c r="BB42" s="33">
        <v>4162.7000123816524</v>
      </c>
      <c r="BC42" s="33">
        <v>4163.9767004372006</v>
      </c>
      <c r="BD42" s="33">
        <v>4165.2537800492828</v>
      </c>
      <c r="BE42" s="33">
        <v>4166.5312513379886</v>
      </c>
      <c r="BF42" s="33">
        <v>4167.809114423445</v>
      </c>
      <c r="BG42" s="33">
        <v>4169.0873694258144</v>
      </c>
      <c r="BH42" s="33">
        <v>4170.3660164652956</v>
      </c>
    </row>
    <row r="43" spans="1:60" ht="21" customHeight="1" x14ac:dyDescent="0.25">
      <c r="A43" s="32" t="s">
        <v>101</v>
      </c>
      <c r="B43" s="33">
        <v>10537985.118628936</v>
      </c>
      <c r="C43" s="33">
        <v>10541217.088189673</v>
      </c>
      <c r="D43" s="33">
        <v>10544450.048986126</v>
      </c>
      <c r="E43" s="33">
        <v>10547684.001322307</v>
      </c>
      <c r="F43" s="33">
        <v>10550918.945502317</v>
      </c>
      <c r="G43" s="33">
        <v>10554154.881830351</v>
      </c>
      <c r="H43" s="33">
        <v>10557391.8106107</v>
      </c>
      <c r="I43" s="33">
        <v>10560629.732147744</v>
      </c>
      <c r="J43" s="33">
        <v>10563868.646745959</v>
      </c>
      <c r="K43" s="33">
        <v>10567108.554709915</v>
      </c>
      <c r="L43" s="33">
        <v>10570349.456344275</v>
      </c>
      <c r="M43" s="33">
        <v>10573591.351953793</v>
      </c>
      <c r="N43" s="33">
        <v>10576834.241843319</v>
      </c>
      <c r="O43" s="33">
        <v>10580078.126317795</v>
      </c>
      <c r="P43" s="33">
        <v>10583323.00568226</v>
      </c>
      <c r="Q43" s="33">
        <v>10586568.880241841</v>
      </c>
      <c r="R43" s="33">
        <v>10589815.750301763</v>
      </c>
      <c r="S43" s="33">
        <v>10593063.616167342</v>
      </c>
      <c r="T43" s="33">
        <v>10596312.47814399</v>
      </c>
      <c r="U43" s="33">
        <v>10599562.33653721</v>
      </c>
      <c r="V43" s="33">
        <v>10602813.191652602</v>
      </c>
      <c r="W43" s="33">
        <v>10606065.043795856</v>
      </c>
      <c r="X43" s="33">
        <v>10609317.893272758</v>
      </c>
      <c r="Y43" s="33">
        <v>10612571.740389187</v>
      </c>
      <c r="Z43" s="33">
        <v>10615826.585451117</v>
      </c>
      <c r="AA43" s="33">
        <v>10619082.428764615</v>
      </c>
      <c r="AB43" s="33">
        <v>10622339.270635841</v>
      </c>
      <c r="AC43" s="33">
        <v>10625597.111371052</v>
      </c>
      <c r="AD43" s="33">
        <v>10628855.951276593</v>
      </c>
      <c r="AE43" s="33">
        <v>10632115.79065891</v>
      </c>
      <c r="AF43" s="33">
        <v>10635376.629824538</v>
      </c>
      <c r="AG43" s="33">
        <v>10638638.469080107</v>
      </c>
      <c r="AH43" s="33">
        <v>10641901.308732344</v>
      </c>
      <c r="AI43" s="33">
        <v>10645165.149088066</v>
      </c>
      <c r="AJ43" s="33">
        <v>10648429.990454188</v>
      </c>
      <c r="AK43" s="33">
        <v>10651695.833137713</v>
      </c>
      <c r="AL43" s="33">
        <v>10654962.677445745</v>
      </c>
      <c r="AM43" s="33">
        <v>10658230.52368548</v>
      </c>
      <c r="AN43" s="33">
        <v>10661499.372164205</v>
      </c>
      <c r="AO43" s="33">
        <v>10664769.223189306</v>
      </c>
      <c r="AP43" s="33">
        <v>10668040.07706826</v>
      </c>
      <c r="AQ43" s="33">
        <v>10671311.934108639</v>
      </c>
      <c r="AR43" s="33">
        <v>10674584.794618111</v>
      </c>
      <c r="AS43" s="33">
        <v>10677858.658904437</v>
      </c>
      <c r="AT43" s="33">
        <v>10681133.527275471</v>
      </c>
      <c r="AU43" s="33">
        <v>10684409.400039164</v>
      </c>
      <c r="AV43" s="33">
        <v>10687686.277503559</v>
      </c>
      <c r="AW43" s="33">
        <v>10690964.159976797</v>
      </c>
      <c r="AX43" s="33">
        <v>10694243.04776711</v>
      </c>
      <c r="AY43" s="33">
        <v>10697522.941182826</v>
      </c>
      <c r="AZ43" s="33">
        <v>10700803.840532366</v>
      </c>
      <c r="BA43" s="33">
        <v>10704085.746124249</v>
      </c>
      <c r="BB43" s="33">
        <v>10707368.658267086</v>
      </c>
      <c r="BC43" s="33">
        <v>10710652.577269584</v>
      </c>
      <c r="BD43" s="33">
        <v>10713937.503440542</v>
      </c>
      <c r="BE43" s="33">
        <v>10717223.437088858</v>
      </c>
      <c r="BF43" s="33">
        <v>10720510.378523521</v>
      </c>
      <c r="BG43" s="33">
        <v>10723798.328053616</v>
      </c>
      <c r="BH43" s="33">
        <v>10727087.285988323</v>
      </c>
    </row>
    <row r="44" spans="1:60" ht="21" customHeight="1" x14ac:dyDescent="0.25">
      <c r="A44" s="34" t="s">
        <v>102</v>
      </c>
      <c r="B44" s="35">
        <v>288.62340109589042</v>
      </c>
      <c r="C44" s="35">
        <v>288.71192105832699</v>
      </c>
      <c r="D44" s="35">
        <v>288.80046816958009</v>
      </c>
      <c r="E44" s="35">
        <v>288.88904243797606</v>
      </c>
      <c r="F44" s="35">
        <v>288.97764387184401</v>
      </c>
      <c r="G44" s="35">
        <v>289.06627247951553</v>
      </c>
      <c r="H44" s="35">
        <v>289.15492826932473</v>
      </c>
      <c r="I44" s="35">
        <v>289.24361124960825</v>
      </c>
      <c r="J44" s="35">
        <v>289.33232142870531</v>
      </c>
      <c r="K44" s="35">
        <v>289.4210588149578</v>
      </c>
      <c r="L44" s="35">
        <v>289.50982341670999</v>
      </c>
      <c r="M44" s="35">
        <v>289.59861524230888</v>
      </c>
      <c r="N44" s="35">
        <v>289.68743430010392</v>
      </c>
      <c r="O44" s="35">
        <v>289.7762805984471</v>
      </c>
      <c r="P44" s="35">
        <v>289.86515414569305</v>
      </c>
      <c r="Q44" s="35">
        <v>289.95405495019889</v>
      </c>
      <c r="R44" s="35">
        <v>290.04298302032441</v>
      </c>
      <c r="S44" s="35">
        <v>290.1319383644319</v>
      </c>
      <c r="T44" s="35">
        <v>290.2209209908861</v>
      </c>
      <c r="U44" s="35">
        <v>290.30993090805453</v>
      </c>
      <c r="V44" s="35">
        <v>290.39896812430715</v>
      </c>
      <c r="W44" s="35">
        <v>290.48803264801649</v>
      </c>
      <c r="X44" s="35">
        <v>290.57712448755768</v>
      </c>
      <c r="Y44" s="35">
        <v>290.66624365130843</v>
      </c>
      <c r="Z44" s="35">
        <v>290.75539014764894</v>
      </c>
      <c r="AA44" s="35">
        <v>290.84456398496212</v>
      </c>
      <c r="AB44" s="35">
        <v>290.9337651716333</v>
      </c>
      <c r="AC44" s="35">
        <v>291.02299371605045</v>
      </c>
      <c r="AD44" s="35">
        <v>291.11224962660418</v>
      </c>
      <c r="AE44" s="35">
        <v>291.20153291168748</v>
      </c>
      <c r="AF44" s="35">
        <v>291.29084357969617</v>
      </c>
      <c r="AG44" s="35">
        <v>291.38018163902842</v>
      </c>
      <c r="AH44" s="35">
        <v>291.46954709808512</v>
      </c>
      <c r="AI44" s="35">
        <v>291.5589399652697</v>
      </c>
      <c r="AJ44" s="35">
        <v>291.64836024898813</v>
      </c>
      <c r="AK44" s="35">
        <v>291.73780795764901</v>
      </c>
      <c r="AL44" s="35">
        <v>291.82728309966336</v>
      </c>
      <c r="AM44" s="35">
        <v>291.91678568344508</v>
      </c>
      <c r="AN44" s="35">
        <v>292.00631571741042</v>
      </c>
      <c r="AO44" s="35">
        <v>292.09587320997821</v>
      </c>
      <c r="AP44" s="35">
        <v>292.18545816957004</v>
      </c>
      <c r="AQ44" s="35">
        <v>292.27507060460988</v>
      </c>
      <c r="AR44" s="35">
        <v>292.36471052352437</v>
      </c>
      <c r="AS44" s="35">
        <v>292.45437793474275</v>
      </c>
      <c r="AT44" s="35">
        <v>292.54407284669691</v>
      </c>
      <c r="AU44" s="35">
        <v>292.63379526782114</v>
      </c>
      <c r="AV44" s="35">
        <v>292.72354520655244</v>
      </c>
      <c r="AW44" s="35">
        <v>292.81332267133041</v>
      </c>
      <c r="AX44" s="35">
        <v>292.9031276705972</v>
      </c>
      <c r="AY44" s="35">
        <v>292.99296021279753</v>
      </c>
      <c r="AZ44" s="35">
        <v>293.08282030637878</v>
      </c>
      <c r="BA44" s="35">
        <v>293.17270795979084</v>
      </c>
      <c r="BB44" s="35">
        <v>293.26262318148628</v>
      </c>
      <c r="BC44" s="35">
        <v>293.3525659799202</v>
      </c>
      <c r="BD44" s="35">
        <v>293.44253636355023</v>
      </c>
      <c r="BE44" s="35">
        <v>293.53253434083678</v>
      </c>
      <c r="BF44" s="35">
        <v>293.62255992024268</v>
      </c>
      <c r="BG44" s="35">
        <v>293.71261311023346</v>
      </c>
      <c r="BH44" s="35">
        <v>293.80269391927715</v>
      </c>
    </row>
    <row r="45" spans="1:60" ht="21" customHeight="1" x14ac:dyDescent="0.25">
      <c r="A45" s="34" t="s">
        <v>103</v>
      </c>
      <c r="B45" s="35">
        <v>577.24680219178083</v>
      </c>
      <c r="C45" s="35">
        <v>577.42384211665399</v>
      </c>
      <c r="D45" s="35">
        <v>577.60093633916017</v>
      </c>
      <c r="E45" s="35">
        <v>577.77808487595212</v>
      </c>
      <c r="F45" s="35">
        <v>577.95528774368802</v>
      </c>
      <c r="G45" s="35">
        <v>578.13254495903107</v>
      </c>
      <c r="H45" s="35">
        <v>578.30985653864946</v>
      </c>
      <c r="I45" s="35">
        <v>578.4872224992165</v>
      </c>
      <c r="J45" s="35">
        <v>578.66464285741063</v>
      </c>
      <c r="K45" s="35">
        <v>578.84211762991561</v>
      </c>
      <c r="L45" s="35">
        <v>579.01964683341998</v>
      </c>
      <c r="M45" s="35">
        <v>579.19723048461776</v>
      </c>
      <c r="N45" s="35">
        <v>579.37486860020783</v>
      </c>
      <c r="O45" s="35">
        <v>579.5525611968942</v>
      </c>
      <c r="P45" s="35">
        <v>579.73030829138611</v>
      </c>
      <c r="Q45" s="35">
        <v>579.90810990039779</v>
      </c>
      <c r="R45" s="35">
        <v>580.08596604064883</v>
      </c>
      <c r="S45" s="35">
        <v>580.26387672886381</v>
      </c>
      <c r="T45" s="35">
        <v>580.4418419817722</v>
      </c>
      <c r="U45" s="35">
        <v>580.61986181610905</v>
      </c>
      <c r="V45" s="35">
        <v>580.79793624861429</v>
      </c>
      <c r="W45" s="35">
        <v>580.97606529603297</v>
      </c>
      <c r="X45" s="35">
        <v>581.15424897511537</v>
      </c>
      <c r="Y45" s="35">
        <v>581.33248730261687</v>
      </c>
      <c r="Z45" s="35">
        <v>581.51078029529788</v>
      </c>
      <c r="AA45" s="35">
        <v>581.68912796992424</v>
      </c>
      <c r="AB45" s="35">
        <v>581.86753034326659</v>
      </c>
      <c r="AC45" s="35">
        <v>582.0459874321009</v>
      </c>
      <c r="AD45" s="35">
        <v>582.22449925320836</v>
      </c>
      <c r="AE45" s="35">
        <v>582.40306582337496</v>
      </c>
      <c r="AF45" s="35">
        <v>582.58168715939235</v>
      </c>
      <c r="AG45" s="35">
        <v>582.76036327805684</v>
      </c>
      <c r="AH45" s="35">
        <v>582.93909419617023</v>
      </c>
      <c r="AI45" s="35">
        <v>583.1178799305394</v>
      </c>
      <c r="AJ45" s="35">
        <v>583.29672049797625</v>
      </c>
      <c r="AK45" s="35">
        <v>583.47561591529802</v>
      </c>
      <c r="AL45" s="35">
        <v>583.65456619932672</v>
      </c>
      <c r="AM45" s="35">
        <v>583.83357136689017</v>
      </c>
      <c r="AN45" s="35">
        <v>584.01263143482083</v>
      </c>
      <c r="AO45" s="35">
        <v>584.19174641995642</v>
      </c>
      <c r="AP45" s="35">
        <v>584.37091633914008</v>
      </c>
      <c r="AQ45" s="35">
        <v>584.55014120921976</v>
      </c>
      <c r="AR45" s="35">
        <v>584.72942104704873</v>
      </c>
      <c r="AS45" s="35">
        <v>584.9087558694855</v>
      </c>
      <c r="AT45" s="35">
        <v>585.08814569339381</v>
      </c>
      <c r="AU45" s="35">
        <v>585.26759053564228</v>
      </c>
      <c r="AV45" s="35">
        <v>585.44709041310489</v>
      </c>
      <c r="AW45" s="35">
        <v>585.62664534266082</v>
      </c>
      <c r="AX45" s="35">
        <v>585.8062553411944</v>
      </c>
      <c r="AY45" s="35">
        <v>585.98592042559505</v>
      </c>
      <c r="AZ45" s="35">
        <v>586.16564061275756</v>
      </c>
      <c r="BA45" s="35">
        <v>586.34541591958168</v>
      </c>
      <c r="BB45" s="35">
        <v>586.52524636297255</v>
      </c>
      <c r="BC45" s="35">
        <v>586.7051319598404</v>
      </c>
      <c r="BD45" s="35">
        <v>586.88507272710046</v>
      </c>
      <c r="BE45" s="35">
        <v>587.06506868167355</v>
      </c>
      <c r="BF45" s="35">
        <v>587.24511984048536</v>
      </c>
      <c r="BG45" s="35">
        <v>587.42522622046693</v>
      </c>
      <c r="BH45" s="35">
        <v>587.60538783855429</v>
      </c>
    </row>
    <row r="46" spans="1:60" ht="21" customHeight="1" x14ac:dyDescent="0.25">
      <c r="A46" s="34" t="s">
        <v>104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  <c r="X46" s="35">
        <v>0</v>
      </c>
      <c r="Y46" s="35">
        <v>0</v>
      </c>
      <c r="Z46" s="35">
        <v>0</v>
      </c>
      <c r="AA46" s="35">
        <v>0</v>
      </c>
      <c r="AB46" s="35">
        <v>0</v>
      </c>
      <c r="AC46" s="35">
        <v>0</v>
      </c>
      <c r="AD46" s="35">
        <v>0</v>
      </c>
      <c r="AE46" s="35">
        <v>0</v>
      </c>
      <c r="AF46" s="35">
        <v>0</v>
      </c>
      <c r="AG46" s="35">
        <v>0</v>
      </c>
      <c r="AH46" s="35">
        <v>0</v>
      </c>
      <c r="AI46" s="35">
        <v>0</v>
      </c>
      <c r="AJ46" s="35">
        <v>0</v>
      </c>
      <c r="AK46" s="35">
        <v>0</v>
      </c>
      <c r="AL46" s="35">
        <v>0</v>
      </c>
      <c r="AM46" s="35">
        <v>0</v>
      </c>
      <c r="AN46" s="35">
        <v>0</v>
      </c>
      <c r="AO46" s="35">
        <v>0</v>
      </c>
      <c r="AP46" s="35">
        <v>0</v>
      </c>
      <c r="AQ46" s="35">
        <v>0</v>
      </c>
      <c r="AR46" s="35">
        <v>0</v>
      </c>
      <c r="AS46" s="35">
        <v>0</v>
      </c>
      <c r="AT46" s="35">
        <v>0</v>
      </c>
      <c r="AU46" s="35">
        <v>0</v>
      </c>
      <c r="AV46" s="35">
        <v>0</v>
      </c>
      <c r="AW46" s="35">
        <v>0</v>
      </c>
      <c r="AX46" s="35">
        <v>0</v>
      </c>
      <c r="AY46" s="35">
        <v>0</v>
      </c>
      <c r="AZ46" s="35">
        <v>0</v>
      </c>
      <c r="BA46" s="35">
        <v>0</v>
      </c>
      <c r="BB46" s="35">
        <v>0</v>
      </c>
      <c r="BC46" s="35">
        <v>0</v>
      </c>
      <c r="BD46" s="35">
        <v>0</v>
      </c>
      <c r="BE46" s="35">
        <v>0</v>
      </c>
      <c r="BF46" s="35">
        <v>0</v>
      </c>
      <c r="BG46" s="35">
        <v>0</v>
      </c>
      <c r="BH46" s="35">
        <v>0</v>
      </c>
    </row>
    <row r="47" spans="1:60" ht="21" customHeight="1" x14ac:dyDescent="0.25">
      <c r="A47" s="36" t="s">
        <v>105</v>
      </c>
      <c r="B47" s="37">
        <v>3230.9786289345516</v>
      </c>
      <c r="C47" s="37">
        <v>3231.9695607362723</v>
      </c>
      <c r="D47" s="37">
        <v>3232.9607964539105</v>
      </c>
      <c r="E47" s="37">
        <v>3233.9523361806769</v>
      </c>
      <c r="F47" s="37">
        <v>3234.9441800098102</v>
      </c>
      <c r="G47" s="37">
        <v>3235.9363280345774</v>
      </c>
      <c r="H47" s="37">
        <v>3236.9287803482739</v>
      </c>
      <c r="I47" s="37">
        <v>3237.9215370442253</v>
      </c>
      <c r="J47" s="37">
        <v>3238.9145982157843</v>
      </c>
      <c r="K47" s="37">
        <v>3239.9079639563333</v>
      </c>
      <c r="L47" s="37">
        <v>3240.9016343592816</v>
      </c>
      <c r="M47" s="37">
        <v>3241.8956095180693</v>
      </c>
      <c r="N47" s="37">
        <v>3242.8898895261636</v>
      </c>
      <c r="O47" s="37">
        <v>3243.8844744770608</v>
      </c>
      <c r="P47" s="37">
        <v>3244.879364464286</v>
      </c>
      <c r="Q47" s="37">
        <v>3245.8745595813934</v>
      </c>
      <c r="R47" s="37">
        <v>3246.8700599219655</v>
      </c>
      <c r="S47" s="37">
        <v>3247.8658655796125</v>
      </c>
      <c r="T47" s="37">
        <v>3248.8619766479751</v>
      </c>
      <c r="U47" s="37">
        <v>3249.8583932207216</v>
      </c>
      <c r="V47" s="37">
        <v>3250.8551153915496</v>
      </c>
      <c r="W47" s="37">
        <v>3251.8521432541847</v>
      </c>
      <c r="X47" s="37">
        <v>3252.8494769023819</v>
      </c>
      <c r="Y47" s="37">
        <v>3253.8471164299253</v>
      </c>
      <c r="Z47" s="37">
        <v>3254.8450619306268</v>
      </c>
      <c r="AA47" s="37">
        <v>3255.8433134983261</v>
      </c>
      <c r="AB47" s="37">
        <v>3256.8418712268958</v>
      </c>
      <c r="AC47" s="37">
        <v>3257.8407352102313</v>
      </c>
      <c r="AD47" s="37">
        <v>3258.8399055422638</v>
      </c>
      <c r="AE47" s="37">
        <v>3259.8393823169463</v>
      </c>
      <c r="AF47" s="37">
        <v>3260.8391656282656</v>
      </c>
      <c r="AG47" s="37">
        <v>3261.8392555702358</v>
      </c>
      <c r="AH47" s="37">
        <v>3262.8396522368976</v>
      </c>
      <c r="AI47" s="37">
        <v>3263.8403557223255</v>
      </c>
      <c r="AJ47" s="37">
        <v>3264.8413661206173</v>
      </c>
      <c r="AK47" s="37">
        <v>3265.8426835259042</v>
      </c>
      <c r="AL47" s="37">
        <v>3266.8443080323432</v>
      </c>
      <c r="AM47" s="37">
        <v>3267.8462397341218</v>
      </c>
      <c r="AN47" s="37">
        <v>3268.8484787254552</v>
      </c>
      <c r="AO47" s="37">
        <v>3269.8510251005891</v>
      </c>
      <c r="AP47" s="37">
        <v>3270.8538789537979</v>
      </c>
      <c r="AQ47" s="37">
        <v>3271.8570403793829</v>
      </c>
      <c r="AR47" s="37">
        <v>3272.8605094716759</v>
      </c>
      <c r="AS47" s="37">
        <v>3273.8642863250375</v>
      </c>
      <c r="AT47" s="37">
        <v>3274.8683710338573</v>
      </c>
      <c r="AU47" s="37">
        <v>3275.8727636925532</v>
      </c>
      <c r="AV47" s="37">
        <v>3276.877464395574</v>
      </c>
      <c r="AW47" s="37">
        <v>3277.8824732373932</v>
      </c>
      <c r="AX47" s="37">
        <v>3278.887790312519</v>
      </c>
      <c r="AY47" s="37">
        <v>3279.893415715484</v>
      </c>
      <c r="AZ47" s="37">
        <v>3280.8993495408522</v>
      </c>
      <c r="BA47" s="37">
        <v>3281.905591883215</v>
      </c>
      <c r="BB47" s="37">
        <v>3282.9121428371936</v>
      </c>
      <c r="BC47" s="37">
        <v>3283.91900249744</v>
      </c>
      <c r="BD47" s="37">
        <v>3284.9261709586322</v>
      </c>
      <c r="BE47" s="37">
        <v>3285.9336483154784</v>
      </c>
      <c r="BF47" s="37">
        <v>3286.9414346627168</v>
      </c>
      <c r="BG47" s="37">
        <v>3287.9495300951139</v>
      </c>
      <c r="BH47" s="37">
        <v>3288.9579347074641</v>
      </c>
    </row>
    <row r="48" spans="1:60" ht="24" customHeight="1" x14ac:dyDescent="0.25">
      <c r="A48" s="38" t="s">
        <v>106</v>
      </c>
      <c r="B48" s="39">
        <v>10537985.118628936</v>
      </c>
      <c r="C48" s="39">
        <v>10541217.088189673</v>
      </c>
      <c r="D48" s="39">
        <v>10544450.048986126</v>
      </c>
      <c r="E48" s="39">
        <v>10547684.001322307</v>
      </c>
      <c r="F48" s="39">
        <v>10550918.945502317</v>
      </c>
      <c r="G48" s="39">
        <v>10554154.881830351</v>
      </c>
      <c r="H48" s="39">
        <v>10557391.8106107</v>
      </c>
      <c r="I48" s="39">
        <v>10560629.732147744</v>
      </c>
      <c r="J48" s="39">
        <v>10563868.646745959</v>
      </c>
      <c r="K48" s="39">
        <v>10567108.554709915</v>
      </c>
      <c r="L48" s="39">
        <v>10570349.456344275</v>
      </c>
      <c r="M48" s="39">
        <v>10573591.351953793</v>
      </c>
      <c r="N48" s="39">
        <v>10576834.241843319</v>
      </c>
      <c r="O48" s="39">
        <v>10580078.126317795</v>
      </c>
      <c r="P48" s="39">
        <v>10583323.00568226</v>
      </c>
      <c r="Q48" s="39">
        <v>10586568.880241841</v>
      </c>
      <c r="R48" s="39">
        <v>10589815.750301763</v>
      </c>
      <c r="S48" s="39">
        <v>10593063.616167342</v>
      </c>
      <c r="T48" s="39">
        <v>10596312.47814399</v>
      </c>
      <c r="U48" s="39">
        <v>10599562.33653721</v>
      </c>
      <c r="V48" s="39">
        <v>10602813.191652602</v>
      </c>
      <c r="W48" s="39">
        <v>10606065.043795856</v>
      </c>
      <c r="X48" s="39">
        <v>10609317.893272758</v>
      </c>
      <c r="Y48" s="39">
        <v>10612571.740389187</v>
      </c>
      <c r="Z48" s="39">
        <v>10615826.585451117</v>
      </c>
      <c r="AA48" s="39">
        <v>10619082.428764615</v>
      </c>
      <c r="AB48" s="39">
        <v>10622339.270635841</v>
      </c>
      <c r="AC48" s="39">
        <v>10625597.111371052</v>
      </c>
      <c r="AD48" s="39">
        <v>10628855.951276593</v>
      </c>
      <c r="AE48" s="39">
        <v>10632115.79065891</v>
      </c>
      <c r="AF48" s="39">
        <v>10635376.629824538</v>
      </c>
      <c r="AG48" s="39">
        <v>10638638.469080107</v>
      </c>
      <c r="AH48" s="39">
        <v>10641901.308732344</v>
      </c>
      <c r="AI48" s="39">
        <v>10645165.149088066</v>
      </c>
      <c r="AJ48" s="39">
        <v>10648429.990454188</v>
      </c>
      <c r="AK48" s="39">
        <v>10651695.833137713</v>
      </c>
      <c r="AL48" s="39">
        <v>10654962.677445745</v>
      </c>
      <c r="AM48" s="39">
        <v>10658230.52368548</v>
      </c>
      <c r="AN48" s="39">
        <v>10661499.372164205</v>
      </c>
      <c r="AO48" s="39">
        <v>10664769.223189306</v>
      </c>
      <c r="AP48" s="39">
        <v>10668040.07706826</v>
      </c>
      <c r="AQ48" s="39">
        <v>10671311.934108639</v>
      </c>
      <c r="AR48" s="39">
        <v>10674584.794618111</v>
      </c>
      <c r="AS48" s="39">
        <v>10677858.658904437</v>
      </c>
      <c r="AT48" s="39">
        <v>10681133.527275471</v>
      </c>
      <c r="AU48" s="39">
        <v>10684409.400039164</v>
      </c>
      <c r="AV48" s="39">
        <v>10687686.277503559</v>
      </c>
      <c r="AW48" s="39">
        <v>10690964.159976797</v>
      </c>
      <c r="AX48" s="39">
        <v>10694243.04776711</v>
      </c>
      <c r="AY48" s="39">
        <v>10697522.941182826</v>
      </c>
      <c r="AZ48" s="39">
        <v>10700803.840532366</v>
      </c>
      <c r="BA48" s="39">
        <v>10704085.746124249</v>
      </c>
      <c r="BB48" s="39">
        <v>10707368.658267086</v>
      </c>
      <c r="BC48" s="39">
        <v>10710652.577269584</v>
      </c>
      <c r="BD48" s="39">
        <v>10713937.503440542</v>
      </c>
      <c r="BE48" s="39">
        <v>10717223.437088858</v>
      </c>
      <c r="BF48" s="39">
        <v>10720510.378523521</v>
      </c>
      <c r="BG48" s="39">
        <v>10723798.328053616</v>
      </c>
      <c r="BH48" s="39">
        <v>10727087.285988323</v>
      </c>
    </row>
    <row r="49" spans="1:60" ht="24" customHeight="1" x14ac:dyDescent="0.25">
      <c r="A49" s="19" t="s">
        <v>107</v>
      </c>
      <c r="B49" s="20">
        <v>1.000306697108067</v>
      </c>
      <c r="C49" s="20">
        <v>1.0006134882792501</v>
      </c>
      <c r="D49" s="20">
        <v>1.0009203735423982</v>
      </c>
      <c r="E49" s="20">
        <v>1.0012273529263689</v>
      </c>
      <c r="F49" s="20">
        <v>1.001534426460029</v>
      </c>
      <c r="G49" s="20">
        <v>1.0018415941722538</v>
      </c>
      <c r="H49" s="20">
        <v>1.0021488560919278</v>
      </c>
      <c r="I49" s="20">
        <v>1.0024562122479437</v>
      </c>
      <c r="J49" s="20">
        <v>1.0027636626692038</v>
      </c>
      <c r="K49" s="20">
        <v>1.0030712073846191</v>
      </c>
      <c r="L49" s="20">
        <v>1.0033788464231093</v>
      </c>
      <c r="M49" s="20">
        <v>1.0036865798136028</v>
      </c>
      <c r="N49" s="20">
        <v>1.0039944075850371</v>
      </c>
      <c r="O49" s="20">
        <v>1.0043023297663589</v>
      </c>
      <c r="P49" s="20">
        <v>1.0046103463865232</v>
      </c>
      <c r="Q49" s="20">
        <v>1.004918457474494</v>
      </c>
      <c r="R49" s="20">
        <v>1.0052266630592446</v>
      </c>
      <c r="S49" s="20">
        <v>1.0055349631697568</v>
      </c>
      <c r="T49" s="20">
        <v>1.005843357835021</v>
      </c>
      <c r="U49" s="20">
        <v>1.0061518470840374</v>
      </c>
      <c r="V49" s="20">
        <v>1.0064604309458143</v>
      </c>
      <c r="W49" s="20">
        <v>1.0067691094493691</v>
      </c>
      <c r="X49" s="20">
        <v>1.0070778826237283</v>
      </c>
      <c r="Y49" s="20">
        <v>1.0073867504979273</v>
      </c>
      <c r="Z49" s="20">
        <v>1.0076957131010098</v>
      </c>
      <c r="AA49" s="20">
        <v>1.0080047704620294</v>
      </c>
      <c r="AB49" s="20">
        <v>1.0083139226100477</v>
      </c>
      <c r="AC49" s="20">
        <v>1.0086231695741359</v>
      </c>
      <c r="AD49" s="20">
        <v>1.0089325113833736</v>
      </c>
      <c r="AE49" s="20">
        <v>1.0092419480668497</v>
      </c>
      <c r="AF49" s="20">
        <v>1.0095514796536615</v>
      </c>
      <c r="AG49" s="20">
        <v>1.0098611061729161</v>
      </c>
      <c r="AH49" s="20">
        <v>1.0101708276537285</v>
      </c>
      <c r="AI49" s="20">
        <v>1.0104806441252236</v>
      </c>
      <c r="AJ49" s="20">
        <v>1.0107905556165344</v>
      </c>
      <c r="AK49" s="20">
        <v>1.0111005621568034</v>
      </c>
      <c r="AL49" s="20">
        <v>1.0114106637751819</v>
      </c>
      <c r="AM49" s="20">
        <v>1.0117208605008299</v>
      </c>
      <c r="AN49" s="20">
        <v>1.0120311523629164</v>
      </c>
      <c r="AO49" s="20">
        <v>1.0123415393906199</v>
      </c>
      <c r="AP49" s="20">
        <v>1.012652021613127</v>
      </c>
      <c r="AQ49" s="20">
        <v>1.0129625990596338</v>
      </c>
      <c r="AR49" s="20">
        <v>1.0132732717593456</v>
      </c>
      <c r="AS49" s="20">
        <v>1.0135840397414757</v>
      </c>
      <c r="AT49" s="20">
        <v>1.0138949030352473</v>
      </c>
      <c r="AU49" s="20">
        <v>1.0142058616698921</v>
      </c>
      <c r="AV49" s="20">
        <v>1.0145169156746507</v>
      </c>
      <c r="AW49" s="20">
        <v>1.0148280650787733</v>
      </c>
      <c r="AX49" s="20">
        <v>1.0151393099115182</v>
      </c>
      <c r="AY49" s="20">
        <v>1.0154506502021532</v>
      </c>
      <c r="AZ49" s="20">
        <v>1.0157620859799548</v>
      </c>
      <c r="BA49" s="20">
        <v>1.0160736172742089</v>
      </c>
      <c r="BB49" s="20">
        <v>1.0163852441142101</v>
      </c>
      <c r="BC49" s="20">
        <v>1.016696966529262</v>
      </c>
      <c r="BD49" s="20">
        <v>1.0170087845486768</v>
      </c>
      <c r="BE49" s="20">
        <v>1.0173206982017766</v>
      </c>
      <c r="BF49" s="20">
        <v>1.0176327075178919</v>
      </c>
      <c r="BG49" s="20">
        <v>1.0179448125263619</v>
      </c>
      <c r="BH49" s="20">
        <v>1.0182570132565356</v>
      </c>
    </row>
    <row r="50" spans="1:60" x14ac:dyDescent="0.25">
      <c r="L50" s="55">
        <f>+L49-K49</f>
        <v>3.076390384901817E-4</v>
      </c>
      <c r="M50" s="55">
        <f t="shared" ref="M50:N50" si="0">+M49-L49</f>
        <v>3.0773339049350312E-4</v>
      </c>
      <c r="N50" s="55">
        <f t="shared" si="0"/>
        <v>3.0782777143434359E-4</v>
      </c>
    </row>
    <row r="52" spans="1:60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</row>
    <row r="53" spans="1:60" x14ac:dyDescent="0.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</row>
    <row r="54" spans="1:60" x14ac:dyDescent="0.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</row>
    <row r="57" spans="1:60" ht="21" customHeight="1" x14ac:dyDescent="0.25">
      <c r="A57" s="28" t="s">
        <v>93</v>
      </c>
      <c r="B57" s="41">
        <v>10434754.140000001</v>
      </c>
      <c r="C57" s="22">
        <f>+B118</f>
        <v>10438582.608285332</v>
      </c>
      <c r="D57" s="22">
        <f t="shared" ref="D57:BH57" si="1">+C118</f>
        <v>10502412.481219897</v>
      </c>
      <c r="E57" s="22">
        <f t="shared" si="1"/>
        <v>10515265.773071757</v>
      </c>
      <c r="F57" s="22">
        <f t="shared" si="1"/>
        <v>10519123.78074342</v>
      </c>
      <c r="G57" s="22">
        <f t="shared" si="1"/>
        <v>10522983.203902196</v>
      </c>
      <c r="H57" s="22">
        <f t="shared" si="1"/>
        <v>10526844.043067422</v>
      </c>
      <c r="I57" s="22">
        <f t="shared" si="1"/>
        <v>10530706.298758624</v>
      </c>
      <c r="J57" s="22">
        <f t="shared" si="1"/>
        <v>10534569.97149552</v>
      </c>
      <c r="K57" s="22">
        <f t="shared" si="1"/>
        <v>10538435.061798019</v>
      </c>
      <c r="L57" s="22">
        <f t="shared" si="1"/>
        <v>10542301.57018622</v>
      </c>
      <c r="M57" s="22">
        <f t="shared" si="1"/>
        <v>10546169.497180412</v>
      </c>
      <c r="N57" s="22">
        <f t="shared" si="1"/>
        <v>10650038.843301075</v>
      </c>
      <c r="O57" s="22">
        <f t="shared" si="1"/>
        <v>10653946.298656715</v>
      </c>
      <c r="P57" s="22">
        <f t="shared" si="1"/>
        <v>10657855.187641619</v>
      </c>
      <c r="Q57" s="22">
        <f t="shared" si="1"/>
        <v>10661765.51078178</v>
      </c>
      <c r="R57" s="22">
        <f t="shared" si="1"/>
        <v>10665677.268603384</v>
      </c>
      <c r="S57" s="22">
        <f t="shared" si="1"/>
        <v>10669590.461632811</v>
      </c>
      <c r="T57" s="22">
        <f t="shared" si="1"/>
        <v>10673505.090396632</v>
      </c>
      <c r="U57" s="22">
        <f t="shared" si="1"/>
        <v>10677421.155421611</v>
      </c>
      <c r="V57" s="22">
        <f t="shared" si="1"/>
        <v>10681338.657234706</v>
      </c>
      <c r="W57" s="22">
        <f t="shared" si="1"/>
        <v>10685257.596363071</v>
      </c>
      <c r="X57" s="22">
        <f t="shared" si="1"/>
        <v>10689177.97333405</v>
      </c>
      <c r="Y57" s="22">
        <f t="shared" si="1"/>
        <v>10693099.78867518</v>
      </c>
      <c r="Z57" s="22">
        <f t="shared" si="1"/>
        <v>10697023.042914195</v>
      </c>
      <c r="AA57" s="22">
        <f t="shared" si="1"/>
        <v>10700947.73657902</v>
      </c>
      <c r="AB57" s="22">
        <f t="shared" si="1"/>
        <v>10704873.870197773</v>
      </c>
      <c r="AC57" s="22">
        <f t="shared" si="1"/>
        <v>10708801.444298768</v>
      </c>
      <c r="AD57" s="22">
        <f t="shared" si="1"/>
        <v>10712730.459410515</v>
      </c>
      <c r="AE57" s="22">
        <f t="shared" si="1"/>
        <v>10716660.916061711</v>
      </c>
      <c r="AF57" s="22">
        <f t="shared" si="1"/>
        <v>10720592.814781252</v>
      </c>
      <c r="AG57" s="22">
        <f t="shared" si="1"/>
        <v>10724526.156098228</v>
      </c>
      <c r="AH57" s="22">
        <f t="shared" si="1"/>
        <v>10728460.940541921</v>
      </c>
      <c r="AI57" s="22">
        <f t="shared" si="1"/>
        <v>10732397.168641809</v>
      </c>
      <c r="AJ57" s="22">
        <f t="shared" si="1"/>
        <v>10736334.840927564</v>
      </c>
      <c r="AK57" s="22">
        <f t="shared" si="1"/>
        <v>10740273.957929049</v>
      </c>
      <c r="AL57" s="22">
        <f t="shared" si="1"/>
        <v>10744214.520176327</v>
      </c>
      <c r="AM57" s="22">
        <f t="shared" si="1"/>
        <v>10748156.52819965</v>
      </c>
      <c r="AN57" s="22">
        <f t="shared" si="1"/>
        <v>10752099.982529471</v>
      </c>
      <c r="AO57" s="22">
        <f t="shared" si="1"/>
        <v>10756044.883696431</v>
      </c>
      <c r="AP57" s="22">
        <f t="shared" si="1"/>
        <v>10759991.232231369</v>
      </c>
      <c r="AQ57" s="22">
        <f t="shared" si="1"/>
        <v>10763939.028665319</v>
      </c>
      <c r="AR57" s="22">
        <f t="shared" si="1"/>
        <v>10767888.273529509</v>
      </c>
      <c r="AS57" s="22">
        <f t="shared" si="1"/>
        <v>10771838.967355363</v>
      </c>
      <c r="AT57" s="22">
        <f t="shared" si="1"/>
        <v>10775791.110674499</v>
      </c>
      <c r="AU57" s="22">
        <f t="shared" si="1"/>
        <v>10779744.704018729</v>
      </c>
      <c r="AV57" s="22">
        <f t="shared" si="1"/>
        <v>10783699.747920061</v>
      </c>
      <c r="AW57" s="22">
        <f t="shared" si="1"/>
        <v>10787656.242910698</v>
      </c>
      <c r="AX57" s="22">
        <f t="shared" si="1"/>
        <v>10791614.189523041</v>
      </c>
      <c r="AY57" s="22">
        <f t="shared" si="1"/>
        <v>10795573.588289684</v>
      </c>
      <c r="AZ57" s="22">
        <f t="shared" si="1"/>
        <v>10799534.439743413</v>
      </c>
      <c r="BA57" s="22">
        <f t="shared" si="1"/>
        <v>10803496.744417215</v>
      </c>
      <c r="BB57" s="22">
        <f t="shared" si="1"/>
        <v>10807460.50284427</v>
      </c>
      <c r="BC57" s="22">
        <f t="shared" si="1"/>
        <v>10811425.715557955</v>
      </c>
      <c r="BD57" s="22">
        <f t="shared" si="1"/>
        <v>10815392.383091843</v>
      </c>
      <c r="BE57" s="22">
        <f t="shared" si="1"/>
        <v>10819360.505979698</v>
      </c>
      <c r="BF57" s="22">
        <f t="shared" si="1"/>
        <v>10823330.084755486</v>
      </c>
      <c r="BG57" s="22">
        <f t="shared" si="1"/>
        <v>10827301.119953366</v>
      </c>
      <c r="BH57" s="22">
        <f t="shared" si="1"/>
        <v>10831273.612107692</v>
      </c>
    </row>
    <row r="58" spans="1:60" ht="21" customHeight="1" x14ac:dyDescent="0.25">
      <c r="A58" s="30" t="s">
        <v>94</v>
      </c>
      <c r="B58" s="31">
        <v>0</v>
      </c>
      <c r="C58" s="31">
        <v>60000</v>
      </c>
      <c r="D58" s="31">
        <v>9000</v>
      </c>
      <c r="E58" s="31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100000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</row>
    <row r="59" spans="1:60" ht="21" customHeight="1" x14ac:dyDescent="0.25">
      <c r="A59" s="32" t="s">
        <v>95</v>
      </c>
      <c r="B59" s="33">
        <f>+B57+B58</f>
        <v>10434754.140000001</v>
      </c>
      <c r="C59" s="33">
        <f>+C57+C58</f>
        <v>10498582.608285332</v>
      </c>
      <c r="D59" s="33">
        <f t="shared" ref="D59:BH59" si="2">+D57+D58</f>
        <v>10511412.481219897</v>
      </c>
      <c r="E59" s="33">
        <f t="shared" si="2"/>
        <v>10515265.773071757</v>
      </c>
      <c r="F59" s="33">
        <f t="shared" si="2"/>
        <v>10519123.78074342</v>
      </c>
      <c r="G59" s="33">
        <f t="shared" si="2"/>
        <v>10522983.203902196</v>
      </c>
      <c r="H59" s="33">
        <f t="shared" si="2"/>
        <v>10526844.043067422</v>
      </c>
      <c r="I59" s="33">
        <f t="shared" si="2"/>
        <v>10530706.298758624</v>
      </c>
      <c r="J59" s="33">
        <f t="shared" si="2"/>
        <v>10534569.97149552</v>
      </c>
      <c r="K59" s="33">
        <f t="shared" si="2"/>
        <v>10538435.061798019</v>
      </c>
      <c r="L59" s="33">
        <f t="shared" si="2"/>
        <v>10542301.57018622</v>
      </c>
      <c r="M59" s="33">
        <f t="shared" si="2"/>
        <v>10646169.497180412</v>
      </c>
      <c r="N59" s="33">
        <f t="shared" si="2"/>
        <v>10650038.843301075</v>
      </c>
      <c r="O59" s="33">
        <f t="shared" si="2"/>
        <v>10653946.298656715</v>
      </c>
      <c r="P59" s="33">
        <f t="shared" si="2"/>
        <v>10657855.187641619</v>
      </c>
      <c r="Q59" s="33">
        <f t="shared" si="2"/>
        <v>10661765.51078178</v>
      </c>
      <c r="R59" s="33">
        <f t="shared" si="2"/>
        <v>10665677.268603384</v>
      </c>
      <c r="S59" s="33">
        <f t="shared" si="2"/>
        <v>10669590.461632811</v>
      </c>
      <c r="T59" s="33">
        <f t="shared" si="2"/>
        <v>10673505.090396632</v>
      </c>
      <c r="U59" s="33">
        <f t="shared" si="2"/>
        <v>10677421.155421611</v>
      </c>
      <c r="V59" s="33">
        <f t="shared" si="2"/>
        <v>10681338.657234706</v>
      </c>
      <c r="W59" s="33">
        <f t="shared" si="2"/>
        <v>10685257.596363071</v>
      </c>
      <c r="X59" s="33">
        <f t="shared" si="2"/>
        <v>10689177.97333405</v>
      </c>
      <c r="Y59" s="33">
        <f t="shared" si="2"/>
        <v>10693099.78867518</v>
      </c>
      <c r="Z59" s="33">
        <f t="shared" si="2"/>
        <v>10697023.042914195</v>
      </c>
      <c r="AA59" s="33">
        <f t="shared" si="2"/>
        <v>10700947.73657902</v>
      </c>
      <c r="AB59" s="33">
        <f t="shared" si="2"/>
        <v>10704873.870197773</v>
      </c>
      <c r="AC59" s="33">
        <f t="shared" si="2"/>
        <v>10708801.444298768</v>
      </c>
      <c r="AD59" s="33">
        <f t="shared" si="2"/>
        <v>10712730.459410515</v>
      </c>
      <c r="AE59" s="33">
        <f t="shared" si="2"/>
        <v>10716660.916061711</v>
      </c>
      <c r="AF59" s="33">
        <f t="shared" si="2"/>
        <v>10720592.814781252</v>
      </c>
      <c r="AG59" s="33">
        <f t="shared" si="2"/>
        <v>10724526.156098228</v>
      </c>
      <c r="AH59" s="33">
        <f t="shared" si="2"/>
        <v>10728460.940541921</v>
      </c>
      <c r="AI59" s="33">
        <f t="shared" si="2"/>
        <v>10732397.168641809</v>
      </c>
      <c r="AJ59" s="33">
        <f t="shared" si="2"/>
        <v>10736334.840927564</v>
      </c>
      <c r="AK59" s="33">
        <f t="shared" si="2"/>
        <v>10740273.957929049</v>
      </c>
      <c r="AL59" s="33">
        <f t="shared" si="2"/>
        <v>10744214.520176327</v>
      </c>
      <c r="AM59" s="33">
        <f t="shared" si="2"/>
        <v>10748156.52819965</v>
      </c>
      <c r="AN59" s="33">
        <f t="shared" si="2"/>
        <v>10752099.982529471</v>
      </c>
      <c r="AO59" s="33">
        <f t="shared" si="2"/>
        <v>10756044.883696431</v>
      </c>
      <c r="AP59" s="33">
        <f t="shared" si="2"/>
        <v>10759991.232231369</v>
      </c>
      <c r="AQ59" s="33">
        <f t="shared" si="2"/>
        <v>10763939.028665319</v>
      </c>
      <c r="AR59" s="33">
        <f t="shared" si="2"/>
        <v>10767888.273529509</v>
      </c>
      <c r="AS59" s="33">
        <f t="shared" si="2"/>
        <v>10771838.967355363</v>
      </c>
      <c r="AT59" s="33">
        <f t="shared" si="2"/>
        <v>10775791.110674499</v>
      </c>
      <c r="AU59" s="33">
        <f t="shared" si="2"/>
        <v>10779744.704018729</v>
      </c>
      <c r="AV59" s="33">
        <f t="shared" si="2"/>
        <v>10783699.747920061</v>
      </c>
      <c r="AW59" s="33">
        <f t="shared" si="2"/>
        <v>10787656.242910698</v>
      </c>
      <c r="AX59" s="33">
        <f t="shared" si="2"/>
        <v>10791614.189523041</v>
      </c>
      <c r="AY59" s="33">
        <f t="shared" si="2"/>
        <v>10795573.588289684</v>
      </c>
      <c r="AZ59" s="33">
        <f t="shared" si="2"/>
        <v>10799534.439743413</v>
      </c>
      <c r="BA59" s="33">
        <f t="shared" si="2"/>
        <v>10803496.744417215</v>
      </c>
      <c r="BB59" s="33">
        <f t="shared" si="2"/>
        <v>10807460.50284427</v>
      </c>
      <c r="BC59" s="33">
        <f t="shared" si="2"/>
        <v>10811425.715557955</v>
      </c>
      <c r="BD59" s="33">
        <f t="shared" si="2"/>
        <v>10815392.383091843</v>
      </c>
      <c r="BE59" s="33">
        <f t="shared" si="2"/>
        <v>10819360.505979698</v>
      </c>
      <c r="BF59" s="33">
        <f t="shared" si="2"/>
        <v>10823330.084755486</v>
      </c>
      <c r="BG59" s="33">
        <f t="shared" si="2"/>
        <v>10827301.119953366</v>
      </c>
      <c r="BH59" s="33">
        <f t="shared" si="2"/>
        <v>10831273.612107692</v>
      </c>
    </row>
    <row r="60" spans="1:60" ht="21" customHeight="1" x14ac:dyDescent="0.25">
      <c r="A60" s="28" t="s">
        <v>96</v>
      </c>
      <c r="B60" s="41">
        <v>10434746</v>
      </c>
      <c r="C60" s="33">
        <f>+B62</f>
        <v>10434746</v>
      </c>
      <c r="D60" s="33">
        <f t="shared" ref="D60:BH60" si="3">+C62</f>
        <v>10494723</v>
      </c>
      <c r="E60" s="33">
        <f t="shared" si="3"/>
        <v>10503716</v>
      </c>
      <c r="F60" s="33">
        <f t="shared" si="3"/>
        <v>10503716</v>
      </c>
      <c r="G60" s="33">
        <f t="shared" si="3"/>
        <v>10503716</v>
      </c>
      <c r="H60" s="33">
        <f t="shared" si="3"/>
        <v>10503716</v>
      </c>
      <c r="I60" s="33">
        <f t="shared" si="3"/>
        <v>10503716</v>
      </c>
      <c r="J60" s="33">
        <f t="shared" si="3"/>
        <v>10503716</v>
      </c>
      <c r="K60" s="33">
        <f t="shared" si="3"/>
        <v>10503716</v>
      </c>
      <c r="L60" s="33">
        <f t="shared" si="3"/>
        <v>10503716</v>
      </c>
      <c r="M60" s="33">
        <f t="shared" si="3"/>
        <v>10503716</v>
      </c>
      <c r="N60" s="33">
        <f t="shared" si="3"/>
        <v>10603313</v>
      </c>
      <c r="O60" s="33">
        <f t="shared" si="3"/>
        <v>10603313</v>
      </c>
      <c r="P60" s="33">
        <f t="shared" si="3"/>
        <v>10603313</v>
      </c>
      <c r="Q60" s="33">
        <f t="shared" si="3"/>
        <v>10603313</v>
      </c>
      <c r="R60" s="33">
        <f t="shared" si="3"/>
        <v>10603313</v>
      </c>
      <c r="S60" s="33">
        <f t="shared" si="3"/>
        <v>10603313</v>
      </c>
      <c r="T60" s="33">
        <f t="shared" si="3"/>
        <v>10603313</v>
      </c>
      <c r="U60" s="33">
        <f t="shared" si="3"/>
        <v>10603313</v>
      </c>
      <c r="V60" s="33">
        <f t="shared" si="3"/>
        <v>10603313</v>
      </c>
      <c r="W60" s="33">
        <f t="shared" si="3"/>
        <v>10603313</v>
      </c>
      <c r="X60" s="33">
        <f t="shared" si="3"/>
        <v>10603313</v>
      </c>
      <c r="Y60" s="33">
        <f t="shared" si="3"/>
        <v>10603313</v>
      </c>
      <c r="Z60" s="33">
        <f t="shared" si="3"/>
        <v>10603313</v>
      </c>
      <c r="AA60" s="33">
        <f t="shared" si="3"/>
        <v>10603313</v>
      </c>
      <c r="AB60" s="33">
        <f t="shared" si="3"/>
        <v>10603313</v>
      </c>
      <c r="AC60" s="33">
        <f t="shared" si="3"/>
        <v>10603313</v>
      </c>
      <c r="AD60" s="33">
        <f t="shared" si="3"/>
        <v>10603313</v>
      </c>
      <c r="AE60" s="33">
        <f t="shared" si="3"/>
        <v>10603313</v>
      </c>
      <c r="AF60" s="33">
        <f t="shared" si="3"/>
        <v>10603313</v>
      </c>
      <c r="AG60" s="33">
        <f t="shared" si="3"/>
        <v>10603313</v>
      </c>
      <c r="AH60" s="33">
        <f t="shared" si="3"/>
        <v>10603313</v>
      </c>
      <c r="AI60" s="33">
        <f t="shared" si="3"/>
        <v>10603313</v>
      </c>
      <c r="AJ60" s="33">
        <f t="shared" si="3"/>
        <v>10603313</v>
      </c>
      <c r="AK60" s="33">
        <f t="shared" si="3"/>
        <v>10603313</v>
      </c>
      <c r="AL60" s="33">
        <f t="shared" si="3"/>
        <v>10603313</v>
      </c>
      <c r="AM60" s="33">
        <f t="shared" si="3"/>
        <v>10603313</v>
      </c>
      <c r="AN60" s="33">
        <f t="shared" si="3"/>
        <v>10603313</v>
      </c>
      <c r="AO60" s="33">
        <f t="shared" si="3"/>
        <v>10603313</v>
      </c>
      <c r="AP60" s="33">
        <f t="shared" si="3"/>
        <v>10603313</v>
      </c>
      <c r="AQ60" s="33">
        <f t="shared" si="3"/>
        <v>10603313</v>
      </c>
      <c r="AR60" s="33">
        <f t="shared" si="3"/>
        <v>10603313</v>
      </c>
      <c r="AS60" s="33">
        <f t="shared" si="3"/>
        <v>10603313</v>
      </c>
      <c r="AT60" s="33">
        <f t="shared" si="3"/>
        <v>10603313</v>
      </c>
      <c r="AU60" s="33">
        <f t="shared" si="3"/>
        <v>10603313</v>
      </c>
      <c r="AV60" s="33">
        <f t="shared" si="3"/>
        <v>10603313</v>
      </c>
      <c r="AW60" s="33">
        <f t="shared" si="3"/>
        <v>10603313</v>
      </c>
      <c r="AX60" s="33">
        <f t="shared" si="3"/>
        <v>10603313</v>
      </c>
      <c r="AY60" s="33">
        <f t="shared" si="3"/>
        <v>10603313</v>
      </c>
      <c r="AZ60" s="33">
        <f t="shared" si="3"/>
        <v>10603313</v>
      </c>
      <c r="BA60" s="33">
        <f t="shared" si="3"/>
        <v>10603313</v>
      </c>
      <c r="BB60" s="33">
        <f t="shared" si="3"/>
        <v>10603313</v>
      </c>
      <c r="BC60" s="33">
        <f t="shared" si="3"/>
        <v>10603313</v>
      </c>
      <c r="BD60" s="33">
        <f t="shared" si="3"/>
        <v>10603313</v>
      </c>
      <c r="BE60" s="33">
        <f t="shared" si="3"/>
        <v>10603313</v>
      </c>
      <c r="BF60" s="33">
        <f t="shared" si="3"/>
        <v>10603313</v>
      </c>
      <c r="BG60" s="33">
        <f t="shared" si="3"/>
        <v>10603313</v>
      </c>
      <c r="BH60" s="33">
        <f t="shared" si="3"/>
        <v>10603313</v>
      </c>
    </row>
    <row r="61" spans="1:60" ht="21" customHeight="1" x14ac:dyDescent="0.25">
      <c r="A61" s="30" t="s">
        <v>97</v>
      </c>
      <c r="B61" s="42">
        <v>0</v>
      </c>
      <c r="C61" s="42">
        <f>INT(+C58/B$119)</f>
        <v>59977</v>
      </c>
      <c r="D61" s="42">
        <f>INT(+D58/C$119)</f>
        <v>8993</v>
      </c>
      <c r="E61" s="42">
        <f>INT(+E58/D$119)</f>
        <v>0</v>
      </c>
      <c r="F61" s="42">
        <f>INT(+F58/E$119)</f>
        <v>0</v>
      </c>
      <c r="G61" s="42">
        <f>INT(+G58/F$119)</f>
        <v>0</v>
      </c>
      <c r="H61" s="42">
        <f>INT(+H58/G$119)</f>
        <v>0</v>
      </c>
      <c r="I61" s="42">
        <f>INT(+I58/H$119)</f>
        <v>0</v>
      </c>
      <c r="J61" s="42">
        <f>INT(+J58/I$119)</f>
        <v>0</v>
      </c>
      <c r="K61" s="42">
        <f>INT(+K58/J$119)</f>
        <v>0</v>
      </c>
      <c r="L61" s="42">
        <f>INT(+L58/K$119)</f>
        <v>0</v>
      </c>
      <c r="M61" s="42">
        <f>INT(+M58/L$119)</f>
        <v>99597</v>
      </c>
      <c r="N61" s="42">
        <f>INT(+N58/M$119)</f>
        <v>0</v>
      </c>
      <c r="O61" s="42">
        <f>INT(+O58/N$119)</f>
        <v>0</v>
      </c>
      <c r="P61" s="42">
        <f>INT(+P58/O$119)</f>
        <v>0</v>
      </c>
      <c r="Q61" s="42">
        <f>INT(+Q58/P$119)</f>
        <v>0</v>
      </c>
      <c r="R61" s="42">
        <f>INT(+R58/Q$119)</f>
        <v>0</v>
      </c>
      <c r="S61" s="42">
        <f>INT(+S58/R$119)</f>
        <v>0</v>
      </c>
      <c r="T61" s="42">
        <f>INT(+T58/S$119)</f>
        <v>0</v>
      </c>
      <c r="U61" s="42">
        <f>INT(+U58/T$119)</f>
        <v>0</v>
      </c>
      <c r="V61" s="42">
        <f>INT(+V58/U$119)</f>
        <v>0</v>
      </c>
      <c r="W61" s="42">
        <f>INT(+W58/V$119)</f>
        <v>0</v>
      </c>
      <c r="X61" s="42">
        <f>INT(+X58/W$119)</f>
        <v>0</v>
      </c>
      <c r="Y61" s="42">
        <f>INT(+Y58/X$119)</f>
        <v>0</v>
      </c>
      <c r="Z61" s="42">
        <f>INT(+Z58/Y$119)</f>
        <v>0</v>
      </c>
      <c r="AA61" s="42">
        <f>INT(+AA58/Z$119)</f>
        <v>0</v>
      </c>
      <c r="AB61" s="42">
        <f>INT(+AB58/AA$119)</f>
        <v>0</v>
      </c>
      <c r="AC61" s="42">
        <f>INT(+AC58/AB$119)</f>
        <v>0</v>
      </c>
      <c r="AD61" s="42">
        <f>INT(+AD58/AC$119)</f>
        <v>0</v>
      </c>
      <c r="AE61" s="42">
        <f>INT(+AE58/AD$119)</f>
        <v>0</v>
      </c>
      <c r="AF61" s="42">
        <f>INT(+AF58/AE$119)</f>
        <v>0</v>
      </c>
      <c r="AG61" s="42">
        <f>INT(+AG58/AF$119)</f>
        <v>0</v>
      </c>
      <c r="AH61" s="42">
        <f>INT(+AH58/AG$119)</f>
        <v>0</v>
      </c>
      <c r="AI61" s="42">
        <f>INT(+AI58/AH$119)</f>
        <v>0</v>
      </c>
      <c r="AJ61" s="42">
        <f>INT(+AJ58/AI$119)</f>
        <v>0</v>
      </c>
      <c r="AK61" s="42">
        <f>INT(+AK58/AJ$119)</f>
        <v>0</v>
      </c>
      <c r="AL61" s="42">
        <f>INT(+AL58/AK$119)</f>
        <v>0</v>
      </c>
      <c r="AM61" s="42">
        <f>INT(+AM58/AL$119)</f>
        <v>0</v>
      </c>
      <c r="AN61" s="42">
        <f>INT(+AN58/AM$119)</f>
        <v>0</v>
      </c>
      <c r="AO61" s="42">
        <f>INT(+AO58/AN$119)</f>
        <v>0</v>
      </c>
      <c r="AP61" s="42">
        <f>INT(+AP58/AO$119)</f>
        <v>0</v>
      </c>
      <c r="AQ61" s="42">
        <f>INT(+AQ58/AP$119)</f>
        <v>0</v>
      </c>
      <c r="AR61" s="42">
        <f>INT(+AR58/AQ$119)</f>
        <v>0</v>
      </c>
      <c r="AS61" s="42">
        <f>INT(+AS58/AR$119)</f>
        <v>0</v>
      </c>
      <c r="AT61" s="42">
        <f>INT(+AT58/AS$119)</f>
        <v>0</v>
      </c>
      <c r="AU61" s="42">
        <f>INT(+AU58/AT$119)</f>
        <v>0</v>
      </c>
      <c r="AV61" s="42">
        <f>INT(+AV58/AU$119)</f>
        <v>0</v>
      </c>
      <c r="AW61" s="42">
        <f>INT(+AW58/AV$119)</f>
        <v>0</v>
      </c>
      <c r="AX61" s="42">
        <f>INT(+AX58/AW$119)</f>
        <v>0</v>
      </c>
      <c r="AY61" s="42">
        <f>INT(+AY58/AX$119)</f>
        <v>0</v>
      </c>
      <c r="AZ61" s="42">
        <f>INT(+AZ58/AY$119)</f>
        <v>0</v>
      </c>
      <c r="BA61" s="42">
        <f>INT(+BA58/AZ$119)</f>
        <v>0</v>
      </c>
      <c r="BB61" s="42">
        <f>INT(+BB58/BA$119)</f>
        <v>0</v>
      </c>
      <c r="BC61" s="42">
        <f>INT(+BC58/BB$119)</f>
        <v>0</v>
      </c>
      <c r="BD61" s="42">
        <f>INT(+BD58/BC$119)</f>
        <v>0</v>
      </c>
      <c r="BE61" s="42">
        <f>INT(+BE58/BD$119)</f>
        <v>0</v>
      </c>
      <c r="BF61" s="42">
        <f>INT(+BF58/BE$119)</f>
        <v>0</v>
      </c>
      <c r="BG61" s="42">
        <f>INT(+BG58/BF$119)</f>
        <v>0</v>
      </c>
      <c r="BH61" s="42">
        <f>INT(+BH58/BG$119)</f>
        <v>0</v>
      </c>
    </row>
    <row r="62" spans="1:60" ht="21" customHeight="1" x14ac:dyDescent="0.25">
      <c r="A62" s="32" t="s">
        <v>98</v>
      </c>
      <c r="B62" s="33">
        <f>+B60+B61</f>
        <v>10434746</v>
      </c>
      <c r="C62" s="33">
        <f t="shared" ref="C62:BH62" si="4">+C60+C61</f>
        <v>10494723</v>
      </c>
      <c r="D62" s="33">
        <f t="shared" si="4"/>
        <v>10503716</v>
      </c>
      <c r="E62" s="33">
        <f t="shared" si="4"/>
        <v>10503716</v>
      </c>
      <c r="F62" s="33">
        <f t="shared" si="4"/>
        <v>10503716</v>
      </c>
      <c r="G62" s="33">
        <f t="shared" si="4"/>
        <v>10503716</v>
      </c>
      <c r="H62" s="33">
        <f t="shared" si="4"/>
        <v>10503716</v>
      </c>
      <c r="I62" s="33">
        <f t="shared" si="4"/>
        <v>10503716</v>
      </c>
      <c r="J62" s="33">
        <f t="shared" si="4"/>
        <v>10503716</v>
      </c>
      <c r="K62" s="33">
        <f t="shared" si="4"/>
        <v>10503716</v>
      </c>
      <c r="L62" s="33">
        <f t="shared" si="4"/>
        <v>10503716</v>
      </c>
      <c r="M62" s="33">
        <f t="shared" si="4"/>
        <v>10603313</v>
      </c>
      <c r="N62" s="33">
        <f t="shared" si="4"/>
        <v>10603313</v>
      </c>
      <c r="O62" s="33">
        <f t="shared" si="4"/>
        <v>10603313</v>
      </c>
      <c r="P62" s="33">
        <f t="shared" si="4"/>
        <v>10603313</v>
      </c>
      <c r="Q62" s="33">
        <f t="shared" si="4"/>
        <v>10603313</v>
      </c>
      <c r="R62" s="33">
        <f t="shared" si="4"/>
        <v>10603313</v>
      </c>
      <c r="S62" s="33">
        <f t="shared" si="4"/>
        <v>10603313</v>
      </c>
      <c r="T62" s="33">
        <f t="shared" si="4"/>
        <v>10603313</v>
      </c>
      <c r="U62" s="33">
        <f t="shared" si="4"/>
        <v>10603313</v>
      </c>
      <c r="V62" s="33">
        <f t="shared" si="4"/>
        <v>10603313</v>
      </c>
      <c r="W62" s="33">
        <f t="shared" si="4"/>
        <v>10603313</v>
      </c>
      <c r="X62" s="33">
        <f t="shared" si="4"/>
        <v>10603313</v>
      </c>
      <c r="Y62" s="33">
        <f t="shared" si="4"/>
        <v>10603313</v>
      </c>
      <c r="Z62" s="33">
        <f t="shared" si="4"/>
        <v>10603313</v>
      </c>
      <c r="AA62" s="33">
        <f t="shared" si="4"/>
        <v>10603313</v>
      </c>
      <c r="AB62" s="33">
        <f t="shared" si="4"/>
        <v>10603313</v>
      </c>
      <c r="AC62" s="33">
        <f t="shared" si="4"/>
        <v>10603313</v>
      </c>
      <c r="AD62" s="33">
        <f t="shared" si="4"/>
        <v>10603313</v>
      </c>
      <c r="AE62" s="33">
        <f t="shared" si="4"/>
        <v>10603313</v>
      </c>
      <c r="AF62" s="33">
        <f t="shared" si="4"/>
        <v>10603313</v>
      </c>
      <c r="AG62" s="33">
        <f t="shared" si="4"/>
        <v>10603313</v>
      </c>
      <c r="AH62" s="33">
        <f t="shared" si="4"/>
        <v>10603313</v>
      </c>
      <c r="AI62" s="33">
        <f t="shared" si="4"/>
        <v>10603313</v>
      </c>
      <c r="AJ62" s="33">
        <f t="shared" si="4"/>
        <v>10603313</v>
      </c>
      <c r="AK62" s="33">
        <f t="shared" si="4"/>
        <v>10603313</v>
      </c>
      <c r="AL62" s="33">
        <f t="shared" si="4"/>
        <v>10603313</v>
      </c>
      <c r="AM62" s="33">
        <f t="shared" si="4"/>
        <v>10603313</v>
      </c>
      <c r="AN62" s="33">
        <f t="shared" si="4"/>
        <v>10603313</v>
      </c>
      <c r="AO62" s="33">
        <f t="shared" si="4"/>
        <v>10603313</v>
      </c>
      <c r="AP62" s="33">
        <f t="shared" si="4"/>
        <v>10603313</v>
      </c>
      <c r="AQ62" s="33">
        <f t="shared" si="4"/>
        <v>10603313</v>
      </c>
      <c r="AR62" s="33">
        <f t="shared" si="4"/>
        <v>10603313</v>
      </c>
      <c r="AS62" s="33">
        <f t="shared" si="4"/>
        <v>10603313</v>
      </c>
      <c r="AT62" s="33">
        <f t="shared" si="4"/>
        <v>10603313</v>
      </c>
      <c r="AU62" s="33">
        <f t="shared" si="4"/>
        <v>10603313</v>
      </c>
      <c r="AV62" s="33">
        <f t="shared" si="4"/>
        <v>10603313</v>
      </c>
      <c r="AW62" s="33">
        <f t="shared" si="4"/>
        <v>10603313</v>
      </c>
      <c r="AX62" s="33">
        <f t="shared" si="4"/>
        <v>10603313</v>
      </c>
      <c r="AY62" s="33">
        <f t="shared" si="4"/>
        <v>10603313</v>
      </c>
      <c r="AZ62" s="33">
        <f t="shared" si="4"/>
        <v>10603313</v>
      </c>
      <c r="BA62" s="33">
        <f t="shared" si="4"/>
        <v>10603313</v>
      </c>
      <c r="BB62" s="33">
        <f t="shared" si="4"/>
        <v>10603313</v>
      </c>
      <c r="BC62" s="33">
        <f t="shared" si="4"/>
        <v>10603313</v>
      </c>
      <c r="BD62" s="33">
        <f t="shared" si="4"/>
        <v>10603313</v>
      </c>
      <c r="BE62" s="33">
        <f t="shared" si="4"/>
        <v>10603313</v>
      </c>
      <c r="BF62" s="33">
        <f t="shared" si="4"/>
        <v>10603313</v>
      </c>
      <c r="BG62" s="33">
        <f t="shared" si="4"/>
        <v>10603313</v>
      </c>
      <c r="BH62" s="33">
        <f t="shared" si="4"/>
        <v>10603313</v>
      </c>
    </row>
    <row r="63" spans="1:60" ht="24" customHeight="1" x14ac:dyDescent="0.25">
      <c r="A63" s="28" t="s">
        <v>99</v>
      </c>
      <c r="B63" s="43">
        <v>1</v>
      </c>
      <c r="C63" s="20">
        <f>+B119</f>
        <v>1.0003676762506084</v>
      </c>
      <c r="D63" s="20">
        <f t="shared" ref="D63:BH63" si="5">+C119</f>
        <v>1.0007326997787267</v>
      </c>
      <c r="E63" s="20">
        <f t="shared" si="5"/>
        <v>1.0010995892379189</v>
      </c>
      <c r="F63" s="20">
        <f t="shared" si="5"/>
        <v>1.0014668885510061</v>
      </c>
      <c r="G63" s="20">
        <f t="shared" si="5"/>
        <v>1.0018343226246975</v>
      </c>
      <c r="H63" s="20">
        <f t="shared" si="5"/>
        <v>1.0022018915084359</v>
      </c>
      <c r="I63" s="20">
        <f t="shared" si="5"/>
        <v>1.0025695952516827</v>
      </c>
      <c r="J63" s="20">
        <f t="shared" si="5"/>
        <v>1.0029374339039174</v>
      </c>
      <c r="K63" s="20">
        <f t="shared" si="5"/>
        <v>1.0033054075146377</v>
      </c>
      <c r="L63" s="20">
        <f t="shared" si="5"/>
        <v>1.003673516133359</v>
      </c>
      <c r="M63" s="20">
        <f t="shared" si="5"/>
        <v>1.0040417598096152</v>
      </c>
      <c r="N63" s="20">
        <f t="shared" si="5"/>
        <v>1.0044067211164165</v>
      </c>
      <c r="O63" s="20">
        <f t="shared" si="5"/>
        <v>1.0047752338025591</v>
      </c>
      <c r="P63" s="20">
        <f t="shared" si="5"/>
        <v>1.0051438816944873</v>
      </c>
      <c r="Q63" s="20">
        <f t="shared" si="5"/>
        <v>1.0055126648418073</v>
      </c>
      <c r="R63" s="20">
        <f t="shared" si="5"/>
        <v>1.0058815832941443</v>
      </c>
      <c r="S63" s="20">
        <f t="shared" si="5"/>
        <v>1.006250637101141</v>
      </c>
      <c r="T63" s="20">
        <f t="shared" si="5"/>
        <v>1.0066198263124584</v>
      </c>
      <c r="U63" s="20">
        <f t="shared" si="5"/>
        <v>1.0069891509777755</v>
      </c>
      <c r="V63" s="20">
        <f t="shared" si="5"/>
        <v>1.0073586111467903</v>
      </c>
      <c r="W63" s="20">
        <f t="shared" si="5"/>
        <v>1.0077282068692182</v>
      </c>
      <c r="X63" s="20">
        <f t="shared" si="5"/>
        <v>1.0080979381947934</v>
      </c>
      <c r="Y63" s="20">
        <f t="shared" si="5"/>
        <v>1.0084678051732681</v>
      </c>
      <c r="Z63" s="20">
        <f t="shared" si="5"/>
        <v>1.0088378078544127</v>
      </c>
      <c r="AA63" s="20">
        <f t="shared" si="5"/>
        <v>1.0092079462880157</v>
      </c>
      <c r="AB63" s="20">
        <f t="shared" si="5"/>
        <v>1.0095782205238846</v>
      </c>
      <c r="AC63" s="20">
        <f t="shared" si="5"/>
        <v>1.0099486306118444</v>
      </c>
      <c r="AD63" s="20">
        <f t="shared" si="5"/>
        <v>1.010319176601739</v>
      </c>
      <c r="AE63" s="20">
        <f t="shared" si="5"/>
        <v>1.0106898585434299</v>
      </c>
      <c r="AF63" s="20">
        <f t="shared" si="5"/>
        <v>1.0110606764867973</v>
      </c>
      <c r="AG63" s="20">
        <f t="shared" si="5"/>
        <v>1.0114316304817399</v>
      </c>
      <c r="AH63" s="20">
        <f t="shared" si="5"/>
        <v>1.0118027205781741</v>
      </c>
      <c r="AI63" s="20">
        <f t="shared" si="5"/>
        <v>1.0121739468260353</v>
      </c>
      <c r="AJ63" s="20">
        <f t="shared" si="5"/>
        <v>1.0125453092752768</v>
      </c>
      <c r="AK63" s="20">
        <f t="shared" si="5"/>
        <v>1.0129168079758701</v>
      </c>
      <c r="AL63" s="20">
        <f t="shared" si="5"/>
        <v>1.0132884429778057</v>
      </c>
      <c r="AM63" s="20">
        <f t="shared" si="5"/>
        <v>1.0136602143310915</v>
      </c>
      <c r="AN63" s="20">
        <f t="shared" si="5"/>
        <v>1.0140321220857549</v>
      </c>
      <c r="AO63" s="20">
        <f t="shared" si="5"/>
        <v>1.0144041662918402</v>
      </c>
      <c r="AP63" s="20">
        <f t="shared" si="5"/>
        <v>1.0147763469994113</v>
      </c>
      <c r="AQ63" s="20">
        <f t="shared" si="5"/>
        <v>1.0151486642585501</v>
      </c>
      <c r="AR63" s="20">
        <f t="shared" si="5"/>
        <v>1.0155211181193566</v>
      </c>
      <c r="AS63" s="20">
        <f t="shared" si="5"/>
        <v>1.0158937086319495</v>
      </c>
      <c r="AT63" s="20">
        <f t="shared" si="5"/>
        <v>1.0162664358464659</v>
      </c>
      <c r="AU63" s="20">
        <f t="shared" si="5"/>
        <v>1.0166392998130611</v>
      </c>
      <c r="AV63" s="20">
        <f t="shared" si="5"/>
        <v>1.0170123005819087</v>
      </c>
      <c r="AW63" s="20">
        <f t="shared" si="5"/>
        <v>1.017385438203201</v>
      </c>
      <c r="AX63" s="20">
        <f t="shared" si="5"/>
        <v>1.0177587127271488</v>
      </c>
      <c r="AY63" s="20">
        <f t="shared" si="5"/>
        <v>1.0181321242039807</v>
      </c>
      <c r="AZ63" s="20">
        <f t="shared" si="5"/>
        <v>1.0185056726839443</v>
      </c>
      <c r="BA63" s="20">
        <f t="shared" si="5"/>
        <v>1.0188793582173057</v>
      </c>
      <c r="BB63" s="20">
        <f t="shared" si="5"/>
        <v>1.019253180854349</v>
      </c>
      <c r="BC63" s="20">
        <f t="shared" si="5"/>
        <v>1.0196271406453772</v>
      </c>
      <c r="BD63" s="20">
        <f t="shared" si="5"/>
        <v>1.0200012376407113</v>
      </c>
      <c r="BE63" s="20">
        <f t="shared" si="5"/>
        <v>1.020375471890691</v>
      </c>
      <c r="BF63" s="20">
        <f t="shared" si="5"/>
        <v>1.0207498434456745</v>
      </c>
      <c r="BG63" s="20">
        <f t="shared" si="5"/>
        <v>1.0211243523560387</v>
      </c>
      <c r="BH63" s="20">
        <f t="shared" si="5"/>
        <v>1.0214989986721785</v>
      </c>
    </row>
    <row r="64" spans="1:60" s="45" customFormat="1" ht="24" customHeight="1" x14ac:dyDescent="0.25">
      <c r="A64" s="44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</row>
    <row r="65" spans="1:72" s="45" customFormat="1" ht="24" customHeight="1" x14ac:dyDescent="0.25">
      <c r="A65" s="28" t="s">
        <v>283</v>
      </c>
      <c r="B65" s="46">
        <v>0.13391699558970527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</row>
    <row r="66" spans="1:72" s="45" customFormat="1" ht="24" customHeight="1" x14ac:dyDescent="0.25">
      <c r="A66" s="47" t="s">
        <v>275</v>
      </c>
      <c r="B66" s="48">
        <f>+B65/365</f>
        <v>3.6689587832795963E-4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</row>
    <row r="67" spans="1:72" s="45" customFormat="1" ht="24" customHeight="1" x14ac:dyDescent="0.25">
      <c r="A67" s="47" t="s">
        <v>274</v>
      </c>
      <c r="B67" s="49">
        <f>+$B$66*B$57</f>
        <v>3828.4682853316131</v>
      </c>
      <c r="C67" s="49">
        <f t="shared" ref="C67:BH67" si="6">+$B$66*C$57</f>
        <v>3829.8729345658107</v>
      </c>
      <c r="D67" s="49">
        <f t="shared" si="6"/>
        <v>3853.2918518596998</v>
      </c>
      <c r="E67" s="49">
        <f t="shared" si="6"/>
        <v>3858.0076716630933</v>
      </c>
      <c r="F67" s="49">
        <f t="shared" si="6"/>
        <v>3859.4231587763848</v>
      </c>
      <c r="G67" s="49">
        <f t="shared" si="6"/>
        <v>3860.839165226063</v>
      </c>
      <c r="H67" s="49">
        <f t="shared" si="6"/>
        <v>3862.2556912026712</v>
      </c>
      <c r="I67" s="49">
        <f t="shared" si="6"/>
        <v>3863.6727368968222</v>
      </c>
      <c r="J67" s="49">
        <f t="shared" si="6"/>
        <v>3865.0903024991976</v>
      </c>
      <c r="K67" s="49">
        <f t="shared" si="6"/>
        <v>3866.5083882005497</v>
      </c>
      <c r="L67" s="49">
        <f t="shared" si="6"/>
        <v>3867.9269941917009</v>
      </c>
      <c r="M67" s="49">
        <f t="shared" si="6"/>
        <v>3869.3461206635434</v>
      </c>
      <c r="N67" s="49">
        <f t="shared" si="6"/>
        <v>3907.455355639835</v>
      </c>
      <c r="O67" s="49">
        <f t="shared" si="6"/>
        <v>3908.88898490457</v>
      </c>
      <c r="P67" s="49">
        <f t="shared" si="6"/>
        <v>3910.3231401619728</v>
      </c>
      <c r="Q67" s="49">
        <f t="shared" si="6"/>
        <v>3911.7578216050283</v>
      </c>
      <c r="R67" s="49">
        <f t="shared" si="6"/>
        <v>3913.1930294267922</v>
      </c>
      <c r="S67" s="49">
        <f t="shared" si="6"/>
        <v>3914.6287638203903</v>
      </c>
      <c r="T67" s="49">
        <f t="shared" si="6"/>
        <v>3916.0650249790201</v>
      </c>
      <c r="U67" s="49">
        <f t="shared" si="6"/>
        <v>3917.5018130959493</v>
      </c>
      <c r="V67" s="49">
        <f t="shared" si="6"/>
        <v>3918.9391283645164</v>
      </c>
      <c r="W67" s="49">
        <f t="shared" si="6"/>
        <v>3920.3769709781318</v>
      </c>
      <c r="X67" s="49">
        <f t="shared" si="6"/>
        <v>3921.8153411302756</v>
      </c>
      <c r="Y67" s="49">
        <f t="shared" si="6"/>
        <v>3923.2542390144995</v>
      </c>
      <c r="Z67" s="49">
        <f t="shared" si="6"/>
        <v>3924.6936648244268</v>
      </c>
      <c r="AA67" s="49">
        <f t="shared" si="6"/>
        <v>3926.1336187537509</v>
      </c>
      <c r="AB67" s="49">
        <f t="shared" si="6"/>
        <v>3927.5741009962362</v>
      </c>
      <c r="AC67" s="49">
        <f t="shared" si="6"/>
        <v>3929.0151117457194</v>
      </c>
      <c r="AD67" s="49">
        <f t="shared" si="6"/>
        <v>3930.456651196107</v>
      </c>
      <c r="AE67" s="49">
        <f t="shared" si="6"/>
        <v>3931.8987195413779</v>
      </c>
      <c r="AF67" s="49">
        <f t="shared" si="6"/>
        <v>3933.3413169755804</v>
      </c>
      <c r="AG67" s="49">
        <f t="shared" si="6"/>
        <v>3934.7844436928358</v>
      </c>
      <c r="AH67" s="49">
        <f t="shared" si="6"/>
        <v>3936.2280998873362</v>
      </c>
      <c r="AI67" s="49">
        <f t="shared" si="6"/>
        <v>3937.6722857533437</v>
      </c>
      <c r="AJ67" s="49">
        <f t="shared" si="6"/>
        <v>3939.1170014851932</v>
      </c>
      <c r="AK67" s="49">
        <f t="shared" si="6"/>
        <v>3940.5622472772898</v>
      </c>
      <c r="AL67" s="49">
        <f t="shared" si="6"/>
        <v>3942.0080233241106</v>
      </c>
      <c r="AM67" s="49">
        <f t="shared" si="6"/>
        <v>3943.4543298202038</v>
      </c>
      <c r="AN67" s="49">
        <f t="shared" si="6"/>
        <v>3944.9011669601896</v>
      </c>
      <c r="AO67" s="49">
        <f t="shared" si="6"/>
        <v>3946.3485349387583</v>
      </c>
      <c r="AP67" s="49">
        <f t="shared" si="6"/>
        <v>3947.796433950673</v>
      </c>
      <c r="AQ67" s="49">
        <f t="shared" si="6"/>
        <v>3949.2448641907667</v>
      </c>
      <c r="AR67" s="49">
        <f t="shared" si="6"/>
        <v>3950.6938258539462</v>
      </c>
      <c r="AS67" s="49">
        <f t="shared" si="6"/>
        <v>3952.1433191351875</v>
      </c>
      <c r="AT67" s="49">
        <f t="shared" si="6"/>
        <v>3953.59334422954</v>
      </c>
      <c r="AU67" s="49">
        <f t="shared" si="6"/>
        <v>3955.0439013321229</v>
      </c>
      <c r="AV67" s="49">
        <f t="shared" si="6"/>
        <v>3956.4949906381275</v>
      </c>
      <c r="AW67" s="49">
        <f t="shared" si="6"/>
        <v>3957.9466123428174</v>
      </c>
      <c r="AX67" s="49">
        <f t="shared" si="6"/>
        <v>3959.3987666415283</v>
      </c>
      <c r="AY67" s="49">
        <f t="shared" si="6"/>
        <v>3960.8514537296664</v>
      </c>
      <c r="AZ67" s="49">
        <f t="shared" si="6"/>
        <v>3962.3046738027087</v>
      </c>
      <c r="BA67" s="49">
        <f t="shared" si="6"/>
        <v>3963.7584270562065</v>
      </c>
      <c r="BB67" s="49">
        <f t="shared" si="6"/>
        <v>3965.2127136857807</v>
      </c>
      <c r="BC67" s="49">
        <f t="shared" si="6"/>
        <v>3966.6675338871255</v>
      </c>
      <c r="BD67" s="49">
        <f t="shared" si="6"/>
        <v>3968.1228878560059</v>
      </c>
      <c r="BE67" s="49">
        <f t="shared" si="6"/>
        <v>3969.578775788259</v>
      </c>
      <c r="BF67" s="49">
        <f t="shared" si="6"/>
        <v>3971.0351978797939</v>
      </c>
      <c r="BG67" s="49">
        <f t="shared" si="6"/>
        <v>3972.4921543265914</v>
      </c>
      <c r="BH67" s="49">
        <f t="shared" si="6"/>
        <v>3973.9496453247039</v>
      </c>
      <c r="BJ67" s="22">
        <f>SUM(B67:BI67)</f>
        <v>231493.42175302215</v>
      </c>
      <c r="BL67" s="22">
        <f>+BJ67-BJ116</f>
        <v>3.2573007047176361E-6</v>
      </c>
    </row>
    <row r="68" spans="1:72" s="45" customFormat="1" ht="24" hidden="1" customHeight="1" outlineLevel="1" x14ac:dyDescent="0.25">
      <c r="A68" s="47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J68" s="22"/>
      <c r="BL68" s="22"/>
    </row>
    <row r="69" spans="1:72" ht="20.100000000000001" hidden="1" customHeight="1" outlineLevel="1" x14ac:dyDescent="0.25">
      <c r="A69" s="26" t="s">
        <v>60</v>
      </c>
      <c r="B69" s="50">
        <v>546.57534199999998</v>
      </c>
      <c r="C69" s="50">
        <v>546.57534199999998</v>
      </c>
      <c r="D69" s="50">
        <v>546.57534199999998</v>
      </c>
      <c r="E69" s="50">
        <v>546.57534199999998</v>
      </c>
      <c r="F69" s="50">
        <v>546.57534199999998</v>
      </c>
      <c r="G69" s="50">
        <v>546.57534199999998</v>
      </c>
      <c r="H69" s="50">
        <v>546.57534199999998</v>
      </c>
      <c r="I69" s="50">
        <v>546.57534199999998</v>
      </c>
      <c r="J69" s="50">
        <v>546.57534199999998</v>
      </c>
      <c r="K69" s="50">
        <v>546.57534199999998</v>
      </c>
      <c r="L69" s="50">
        <v>546.57534199999998</v>
      </c>
      <c r="M69" s="50">
        <v>546.57534199999998</v>
      </c>
      <c r="N69" s="50">
        <v>546.57534199999998</v>
      </c>
      <c r="O69" s="50">
        <v>546.57534199999998</v>
      </c>
      <c r="P69" s="50">
        <v>546.57534199999998</v>
      </c>
      <c r="Q69" s="50">
        <v>546.57534199999998</v>
      </c>
      <c r="R69" s="50">
        <v>546.57534199999998</v>
      </c>
      <c r="S69" s="50">
        <v>546.57534199999998</v>
      </c>
      <c r="T69" s="50">
        <v>546.57534199999998</v>
      </c>
      <c r="U69" s="50">
        <v>546.57534199999998</v>
      </c>
      <c r="V69" s="50">
        <v>546.57534199999998</v>
      </c>
      <c r="W69" s="50">
        <v>546.57534199999998</v>
      </c>
      <c r="X69" s="50">
        <v>546.57534199999998</v>
      </c>
      <c r="Y69" s="50">
        <v>546.57534199999998</v>
      </c>
      <c r="Z69" s="50">
        <v>546.57534199999998</v>
      </c>
      <c r="AA69" s="50">
        <v>546.57534199999998</v>
      </c>
      <c r="AB69" s="50">
        <v>546.57534199999998</v>
      </c>
      <c r="AC69" s="50">
        <v>546.57534199999998</v>
      </c>
      <c r="AD69" s="50">
        <v>546.57534199999998</v>
      </c>
      <c r="AE69" s="50">
        <v>546.57534199999998</v>
      </c>
      <c r="AF69" s="50">
        <v>546.57534199999998</v>
      </c>
      <c r="AG69" s="50">
        <v>546.57534199999998</v>
      </c>
      <c r="AH69" s="50">
        <v>546.57534199999998</v>
      </c>
      <c r="AI69" s="50">
        <v>546.57534199999998</v>
      </c>
      <c r="AJ69" s="50">
        <v>546.57534199999998</v>
      </c>
      <c r="AK69" s="50">
        <v>546.57534199999998</v>
      </c>
      <c r="AL69" s="50">
        <v>546.57534199999998</v>
      </c>
      <c r="AM69" s="50">
        <v>546.57534199999998</v>
      </c>
      <c r="AN69" s="50">
        <v>546.57534199999998</v>
      </c>
      <c r="AO69" s="50">
        <v>546.57534199999998</v>
      </c>
      <c r="AP69" s="50">
        <v>546.57534199999998</v>
      </c>
      <c r="AQ69" s="50">
        <v>546.57534199999998</v>
      </c>
      <c r="AR69" s="50">
        <v>546.57534199999998</v>
      </c>
      <c r="AS69" s="50">
        <v>546.57534199999998</v>
      </c>
      <c r="AT69" s="50">
        <v>546.57534199999998</v>
      </c>
      <c r="AU69" s="50">
        <v>546.57534199999998</v>
      </c>
      <c r="AV69" s="50">
        <v>546.57534199999998</v>
      </c>
      <c r="AW69" s="50">
        <v>546.57534199999998</v>
      </c>
      <c r="AX69" s="50">
        <v>546.57534199999998</v>
      </c>
      <c r="AY69" s="50">
        <v>546.57534199999998</v>
      </c>
      <c r="AZ69" s="50">
        <v>546.57534199999998</v>
      </c>
      <c r="BA69" s="50">
        <v>546.57534199999998</v>
      </c>
      <c r="BB69" s="50">
        <v>546.57534199999998</v>
      </c>
      <c r="BC69" s="50">
        <v>546.57534199999998</v>
      </c>
      <c r="BD69" s="50">
        <v>546.57534199999998</v>
      </c>
      <c r="BE69" s="50">
        <v>546.57534199999998</v>
      </c>
      <c r="BF69" s="50">
        <v>546.57534199999998</v>
      </c>
      <c r="BG69" s="50">
        <v>546.57534199999998</v>
      </c>
      <c r="BH69" s="50">
        <v>546.57534199999998</v>
      </c>
      <c r="BI69" s="50"/>
      <c r="BJ69" s="50">
        <f>SUM(B69:BI69)</f>
        <v>32247.945178000002</v>
      </c>
      <c r="BK69" s="50"/>
      <c r="BL69" s="50"/>
      <c r="BM69" s="50"/>
      <c r="BN69" s="50"/>
      <c r="BO69" s="50"/>
      <c r="BP69" s="50"/>
      <c r="BQ69" s="50"/>
      <c r="BR69" s="50"/>
      <c r="BS69" s="50"/>
      <c r="BT69" s="50"/>
    </row>
    <row r="70" spans="1:72" ht="20.100000000000001" hidden="1" customHeight="1" outlineLevel="1" x14ac:dyDescent="0.25">
      <c r="A70" s="26" t="s">
        <v>61</v>
      </c>
      <c r="B70" s="50">
        <v>172.60274000000001</v>
      </c>
      <c r="C70" s="50">
        <v>172.60274000000001</v>
      </c>
      <c r="D70" s="50">
        <v>172.60274000000001</v>
      </c>
      <c r="E70" s="50">
        <v>172.60274000000001</v>
      </c>
      <c r="F70" s="50">
        <v>172.60274000000001</v>
      </c>
      <c r="G70" s="50">
        <v>172.60274000000001</v>
      </c>
      <c r="H70" s="50">
        <v>172.60274000000001</v>
      </c>
      <c r="I70" s="50">
        <v>172.60274000000001</v>
      </c>
      <c r="J70" s="50">
        <v>172.60274000000001</v>
      </c>
      <c r="K70" s="50">
        <v>172.60274000000001</v>
      </c>
      <c r="L70" s="50">
        <v>172.60274000000001</v>
      </c>
      <c r="M70" s="50">
        <v>172.60274000000001</v>
      </c>
      <c r="N70" s="50">
        <v>172.60274000000001</v>
      </c>
      <c r="O70" s="50">
        <v>172.60274000000001</v>
      </c>
      <c r="P70" s="50">
        <v>172.60274000000001</v>
      </c>
      <c r="Q70" s="50">
        <v>172.60274000000001</v>
      </c>
      <c r="R70" s="50">
        <v>172.60274000000001</v>
      </c>
      <c r="S70" s="50">
        <v>172.60274000000001</v>
      </c>
      <c r="T70" s="50">
        <v>172.60274000000001</v>
      </c>
      <c r="U70" s="50">
        <v>172.60274000000001</v>
      </c>
      <c r="V70" s="50">
        <v>172.60274000000001</v>
      </c>
      <c r="W70" s="50">
        <v>172.60274000000001</v>
      </c>
      <c r="X70" s="50">
        <v>172.60274000000001</v>
      </c>
      <c r="Y70" s="50">
        <v>172.60274000000001</v>
      </c>
      <c r="Z70" s="50">
        <v>172.60274000000001</v>
      </c>
      <c r="AA70" s="50">
        <v>172.60274000000001</v>
      </c>
      <c r="AB70" s="50">
        <v>172.60274000000001</v>
      </c>
      <c r="AC70" s="50">
        <v>172.60274000000001</v>
      </c>
      <c r="AD70" s="50">
        <v>172.60274000000001</v>
      </c>
      <c r="AE70" s="50">
        <v>172.60274000000001</v>
      </c>
      <c r="AF70" s="50">
        <v>172.60274000000001</v>
      </c>
      <c r="AG70" s="50">
        <v>172.60274000000001</v>
      </c>
      <c r="AH70" s="50">
        <v>172.60274000000001</v>
      </c>
      <c r="AI70" s="50">
        <v>172.60274000000001</v>
      </c>
      <c r="AJ70" s="50">
        <v>172.60274000000001</v>
      </c>
      <c r="AK70" s="50">
        <v>172.60274000000001</v>
      </c>
      <c r="AL70" s="50">
        <v>172.60274000000001</v>
      </c>
      <c r="AM70" s="50">
        <v>172.60274000000001</v>
      </c>
      <c r="AN70" s="50">
        <v>172.60274000000001</v>
      </c>
      <c r="AO70" s="50">
        <v>172.60274000000001</v>
      </c>
      <c r="AP70" s="50">
        <v>172.60274000000001</v>
      </c>
      <c r="AQ70" s="50">
        <v>172.60274000000001</v>
      </c>
      <c r="AR70" s="50">
        <v>172.60274000000001</v>
      </c>
      <c r="AS70" s="50">
        <v>172.60274000000001</v>
      </c>
      <c r="AT70" s="50">
        <v>172.60274000000001</v>
      </c>
      <c r="AU70" s="50">
        <v>172.60274000000001</v>
      </c>
      <c r="AV70" s="50">
        <v>172.60274000000001</v>
      </c>
      <c r="AW70" s="50">
        <v>172.60274000000001</v>
      </c>
      <c r="AX70" s="50">
        <v>172.60274000000001</v>
      </c>
      <c r="AY70" s="50">
        <v>172.60274000000001</v>
      </c>
      <c r="AZ70" s="50">
        <v>172.60274000000001</v>
      </c>
      <c r="BA70" s="50">
        <v>172.60274000000001</v>
      </c>
      <c r="BB70" s="50">
        <v>172.60274000000001</v>
      </c>
      <c r="BC70" s="50">
        <v>172.60274000000001</v>
      </c>
      <c r="BD70" s="50">
        <v>172.60274000000001</v>
      </c>
      <c r="BE70" s="50">
        <v>172.60274000000001</v>
      </c>
      <c r="BF70" s="50">
        <v>172.60274000000001</v>
      </c>
      <c r="BG70" s="50">
        <v>172.60274000000001</v>
      </c>
      <c r="BH70" s="50">
        <v>172.60274000000001</v>
      </c>
      <c r="BI70" s="50"/>
      <c r="BJ70" s="50">
        <f t="shared" ref="BJ70:BJ107" si="7">SUM(B70:BI70)</f>
        <v>10183.561660000007</v>
      </c>
      <c r="BK70" s="50"/>
      <c r="BL70" s="50"/>
      <c r="BM70" s="50"/>
      <c r="BN70" s="50"/>
      <c r="BO70" s="50"/>
      <c r="BP70" s="50"/>
      <c r="BQ70" s="50"/>
      <c r="BR70" s="50"/>
      <c r="BS70" s="50"/>
      <c r="BT70" s="50"/>
    </row>
    <row r="71" spans="1:72" ht="20.100000000000001" hidden="1" customHeight="1" outlineLevel="1" x14ac:dyDescent="0.25">
      <c r="A71" s="26" t="s">
        <v>62</v>
      </c>
      <c r="B71" s="50">
        <v>23.013698999999999</v>
      </c>
      <c r="C71" s="50">
        <v>23.013698999999999</v>
      </c>
      <c r="D71" s="50">
        <v>23.013698999999999</v>
      </c>
      <c r="E71" s="50">
        <v>23.013698999999999</v>
      </c>
      <c r="F71" s="50">
        <v>23.013698999999999</v>
      </c>
      <c r="G71" s="50">
        <v>23.013698999999999</v>
      </c>
      <c r="H71" s="50">
        <v>23.013698999999999</v>
      </c>
      <c r="I71" s="50">
        <v>23.013698999999999</v>
      </c>
      <c r="J71" s="50">
        <v>23.013698999999999</v>
      </c>
      <c r="K71" s="50">
        <v>23.013698999999999</v>
      </c>
      <c r="L71" s="50">
        <v>23.013698999999999</v>
      </c>
      <c r="M71" s="50">
        <v>23.013698999999999</v>
      </c>
      <c r="N71" s="50">
        <v>23.013698999999999</v>
      </c>
      <c r="O71" s="50">
        <v>23.013698999999999</v>
      </c>
      <c r="P71" s="50">
        <v>23.013698999999999</v>
      </c>
      <c r="Q71" s="50">
        <v>23.013698999999999</v>
      </c>
      <c r="R71" s="50">
        <v>23.013698999999999</v>
      </c>
      <c r="S71" s="50">
        <v>23.013698999999999</v>
      </c>
      <c r="T71" s="50">
        <v>23.013698999999999</v>
      </c>
      <c r="U71" s="50">
        <v>23.013698999999999</v>
      </c>
      <c r="V71" s="50">
        <v>23.013698999999999</v>
      </c>
      <c r="W71" s="50">
        <v>23.013698999999999</v>
      </c>
      <c r="X71" s="50">
        <v>23.013698999999999</v>
      </c>
      <c r="Y71" s="50">
        <v>23.013698999999999</v>
      </c>
      <c r="Z71" s="50">
        <v>23.013698999999999</v>
      </c>
      <c r="AA71" s="50">
        <v>23.013698999999999</v>
      </c>
      <c r="AB71" s="50">
        <v>23.013698999999999</v>
      </c>
      <c r="AC71" s="50">
        <v>23.013698999999999</v>
      </c>
      <c r="AD71" s="50">
        <v>23.013698999999999</v>
      </c>
      <c r="AE71" s="50">
        <v>23.013698999999999</v>
      </c>
      <c r="AF71" s="50">
        <v>23.013698999999999</v>
      </c>
      <c r="AG71" s="50">
        <v>23.013698999999999</v>
      </c>
      <c r="AH71" s="50">
        <v>23.013698999999999</v>
      </c>
      <c r="AI71" s="50">
        <v>23.013698999999999</v>
      </c>
      <c r="AJ71" s="50">
        <v>23.013698999999999</v>
      </c>
      <c r="AK71" s="50">
        <v>23.013698999999999</v>
      </c>
      <c r="AL71" s="50">
        <v>23.013698999999999</v>
      </c>
      <c r="AM71" s="50">
        <v>23.013698999999999</v>
      </c>
      <c r="AN71" s="50">
        <v>23.013698999999999</v>
      </c>
      <c r="AO71" s="50">
        <v>23.013698999999999</v>
      </c>
      <c r="AP71" s="50">
        <v>23.013698999999999</v>
      </c>
      <c r="AQ71" s="50">
        <v>23.013698999999999</v>
      </c>
      <c r="AR71" s="50">
        <v>23.013698999999999</v>
      </c>
      <c r="AS71" s="50">
        <v>23.013698999999999</v>
      </c>
      <c r="AT71" s="50">
        <v>23.013698999999999</v>
      </c>
      <c r="AU71" s="50">
        <v>23.013698999999999</v>
      </c>
      <c r="AV71" s="50">
        <v>23.013698999999999</v>
      </c>
      <c r="AW71" s="50">
        <v>23.013698999999999</v>
      </c>
      <c r="AX71" s="50">
        <v>23.013698999999999</v>
      </c>
      <c r="AY71" s="50">
        <v>23.013698999999999</v>
      </c>
      <c r="AZ71" s="50">
        <v>23.013698999999999</v>
      </c>
      <c r="BA71" s="50">
        <v>23.013698999999999</v>
      </c>
      <c r="BB71" s="50">
        <v>23.013698999999999</v>
      </c>
      <c r="BC71" s="50">
        <v>23.013698999999999</v>
      </c>
      <c r="BD71" s="50">
        <v>23.013698999999999</v>
      </c>
      <c r="BE71" s="50">
        <v>23.013698999999999</v>
      </c>
      <c r="BF71" s="50">
        <v>23.013698999999999</v>
      </c>
      <c r="BG71" s="50">
        <v>23.013698999999999</v>
      </c>
      <c r="BH71" s="50">
        <v>23.013698999999999</v>
      </c>
      <c r="BI71" s="50"/>
      <c r="BJ71" s="50">
        <f t="shared" si="7"/>
        <v>1357.8082410000004</v>
      </c>
      <c r="BK71" s="50"/>
      <c r="BL71" s="50"/>
      <c r="BM71" s="50"/>
      <c r="BN71" s="50"/>
      <c r="BO71" s="50"/>
      <c r="BP71" s="50"/>
      <c r="BQ71" s="50"/>
      <c r="BR71" s="50"/>
      <c r="BS71" s="50"/>
      <c r="BT71" s="50"/>
    </row>
    <row r="72" spans="1:72" ht="20.100000000000001" hidden="1" customHeight="1" outlineLevel="1" x14ac:dyDescent="0.25">
      <c r="A72" s="26" t="s">
        <v>63</v>
      </c>
      <c r="B72" s="50">
        <v>28.767123000000002</v>
      </c>
      <c r="C72" s="50">
        <v>28.767123000000002</v>
      </c>
      <c r="D72" s="50">
        <v>28.767123000000002</v>
      </c>
      <c r="E72" s="50">
        <v>28.767123000000002</v>
      </c>
      <c r="F72" s="50">
        <v>28.767123000000002</v>
      </c>
      <c r="G72" s="50">
        <v>28.767123000000002</v>
      </c>
      <c r="H72" s="50">
        <v>28.767123000000002</v>
      </c>
      <c r="I72" s="50">
        <v>28.767123000000002</v>
      </c>
      <c r="J72" s="50">
        <v>28.767123000000002</v>
      </c>
      <c r="K72" s="50">
        <v>28.767123000000002</v>
      </c>
      <c r="L72" s="50">
        <v>28.767123000000002</v>
      </c>
      <c r="M72" s="50">
        <v>28.767123000000002</v>
      </c>
      <c r="N72" s="50">
        <v>28.767123000000002</v>
      </c>
      <c r="O72" s="50">
        <v>28.767123000000002</v>
      </c>
      <c r="P72" s="50">
        <v>28.767123000000002</v>
      </c>
      <c r="Q72" s="50">
        <v>28.767123000000002</v>
      </c>
      <c r="R72" s="50">
        <v>28.767123000000002</v>
      </c>
      <c r="S72" s="50">
        <v>28.767123000000002</v>
      </c>
      <c r="T72" s="50">
        <v>28.767123000000002</v>
      </c>
      <c r="U72" s="50">
        <v>28.767123000000002</v>
      </c>
      <c r="V72" s="50">
        <v>28.767123000000002</v>
      </c>
      <c r="W72" s="50">
        <v>28.767123000000002</v>
      </c>
      <c r="X72" s="50">
        <v>28.767123000000002</v>
      </c>
      <c r="Y72" s="50">
        <v>28.767123000000002</v>
      </c>
      <c r="Z72" s="50">
        <v>28.767123000000002</v>
      </c>
      <c r="AA72" s="50">
        <v>28.767123000000002</v>
      </c>
      <c r="AB72" s="50">
        <v>28.767123000000002</v>
      </c>
      <c r="AC72" s="50">
        <v>28.767123000000002</v>
      </c>
      <c r="AD72" s="50">
        <v>28.767123000000002</v>
      </c>
      <c r="AE72" s="50">
        <v>28.767123000000002</v>
      </c>
      <c r="AF72" s="50">
        <v>28.767123000000002</v>
      </c>
      <c r="AG72" s="50">
        <v>28.767123000000002</v>
      </c>
      <c r="AH72" s="50">
        <v>28.767123000000002</v>
      </c>
      <c r="AI72" s="50">
        <v>28.767123000000002</v>
      </c>
      <c r="AJ72" s="50">
        <v>28.767123000000002</v>
      </c>
      <c r="AK72" s="50">
        <v>28.767123000000002</v>
      </c>
      <c r="AL72" s="50">
        <v>28.767123000000002</v>
      </c>
      <c r="AM72" s="50">
        <v>28.767123000000002</v>
      </c>
      <c r="AN72" s="50">
        <v>28.767123000000002</v>
      </c>
      <c r="AO72" s="50">
        <v>28.767123000000002</v>
      </c>
      <c r="AP72" s="50">
        <v>28.767123000000002</v>
      </c>
      <c r="AQ72" s="50">
        <v>28.767123000000002</v>
      </c>
      <c r="AR72" s="50">
        <v>28.767123000000002</v>
      </c>
      <c r="AS72" s="50">
        <v>28.767123000000002</v>
      </c>
      <c r="AT72" s="50">
        <v>28.767123000000002</v>
      </c>
      <c r="AU72" s="50">
        <v>28.767123000000002</v>
      </c>
      <c r="AV72" s="50">
        <v>28.767123000000002</v>
      </c>
      <c r="AW72" s="50">
        <v>28.767123000000002</v>
      </c>
      <c r="AX72" s="50">
        <v>28.767123000000002</v>
      </c>
      <c r="AY72" s="50">
        <v>28.767123000000002</v>
      </c>
      <c r="AZ72" s="50">
        <v>28.767123000000002</v>
      </c>
      <c r="BA72" s="50">
        <v>28.767123000000002</v>
      </c>
      <c r="BB72" s="50">
        <v>28.767123000000002</v>
      </c>
      <c r="BC72" s="50">
        <v>28.767123000000002</v>
      </c>
      <c r="BD72" s="50">
        <v>28.767123000000002</v>
      </c>
      <c r="BE72" s="50">
        <v>28.767123000000002</v>
      </c>
      <c r="BF72" s="50">
        <v>28.767123000000002</v>
      </c>
      <c r="BG72" s="50">
        <v>28.767123000000002</v>
      </c>
      <c r="BH72" s="50">
        <v>28.767123000000002</v>
      </c>
      <c r="BI72" s="50"/>
      <c r="BJ72" s="50">
        <f t="shared" si="7"/>
        <v>1697.2602570000017</v>
      </c>
      <c r="BK72" s="50"/>
      <c r="BL72" s="50"/>
      <c r="BM72" s="50"/>
      <c r="BN72" s="50"/>
      <c r="BO72" s="50"/>
      <c r="BP72" s="50"/>
      <c r="BQ72" s="50"/>
      <c r="BR72" s="50"/>
      <c r="BS72" s="50"/>
      <c r="BT72" s="50"/>
    </row>
    <row r="73" spans="1:72" ht="20.100000000000001" hidden="1" customHeight="1" outlineLevel="1" x14ac:dyDescent="0.25">
      <c r="A73" s="26" t="s">
        <v>64</v>
      </c>
      <c r="B73" s="50">
        <v>96.369862999999995</v>
      </c>
      <c r="C73" s="50">
        <v>96.369862999999995</v>
      </c>
      <c r="D73" s="50">
        <v>96.369862999999995</v>
      </c>
      <c r="E73" s="50">
        <v>96.369862999999995</v>
      </c>
      <c r="F73" s="50">
        <v>96.369862999999995</v>
      </c>
      <c r="G73" s="50">
        <v>96.369862999999995</v>
      </c>
      <c r="H73" s="50">
        <v>96.369862999999995</v>
      </c>
      <c r="I73" s="50">
        <v>96.369862999999995</v>
      </c>
      <c r="J73" s="50">
        <v>96.369862999999995</v>
      </c>
      <c r="K73" s="50">
        <v>96.369862999999995</v>
      </c>
      <c r="L73" s="50">
        <v>96.369862999999995</v>
      </c>
      <c r="M73" s="50">
        <v>96.369862999999995</v>
      </c>
      <c r="N73" s="50">
        <v>96.369862999999995</v>
      </c>
      <c r="O73" s="50">
        <v>96.369862999999995</v>
      </c>
      <c r="P73" s="50">
        <v>96.369862999999995</v>
      </c>
      <c r="Q73" s="50">
        <v>96.369862999999995</v>
      </c>
      <c r="R73" s="50">
        <v>96.369862999999995</v>
      </c>
      <c r="S73" s="50">
        <v>96.369862999999995</v>
      </c>
      <c r="T73" s="50">
        <v>96.369862999999995</v>
      </c>
      <c r="U73" s="50">
        <v>96.369862999999995</v>
      </c>
      <c r="V73" s="50">
        <v>96.369862999999995</v>
      </c>
      <c r="W73" s="50">
        <v>96.369862999999995</v>
      </c>
      <c r="X73" s="50">
        <v>96.369862999999995</v>
      </c>
      <c r="Y73" s="50">
        <v>96.369862999999995</v>
      </c>
      <c r="Z73" s="50">
        <v>96.369862999999995</v>
      </c>
      <c r="AA73" s="50">
        <v>96.369862999999995</v>
      </c>
      <c r="AB73" s="50">
        <v>96.369862999999995</v>
      </c>
      <c r="AC73" s="50">
        <v>96.369862999999995</v>
      </c>
      <c r="AD73" s="50">
        <v>96.369862999999995</v>
      </c>
      <c r="AE73" s="50">
        <v>96.369862999999995</v>
      </c>
      <c r="AF73" s="50">
        <v>96.369862999999995</v>
      </c>
      <c r="AG73" s="50">
        <v>96.369862999999995</v>
      </c>
      <c r="AH73" s="50">
        <v>96.369862999999995</v>
      </c>
      <c r="AI73" s="50">
        <v>96.369862999999995</v>
      </c>
      <c r="AJ73" s="50">
        <v>96.369862999999995</v>
      </c>
      <c r="AK73" s="50">
        <v>96.369862999999995</v>
      </c>
      <c r="AL73" s="50">
        <v>96.369862999999995</v>
      </c>
      <c r="AM73" s="50">
        <v>96.369862999999995</v>
      </c>
      <c r="AN73" s="50">
        <v>96.369862999999995</v>
      </c>
      <c r="AO73" s="50">
        <v>96.369862999999995</v>
      </c>
      <c r="AP73" s="50">
        <v>96.369862999999995</v>
      </c>
      <c r="AQ73" s="50">
        <v>96.369862999999995</v>
      </c>
      <c r="AR73" s="50">
        <v>96.369862999999995</v>
      </c>
      <c r="AS73" s="50">
        <v>96.369862999999995</v>
      </c>
      <c r="AT73" s="50">
        <v>96.369862999999995</v>
      </c>
      <c r="AU73" s="50">
        <v>96.369862999999995</v>
      </c>
      <c r="AV73" s="50">
        <v>96.369862999999995</v>
      </c>
      <c r="AW73" s="50">
        <v>96.369862999999995</v>
      </c>
      <c r="AX73" s="50">
        <v>96.369862999999995</v>
      </c>
      <c r="AY73" s="50">
        <v>96.369862999999995</v>
      </c>
      <c r="AZ73" s="50">
        <v>96.369862999999995</v>
      </c>
      <c r="BA73" s="50">
        <v>96.369862999999995</v>
      </c>
      <c r="BB73" s="50">
        <v>96.369862999999995</v>
      </c>
      <c r="BC73" s="50">
        <v>96.369862999999995</v>
      </c>
      <c r="BD73" s="50">
        <v>96.369862999999995</v>
      </c>
      <c r="BE73" s="50">
        <v>96.369862999999995</v>
      </c>
      <c r="BF73" s="50">
        <v>96.369862999999995</v>
      </c>
      <c r="BG73" s="50">
        <v>96.369862999999995</v>
      </c>
      <c r="BH73" s="50">
        <v>96.369862999999995</v>
      </c>
      <c r="BI73" s="50"/>
      <c r="BJ73" s="50">
        <f t="shared" si="7"/>
        <v>5685.8219169999957</v>
      </c>
      <c r="BK73" s="50"/>
      <c r="BL73" s="50"/>
      <c r="BM73" s="50"/>
      <c r="BN73" s="50"/>
      <c r="BO73" s="50"/>
      <c r="BP73" s="50"/>
      <c r="BQ73" s="50"/>
      <c r="BR73" s="50"/>
      <c r="BS73" s="50"/>
      <c r="BT73" s="50"/>
    </row>
    <row r="74" spans="1:72" ht="20.100000000000001" hidden="1" customHeight="1" outlineLevel="1" x14ac:dyDescent="0.25">
      <c r="A74" s="26" t="s">
        <v>65</v>
      </c>
      <c r="B74" s="50">
        <v>17.260273999999999</v>
      </c>
      <c r="C74" s="50">
        <v>17.260273999999999</v>
      </c>
      <c r="D74" s="50">
        <v>17.260273999999999</v>
      </c>
      <c r="E74" s="50">
        <v>17.260273999999999</v>
      </c>
      <c r="F74" s="50">
        <v>17.260273999999999</v>
      </c>
      <c r="G74" s="50">
        <v>17.260273999999999</v>
      </c>
      <c r="H74" s="50">
        <v>17.260273999999999</v>
      </c>
      <c r="I74" s="50">
        <v>17.260273999999999</v>
      </c>
      <c r="J74" s="50">
        <v>17.260273999999999</v>
      </c>
      <c r="K74" s="50">
        <v>17.260273999999999</v>
      </c>
      <c r="L74" s="50">
        <v>17.260273999999999</v>
      </c>
      <c r="M74" s="50">
        <v>17.260273999999999</v>
      </c>
      <c r="N74" s="50">
        <v>17.260273999999999</v>
      </c>
      <c r="O74" s="50">
        <v>17.260273999999999</v>
      </c>
      <c r="P74" s="50">
        <v>17.260273999999999</v>
      </c>
      <c r="Q74" s="50">
        <v>17.260273999999999</v>
      </c>
      <c r="R74" s="50">
        <v>17.260273999999999</v>
      </c>
      <c r="S74" s="50">
        <v>17.260273999999999</v>
      </c>
      <c r="T74" s="50">
        <v>17.260273999999999</v>
      </c>
      <c r="U74" s="50">
        <v>17.260273999999999</v>
      </c>
      <c r="V74" s="50">
        <v>17.260273999999999</v>
      </c>
      <c r="W74" s="50">
        <v>17.260273999999999</v>
      </c>
      <c r="X74" s="50">
        <v>17.260273999999999</v>
      </c>
      <c r="Y74" s="50">
        <v>17.260273999999999</v>
      </c>
      <c r="Z74" s="50">
        <v>17.260273999999999</v>
      </c>
      <c r="AA74" s="50">
        <v>17.260273999999999</v>
      </c>
      <c r="AB74" s="50">
        <v>17.260273999999999</v>
      </c>
      <c r="AC74" s="50">
        <v>17.260273999999999</v>
      </c>
      <c r="AD74" s="50">
        <v>17.260273999999999</v>
      </c>
      <c r="AE74" s="50">
        <v>17.260273999999999</v>
      </c>
      <c r="AF74" s="50">
        <v>17.260273999999999</v>
      </c>
      <c r="AG74" s="50">
        <v>17.260273999999999</v>
      </c>
      <c r="AH74" s="50">
        <v>17.260273999999999</v>
      </c>
      <c r="AI74" s="50">
        <v>17.260273999999999</v>
      </c>
      <c r="AJ74" s="50">
        <v>17.260273999999999</v>
      </c>
      <c r="AK74" s="50">
        <v>17.260273999999999</v>
      </c>
      <c r="AL74" s="50">
        <v>17.260273999999999</v>
      </c>
      <c r="AM74" s="50">
        <v>17.260273999999999</v>
      </c>
      <c r="AN74" s="50">
        <v>17.260273999999999</v>
      </c>
      <c r="AO74" s="50">
        <v>17.260273999999999</v>
      </c>
      <c r="AP74" s="50">
        <v>17.260273999999999</v>
      </c>
      <c r="AQ74" s="50">
        <v>17.260273999999999</v>
      </c>
      <c r="AR74" s="50">
        <v>17.260273999999999</v>
      </c>
      <c r="AS74" s="50">
        <v>17.260273999999999</v>
      </c>
      <c r="AT74" s="50">
        <v>17.260273999999999</v>
      </c>
      <c r="AU74" s="50">
        <v>17.260273999999999</v>
      </c>
      <c r="AV74" s="50">
        <v>17.260273999999999</v>
      </c>
      <c r="AW74" s="50">
        <v>17.260273999999999</v>
      </c>
      <c r="AX74" s="50">
        <v>17.260273999999999</v>
      </c>
      <c r="AY74" s="50">
        <v>17.260273999999999</v>
      </c>
      <c r="AZ74" s="50">
        <v>17.260273999999999</v>
      </c>
      <c r="BA74" s="50">
        <v>17.260273999999999</v>
      </c>
      <c r="BB74" s="50">
        <v>17.260273999999999</v>
      </c>
      <c r="BC74" s="50">
        <v>17.260273999999999</v>
      </c>
      <c r="BD74" s="50">
        <v>17.260273999999999</v>
      </c>
      <c r="BE74" s="50">
        <v>17.260273999999999</v>
      </c>
      <c r="BF74" s="50">
        <v>17.260273999999999</v>
      </c>
      <c r="BG74" s="50">
        <v>17.260273999999999</v>
      </c>
      <c r="BH74" s="50">
        <v>17.260273999999999</v>
      </c>
      <c r="BI74" s="50"/>
      <c r="BJ74" s="50">
        <f t="shared" si="7"/>
        <v>1018.3561659999992</v>
      </c>
      <c r="BK74" s="50"/>
      <c r="BL74" s="50"/>
      <c r="BM74" s="50"/>
      <c r="BN74" s="50"/>
      <c r="BO74" s="50"/>
      <c r="BP74" s="50"/>
      <c r="BQ74" s="50"/>
      <c r="BR74" s="50"/>
      <c r="BS74" s="50"/>
      <c r="BT74" s="50"/>
    </row>
    <row r="75" spans="1:72" ht="20.100000000000001" hidden="1" customHeight="1" outlineLevel="1" x14ac:dyDescent="0.25">
      <c r="A75" s="26" t="s">
        <v>66</v>
      </c>
      <c r="B75" s="50">
        <v>18.698630000000001</v>
      </c>
      <c r="C75" s="50">
        <v>18.698630000000001</v>
      </c>
      <c r="D75" s="50">
        <v>18.698630000000001</v>
      </c>
      <c r="E75" s="50">
        <v>18.698630000000001</v>
      </c>
      <c r="F75" s="50">
        <v>18.698630000000001</v>
      </c>
      <c r="G75" s="50">
        <v>18.698630000000001</v>
      </c>
      <c r="H75" s="50">
        <v>18.698630000000001</v>
      </c>
      <c r="I75" s="50">
        <v>18.698630000000001</v>
      </c>
      <c r="J75" s="50">
        <v>18.698630000000001</v>
      </c>
      <c r="K75" s="50">
        <v>18.698630000000001</v>
      </c>
      <c r="L75" s="50">
        <v>18.698630000000001</v>
      </c>
      <c r="M75" s="50">
        <v>18.698630000000001</v>
      </c>
      <c r="N75" s="50">
        <v>18.698630000000001</v>
      </c>
      <c r="O75" s="50">
        <v>18.698630000000001</v>
      </c>
      <c r="P75" s="50">
        <v>18.698630000000001</v>
      </c>
      <c r="Q75" s="50">
        <v>18.698630000000001</v>
      </c>
      <c r="R75" s="50">
        <v>18.698630000000001</v>
      </c>
      <c r="S75" s="50">
        <v>18.698630000000001</v>
      </c>
      <c r="T75" s="50">
        <v>18.698630000000001</v>
      </c>
      <c r="U75" s="50">
        <v>18.698630000000001</v>
      </c>
      <c r="V75" s="50">
        <v>18.698630000000001</v>
      </c>
      <c r="W75" s="50">
        <v>18.698630000000001</v>
      </c>
      <c r="X75" s="50">
        <v>18.698630000000001</v>
      </c>
      <c r="Y75" s="50">
        <v>18.698630000000001</v>
      </c>
      <c r="Z75" s="50">
        <v>18.698630000000001</v>
      </c>
      <c r="AA75" s="50">
        <v>18.698630000000001</v>
      </c>
      <c r="AB75" s="50">
        <v>18.698630000000001</v>
      </c>
      <c r="AC75" s="50">
        <v>18.698630000000001</v>
      </c>
      <c r="AD75" s="50">
        <v>18.698630000000001</v>
      </c>
      <c r="AE75" s="50">
        <v>18.698630000000001</v>
      </c>
      <c r="AF75" s="50">
        <v>18.698630000000001</v>
      </c>
      <c r="AG75" s="50">
        <v>18.698630000000001</v>
      </c>
      <c r="AH75" s="50">
        <v>18.698630000000001</v>
      </c>
      <c r="AI75" s="50">
        <v>18.698630000000001</v>
      </c>
      <c r="AJ75" s="50">
        <v>18.698630000000001</v>
      </c>
      <c r="AK75" s="50">
        <v>18.698630000000001</v>
      </c>
      <c r="AL75" s="50">
        <v>18.698630000000001</v>
      </c>
      <c r="AM75" s="50">
        <v>18.698630000000001</v>
      </c>
      <c r="AN75" s="50">
        <v>18.698630000000001</v>
      </c>
      <c r="AO75" s="50">
        <v>18.698630000000001</v>
      </c>
      <c r="AP75" s="50">
        <v>18.698630000000001</v>
      </c>
      <c r="AQ75" s="50">
        <v>18.698630000000001</v>
      </c>
      <c r="AR75" s="50">
        <v>18.698630000000001</v>
      </c>
      <c r="AS75" s="50">
        <v>18.698630000000001</v>
      </c>
      <c r="AT75" s="50">
        <v>18.698630000000001</v>
      </c>
      <c r="AU75" s="50">
        <v>18.698630000000001</v>
      </c>
      <c r="AV75" s="50">
        <v>18.698630000000001</v>
      </c>
      <c r="AW75" s="50">
        <v>18.698630000000001</v>
      </c>
      <c r="AX75" s="50">
        <v>18.698630000000001</v>
      </c>
      <c r="AY75" s="50">
        <v>18.698630000000001</v>
      </c>
      <c r="AZ75" s="50">
        <v>18.698630000000001</v>
      </c>
      <c r="BA75" s="50">
        <v>18.698630000000001</v>
      </c>
      <c r="BB75" s="50">
        <v>18.698630000000001</v>
      </c>
      <c r="BC75" s="50">
        <v>18.698630000000001</v>
      </c>
      <c r="BD75" s="50">
        <v>18.698630000000001</v>
      </c>
      <c r="BE75" s="50">
        <v>18.698630000000001</v>
      </c>
      <c r="BF75" s="50">
        <v>18.698630000000001</v>
      </c>
      <c r="BG75" s="50">
        <v>18.698630000000001</v>
      </c>
      <c r="BH75" s="50">
        <v>18.698630000000001</v>
      </c>
      <c r="BI75" s="50"/>
      <c r="BJ75" s="50">
        <f t="shared" si="7"/>
        <v>1103.2191699999996</v>
      </c>
      <c r="BK75" s="50"/>
      <c r="BL75" s="50"/>
      <c r="BM75" s="50"/>
      <c r="BN75" s="50"/>
      <c r="BO75" s="50"/>
      <c r="BP75" s="50"/>
      <c r="BQ75" s="50"/>
      <c r="BR75" s="50"/>
      <c r="BS75" s="50"/>
      <c r="BT75" s="50"/>
    </row>
    <row r="76" spans="1:72" ht="20.100000000000001" hidden="1" customHeight="1" outlineLevel="1" x14ac:dyDescent="0.25">
      <c r="A76" s="26" t="s">
        <v>67</v>
      </c>
      <c r="B76" s="50">
        <v>43.150685000000003</v>
      </c>
      <c r="C76" s="50">
        <v>43.150685000000003</v>
      </c>
      <c r="D76" s="50">
        <v>43.150685000000003</v>
      </c>
      <c r="E76" s="50">
        <v>43.150685000000003</v>
      </c>
      <c r="F76" s="50">
        <v>43.150685000000003</v>
      </c>
      <c r="G76" s="50">
        <v>43.150685000000003</v>
      </c>
      <c r="H76" s="50">
        <v>43.150685000000003</v>
      </c>
      <c r="I76" s="50">
        <v>43.150685000000003</v>
      </c>
      <c r="J76" s="50">
        <v>43.150685000000003</v>
      </c>
      <c r="K76" s="50">
        <v>43.150685000000003</v>
      </c>
      <c r="L76" s="50">
        <v>43.150685000000003</v>
      </c>
      <c r="M76" s="50">
        <v>43.150685000000003</v>
      </c>
      <c r="N76" s="50">
        <v>43.150685000000003</v>
      </c>
      <c r="O76" s="50">
        <v>43.150685000000003</v>
      </c>
      <c r="P76" s="50">
        <v>43.150685000000003</v>
      </c>
      <c r="Q76" s="50">
        <v>43.150685000000003</v>
      </c>
      <c r="R76" s="50">
        <v>43.150685000000003</v>
      </c>
      <c r="S76" s="50">
        <v>43.150685000000003</v>
      </c>
      <c r="T76" s="50">
        <v>43.150685000000003</v>
      </c>
      <c r="U76" s="50">
        <v>43.150685000000003</v>
      </c>
      <c r="V76" s="50">
        <v>43.150685000000003</v>
      </c>
      <c r="W76" s="50">
        <v>43.150685000000003</v>
      </c>
      <c r="X76" s="50">
        <v>43.150685000000003</v>
      </c>
      <c r="Y76" s="50">
        <v>43.150685000000003</v>
      </c>
      <c r="Z76" s="50">
        <v>43.150685000000003</v>
      </c>
      <c r="AA76" s="50">
        <v>43.150685000000003</v>
      </c>
      <c r="AB76" s="50">
        <v>43.150685000000003</v>
      </c>
      <c r="AC76" s="50">
        <v>43.150685000000003</v>
      </c>
      <c r="AD76" s="50">
        <v>43.150685000000003</v>
      </c>
      <c r="AE76" s="50">
        <v>43.150685000000003</v>
      </c>
      <c r="AF76" s="50">
        <v>43.150685000000003</v>
      </c>
      <c r="AG76" s="50">
        <v>43.150685000000003</v>
      </c>
      <c r="AH76" s="50">
        <v>43.150685000000003</v>
      </c>
      <c r="AI76" s="50">
        <v>43.150685000000003</v>
      </c>
      <c r="AJ76" s="50">
        <v>43.150685000000003</v>
      </c>
      <c r="AK76" s="50">
        <v>43.150685000000003</v>
      </c>
      <c r="AL76" s="50">
        <v>43.150685000000003</v>
      </c>
      <c r="AM76" s="50">
        <v>43.150685000000003</v>
      </c>
      <c r="AN76" s="50">
        <v>43.150685000000003</v>
      </c>
      <c r="AO76" s="50">
        <v>43.150685000000003</v>
      </c>
      <c r="AP76" s="50">
        <v>43.150685000000003</v>
      </c>
      <c r="AQ76" s="50">
        <v>43.150685000000003</v>
      </c>
      <c r="AR76" s="50">
        <v>43.150685000000003</v>
      </c>
      <c r="AS76" s="50">
        <v>43.150685000000003</v>
      </c>
      <c r="AT76" s="50">
        <v>43.150685000000003</v>
      </c>
      <c r="AU76" s="50">
        <v>43.150685000000003</v>
      </c>
      <c r="AV76" s="50">
        <v>43.150685000000003</v>
      </c>
      <c r="AW76" s="50">
        <v>43.150685000000003</v>
      </c>
      <c r="AX76" s="50">
        <v>43.150685000000003</v>
      </c>
      <c r="AY76" s="50">
        <v>43.150685000000003</v>
      </c>
      <c r="AZ76" s="50">
        <v>43.150685000000003</v>
      </c>
      <c r="BA76" s="50">
        <v>43.150685000000003</v>
      </c>
      <c r="BB76" s="50">
        <v>43.150685000000003</v>
      </c>
      <c r="BC76" s="50">
        <v>43.150685000000003</v>
      </c>
      <c r="BD76" s="50">
        <v>43.150685000000003</v>
      </c>
      <c r="BE76" s="50">
        <v>43.150685000000003</v>
      </c>
      <c r="BF76" s="50">
        <v>43.150685000000003</v>
      </c>
      <c r="BG76" s="50">
        <v>43.150685000000003</v>
      </c>
      <c r="BH76" s="50">
        <v>43.150685000000003</v>
      </c>
      <c r="BI76" s="50"/>
      <c r="BJ76" s="50">
        <f t="shared" si="7"/>
        <v>2545.8904150000017</v>
      </c>
      <c r="BK76" s="50"/>
      <c r="BL76" s="50"/>
      <c r="BM76" s="50"/>
      <c r="BN76" s="50"/>
      <c r="BO76" s="50"/>
      <c r="BP76" s="50"/>
      <c r="BQ76" s="50"/>
      <c r="BR76" s="50"/>
      <c r="BS76" s="50"/>
      <c r="BT76" s="50"/>
    </row>
    <row r="77" spans="1:72" ht="20.100000000000001" hidden="1" customHeight="1" outlineLevel="1" x14ac:dyDescent="0.25">
      <c r="A77" s="26" t="s">
        <v>68</v>
      </c>
      <c r="B77" s="50">
        <v>40.273972999999998</v>
      </c>
      <c r="C77" s="50">
        <v>40.273972999999998</v>
      </c>
      <c r="D77" s="50">
        <v>40.273972999999998</v>
      </c>
      <c r="E77" s="50">
        <v>40.273972999999998</v>
      </c>
      <c r="F77" s="50">
        <v>40.273972999999998</v>
      </c>
      <c r="G77" s="50">
        <v>40.273972999999998</v>
      </c>
      <c r="H77" s="50">
        <v>40.273972999999998</v>
      </c>
      <c r="I77" s="50">
        <v>40.273972999999998</v>
      </c>
      <c r="J77" s="50">
        <v>40.273972999999998</v>
      </c>
      <c r="K77" s="50">
        <v>40.273972999999998</v>
      </c>
      <c r="L77" s="50">
        <v>40.273972999999998</v>
      </c>
      <c r="M77" s="50">
        <v>40.273972999999998</v>
      </c>
      <c r="N77" s="50">
        <v>40.273972999999998</v>
      </c>
      <c r="O77" s="50">
        <v>40.273972999999998</v>
      </c>
      <c r="P77" s="50">
        <v>40.273972999999998</v>
      </c>
      <c r="Q77" s="50">
        <v>40.273972999999998</v>
      </c>
      <c r="R77" s="50">
        <v>40.273972999999998</v>
      </c>
      <c r="S77" s="50">
        <v>40.273972999999998</v>
      </c>
      <c r="T77" s="50">
        <v>40.273972999999998</v>
      </c>
      <c r="U77" s="50">
        <v>40.273972999999998</v>
      </c>
      <c r="V77" s="50">
        <v>40.273972999999998</v>
      </c>
      <c r="W77" s="50">
        <v>40.273972999999998</v>
      </c>
      <c r="X77" s="50">
        <v>40.273972999999998</v>
      </c>
      <c r="Y77" s="50">
        <v>40.273972999999998</v>
      </c>
      <c r="Z77" s="50">
        <v>40.273972999999998</v>
      </c>
      <c r="AA77" s="50">
        <v>40.273972999999998</v>
      </c>
      <c r="AB77" s="50">
        <v>40.273972999999998</v>
      </c>
      <c r="AC77" s="50">
        <v>40.273972999999998</v>
      </c>
      <c r="AD77" s="50">
        <v>40.273972999999998</v>
      </c>
      <c r="AE77" s="50">
        <v>40.273972999999998</v>
      </c>
      <c r="AF77" s="50">
        <v>40.273972999999998</v>
      </c>
      <c r="AG77" s="50">
        <v>40.273972999999998</v>
      </c>
      <c r="AH77" s="50">
        <v>40.273972999999998</v>
      </c>
      <c r="AI77" s="50">
        <v>40.273972999999998</v>
      </c>
      <c r="AJ77" s="50">
        <v>40.273972999999998</v>
      </c>
      <c r="AK77" s="50">
        <v>40.273972999999998</v>
      </c>
      <c r="AL77" s="50">
        <v>40.273972999999998</v>
      </c>
      <c r="AM77" s="50">
        <v>40.273972999999998</v>
      </c>
      <c r="AN77" s="50">
        <v>40.273972999999998</v>
      </c>
      <c r="AO77" s="50">
        <v>40.273972999999998</v>
      </c>
      <c r="AP77" s="50">
        <v>40.273972999999998</v>
      </c>
      <c r="AQ77" s="50">
        <v>40.273972999999998</v>
      </c>
      <c r="AR77" s="50">
        <v>40.273972999999998</v>
      </c>
      <c r="AS77" s="50">
        <v>40.273972999999998</v>
      </c>
      <c r="AT77" s="50">
        <v>40.273972999999998</v>
      </c>
      <c r="AU77" s="50">
        <v>40.273972999999998</v>
      </c>
      <c r="AV77" s="50">
        <v>40.273972999999998</v>
      </c>
      <c r="AW77" s="50">
        <v>40.273972999999998</v>
      </c>
      <c r="AX77" s="50">
        <v>40.273972999999998</v>
      </c>
      <c r="AY77" s="50">
        <v>40.273972999999998</v>
      </c>
      <c r="AZ77" s="50">
        <v>40.273972999999998</v>
      </c>
      <c r="BA77" s="50">
        <v>40.273972999999998</v>
      </c>
      <c r="BB77" s="50">
        <v>40.273972999999998</v>
      </c>
      <c r="BC77" s="50">
        <v>40.273972999999998</v>
      </c>
      <c r="BD77" s="50">
        <v>40.273972999999998</v>
      </c>
      <c r="BE77" s="50">
        <v>40.273972999999998</v>
      </c>
      <c r="BF77" s="50">
        <v>40.273972999999998</v>
      </c>
      <c r="BG77" s="50">
        <v>40.273972999999998</v>
      </c>
      <c r="BH77" s="50">
        <v>40.273972999999998</v>
      </c>
      <c r="BI77" s="50"/>
      <c r="BJ77" s="50">
        <f t="shared" si="7"/>
        <v>2376.1644069999998</v>
      </c>
      <c r="BK77" s="50"/>
      <c r="BL77" s="50"/>
      <c r="BM77" s="50"/>
      <c r="BN77" s="50"/>
      <c r="BO77" s="50"/>
      <c r="BP77" s="50"/>
      <c r="BQ77" s="50"/>
      <c r="BR77" s="50"/>
      <c r="BS77" s="50"/>
      <c r="BT77" s="50"/>
    </row>
    <row r="78" spans="1:72" ht="20.100000000000001" hidden="1" customHeight="1" outlineLevel="1" x14ac:dyDescent="0.25">
      <c r="A78" s="26" t="s">
        <v>69</v>
      </c>
      <c r="B78" s="51">
        <v>28.767123000000002</v>
      </c>
      <c r="C78" s="51">
        <v>28.767123000000002</v>
      </c>
      <c r="D78" s="51">
        <v>28.767123000000002</v>
      </c>
      <c r="E78" s="51">
        <v>28.767123000000002</v>
      </c>
      <c r="F78" s="51">
        <v>28.767123000000002</v>
      </c>
      <c r="G78" s="51">
        <v>28.767123000000002</v>
      </c>
      <c r="H78" s="51">
        <v>28.767123000000002</v>
      </c>
      <c r="I78" s="51">
        <v>28.767123000000002</v>
      </c>
      <c r="J78" s="51">
        <v>28.767123000000002</v>
      </c>
      <c r="K78" s="51">
        <v>28.767123000000002</v>
      </c>
      <c r="L78" s="51">
        <v>28.767123000000002</v>
      </c>
      <c r="M78" s="51">
        <v>28.767123000000002</v>
      </c>
      <c r="N78" s="51">
        <v>28.767123000000002</v>
      </c>
      <c r="O78" s="51">
        <v>28.767123000000002</v>
      </c>
      <c r="P78" s="51">
        <v>28.767123000000002</v>
      </c>
      <c r="Q78" s="51">
        <v>28.767123000000002</v>
      </c>
      <c r="R78" s="51">
        <v>28.767123000000002</v>
      </c>
      <c r="S78" s="51">
        <v>28.767123000000002</v>
      </c>
      <c r="T78" s="51">
        <v>28.767123000000002</v>
      </c>
      <c r="U78" s="51">
        <v>28.767123000000002</v>
      </c>
      <c r="V78" s="51">
        <v>28.767123000000002</v>
      </c>
      <c r="W78" s="51">
        <v>28.767123000000002</v>
      </c>
      <c r="X78" s="51">
        <v>28.767123000000002</v>
      </c>
      <c r="Y78" s="51">
        <v>28.767123000000002</v>
      </c>
      <c r="Z78" s="51">
        <v>28.767123000000002</v>
      </c>
      <c r="AA78" s="51">
        <v>28.767123000000002</v>
      </c>
      <c r="AB78" s="51">
        <v>28.767123000000002</v>
      </c>
      <c r="AC78" s="51">
        <v>28.767123000000002</v>
      </c>
      <c r="AD78" s="51">
        <v>28.767123000000002</v>
      </c>
      <c r="AE78" s="51">
        <v>28.767123000000002</v>
      </c>
      <c r="AF78" s="51">
        <v>28.767123000000002</v>
      </c>
      <c r="AG78" s="51">
        <v>28.767123000000002</v>
      </c>
      <c r="AH78" s="51">
        <v>28.767123000000002</v>
      </c>
      <c r="AI78" s="51">
        <v>28.767123000000002</v>
      </c>
      <c r="AJ78" s="51">
        <v>28.767123000000002</v>
      </c>
      <c r="AK78" s="51">
        <v>28.767123000000002</v>
      </c>
      <c r="AL78" s="51">
        <v>28.767123000000002</v>
      </c>
      <c r="AM78" s="51">
        <v>28.767123000000002</v>
      </c>
      <c r="AN78" s="51">
        <v>28.767123000000002</v>
      </c>
      <c r="AO78" s="51">
        <v>28.767123000000002</v>
      </c>
      <c r="AP78" s="51">
        <v>28.767123000000002</v>
      </c>
      <c r="AQ78" s="51">
        <v>28.767123000000002</v>
      </c>
      <c r="AR78" s="51">
        <v>28.767123000000002</v>
      </c>
      <c r="AS78" s="51">
        <v>28.767123000000002</v>
      </c>
      <c r="AT78" s="51">
        <v>28.767123000000002</v>
      </c>
      <c r="AU78" s="51">
        <v>28.767123000000002</v>
      </c>
      <c r="AV78" s="51">
        <v>28.767123000000002</v>
      </c>
      <c r="AW78" s="51">
        <v>28.767123000000002</v>
      </c>
      <c r="AX78" s="51">
        <v>28.767123000000002</v>
      </c>
      <c r="AY78" s="51">
        <v>28.767123000000002</v>
      </c>
      <c r="AZ78" s="51">
        <v>28.767123000000002</v>
      </c>
      <c r="BA78" s="51">
        <v>28.767123000000002</v>
      </c>
      <c r="BB78" s="51">
        <v>28.767123000000002</v>
      </c>
      <c r="BC78" s="51">
        <v>28.767123000000002</v>
      </c>
      <c r="BD78" s="51">
        <v>28.767123000000002</v>
      </c>
      <c r="BE78" s="51">
        <v>28.767123000000002</v>
      </c>
      <c r="BF78" s="51">
        <v>28.767123000000002</v>
      </c>
      <c r="BG78" s="51">
        <v>28.767123000000002</v>
      </c>
      <c r="BH78" s="51">
        <v>28.767123000000002</v>
      </c>
      <c r="BI78" s="51"/>
      <c r="BJ78" s="50">
        <f t="shared" si="7"/>
        <v>1697.2602570000017</v>
      </c>
      <c r="BK78" s="51"/>
      <c r="BL78" s="50"/>
      <c r="BM78" s="51"/>
      <c r="BN78" s="51"/>
      <c r="BO78" s="51"/>
      <c r="BP78" s="51"/>
      <c r="BQ78" s="51"/>
      <c r="BR78" s="51"/>
      <c r="BS78" s="51"/>
      <c r="BT78" s="51"/>
    </row>
    <row r="79" spans="1:72" ht="20.100000000000001" hidden="1" customHeight="1" outlineLevel="1" x14ac:dyDescent="0.25">
      <c r="A79" s="26" t="s">
        <v>70</v>
      </c>
      <c r="B79" s="51">
        <v>172.60274000000001</v>
      </c>
      <c r="C79" s="51">
        <v>172.60274000000001</v>
      </c>
      <c r="D79" s="51">
        <v>172.60274000000001</v>
      </c>
      <c r="E79" s="51">
        <v>172.60274000000001</v>
      </c>
      <c r="F79" s="51">
        <v>172.60274000000001</v>
      </c>
      <c r="G79" s="51">
        <v>172.60274000000001</v>
      </c>
      <c r="H79" s="51">
        <v>172.60274000000001</v>
      </c>
      <c r="I79" s="51">
        <v>172.60274000000001</v>
      </c>
      <c r="J79" s="51">
        <v>172.60274000000001</v>
      </c>
      <c r="K79" s="51">
        <v>172.60274000000001</v>
      </c>
      <c r="L79" s="51">
        <v>172.60274000000001</v>
      </c>
      <c r="M79" s="51">
        <v>172.60274000000001</v>
      </c>
      <c r="N79" s="51">
        <v>172.60274000000001</v>
      </c>
      <c r="O79" s="51">
        <v>172.60274000000001</v>
      </c>
      <c r="P79" s="51">
        <v>172.60274000000001</v>
      </c>
      <c r="Q79" s="51">
        <v>172.60274000000001</v>
      </c>
      <c r="R79" s="51">
        <v>172.60274000000001</v>
      </c>
      <c r="S79" s="51">
        <v>172.60274000000001</v>
      </c>
      <c r="T79" s="51">
        <v>172.60274000000001</v>
      </c>
      <c r="U79" s="51">
        <v>172.60274000000001</v>
      </c>
      <c r="V79" s="51">
        <v>172.60274000000001</v>
      </c>
      <c r="W79" s="51">
        <v>172.60274000000001</v>
      </c>
      <c r="X79" s="51">
        <v>172.60274000000001</v>
      </c>
      <c r="Y79" s="51">
        <v>172.60274000000001</v>
      </c>
      <c r="Z79" s="51">
        <v>172.60274000000001</v>
      </c>
      <c r="AA79" s="51">
        <v>172.60274000000001</v>
      </c>
      <c r="AB79" s="51">
        <v>172.60274000000001</v>
      </c>
      <c r="AC79" s="51">
        <v>172.60274000000001</v>
      </c>
      <c r="AD79" s="51">
        <v>172.60274000000001</v>
      </c>
      <c r="AE79" s="51">
        <v>172.60274000000001</v>
      </c>
      <c r="AF79" s="51">
        <v>172.60274000000001</v>
      </c>
      <c r="AG79" s="51">
        <v>172.60274000000001</v>
      </c>
      <c r="AH79" s="51">
        <v>172.60274000000001</v>
      </c>
      <c r="AI79" s="51">
        <v>172.60274000000001</v>
      </c>
      <c r="AJ79" s="51">
        <v>172.60274000000001</v>
      </c>
      <c r="AK79" s="51">
        <v>172.60274000000001</v>
      </c>
      <c r="AL79" s="51">
        <v>172.60274000000001</v>
      </c>
      <c r="AM79" s="51">
        <v>172.60274000000001</v>
      </c>
      <c r="AN79" s="51">
        <v>172.60274000000001</v>
      </c>
      <c r="AO79" s="51">
        <v>172.60274000000001</v>
      </c>
      <c r="AP79" s="51">
        <v>172.60274000000001</v>
      </c>
      <c r="AQ79" s="51">
        <v>172.60274000000001</v>
      </c>
      <c r="AR79" s="51">
        <v>172.60274000000001</v>
      </c>
      <c r="AS79" s="51">
        <v>172.60274000000001</v>
      </c>
      <c r="AT79" s="51">
        <v>172.60274000000001</v>
      </c>
      <c r="AU79" s="51">
        <v>172.60274000000001</v>
      </c>
      <c r="AV79" s="51">
        <v>172.60274000000001</v>
      </c>
      <c r="AW79" s="51">
        <v>172.60274000000001</v>
      </c>
      <c r="AX79" s="51">
        <v>172.60274000000001</v>
      </c>
      <c r="AY79" s="51">
        <v>172.60274000000001</v>
      </c>
      <c r="AZ79" s="51">
        <v>172.60274000000001</v>
      </c>
      <c r="BA79" s="51">
        <v>172.60274000000001</v>
      </c>
      <c r="BB79" s="51">
        <v>172.60274000000001</v>
      </c>
      <c r="BC79" s="51">
        <v>172.60274000000001</v>
      </c>
      <c r="BD79" s="51">
        <v>172.60274000000001</v>
      </c>
      <c r="BE79" s="51">
        <v>172.60274000000001</v>
      </c>
      <c r="BF79" s="51">
        <v>172.60274000000001</v>
      </c>
      <c r="BG79" s="51">
        <v>172.60274000000001</v>
      </c>
      <c r="BH79" s="51">
        <v>172.60274000000001</v>
      </c>
      <c r="BI79" s="51"/>
      <c r="BJ79" s="50">
        <f t="shared" si="7"/>
        <v>10183.561660000007</v>
      </c>
      <c r="BK79" s="51"/>
      <c r="BL79" s="50"/>
      <c r="BM79" s="51"/>
      <c r="BN79" s="51"/>
      <c r="BO79" s="51"/>
      <c r="BP79" s="51"/>
      <c r="BQ79" s="51"/>
      <c r="BR79" s="51"/>
      <c r="BS79" s="51"/>
      <c r="BT79" s="51"/>
    </row>
    <row r="80" spans="1:72" ht="20.100000000000001" hidden="1" customHeight="1" outlineLevel="1" x14ac:dyDescent="0.25">
      <c r="A80" s="26" t="s">
        <v>71</v>
      </c>
      <c r="B80" s="51">
        <v>181.614271</v>
      </c>
      <c r="C80" s="51">
        <v>181.614271</v>
      </c>
      <c r="D80" s="51">
        <v>181.614271</v>
      </c>
      <c r="E80" s="51">
        <v>181.614271</v>
      </c>
      <c r="F80" s="51">
        <v>181.614271</v>
      </c>
      <c r="G80" s="51">
        <v>181.614271</v>
      </c>
      <c r="H80" s="51">
        <v>181.614271</v>
      </c>
      <c r="I80" s="51">
        <v>181.614271</v>
      </c>
      <c r="J80" s="51">
        <v>181.614271</v>
      </c>
      <c r="K80" s="51">
        <v>181.614271</v>
      </c>
      <c r="L80" s="51">
        <v>181.614271</v>
      </c>
      <c r="M80" s="51">
        <v>181.614271</v>
      </c>
      <c r="N80" s="51">
        <v>181.614271</v>
      </c>
      <c r="O80" s="51">
        <v>181.614271</v>
      </c>
      <c r="P80" s="51">
        <v>181.614271</v>
      </c>
      <c r="Q80" s="51">
        <v>181.614271</v>
      </c>
      <c r="R80" s="51">
        <v>181.614271</v>
      </c>
      <c r="S80" s="51">
        <v>181.614271</v>
      </c>
      <c r="T80" s="51">
        <v>181.614271</v>
      </c>
      <c r="U80" s="51">
        <v>181.614271</v>
      </c>
      <c r="V80" s="51">
        <v>181.614271</v>
      </c>
      <c r="W80" s="51">
        <v>181.614271</v>
      </c>
      <c r="X80" s="51">
        <v>181.614271</v>
      </c>
      <c r="Y80" s="51">
        <v>181.614271</v>
      </c>
      <c r="Z80" s="51">
        <v>181.614271</v>
      </c>
      <c r="AA80" s="51">
        <v>181.614271</v>
      </c>
      <c r="AB80" s="51">
        <v>181.614271</v>
      </c>
      <c r="AC80" s="51">
        <v>181.614271</v>
      </c>
      <c r="AD80" s="51">
        <v>181.614271</v>
      </c>
      <c r="AE80" s="51">
        <v>181.614271</v>
      </c>
      <c r="AF80" s="51">
        <v>181.614271</v>
      </c>
      <c r="AG80" s="51">
        <v>181.614271</v>
      </c>
      <c r="AH80" s="51">
        <v>181.614271</v>
      </c>
      <c r="AI80" s="51">
        <v>181.614271</v>
      </c>
      <c r="AJ80" s="51">
        <v>181.614271</v>
      </c>
      <c r="AK80" s="51">
        <v>181.614271</v>
      </c>
      <c r="AL80" s="51">
        <v>181.614271</v>
      </c>
      <c r="AM80" s="51">
        <v>181.614271</v>
      </c>
      <c r="AN80" s="51">
        <v>181.614271</v>
      </c>
      <c r="AO80" s="51">
        <v>181.614271</v>
      </c>
      <c r="AP80" s="51">
        <v>181.614271</v>
      </c>
      <c r="AQ80" s="51">
        <v>181.614271</v>
      </c>
      <c r="AR80" s="51">
        <v>181.614271</v>
      </c>
      <c r="AS80" s="51">
        <v>181.614271</v>
      </c>
      <c r="AT80" s="51">
        <v>181.614271</v>
      </c>
      <c r="AU80" s="51">
        <v>181.614271</v>
      </c>
      <c r="AV80" s="51">
        <v>181.614271</v>
      </c>
      <c r="AW80" s="51">
        <v>181.614271</v>
      </c>
      <c r="AX80" s="51">
        <v>181.614271</v>
      </c>
      <c r="AY80" s="51">
        <v>181.614271</v>
      </c>
      <c r="AZ80" s="51">
        <v>181.614271</v>
      </c>
      <c r="BA80" s="51">
        <v>181.614271</v>
      </c>
      <c r="BB80" s="51">
        <v>181.614271</v>
      </c>
      <c r="BC80" s="51">
        <v>181.614271</v>
      </c>
      <c r="BD80" s="51">
        <v>181.614271</v>
      </c>
      <c r="BE80" s="51">
        <v>181.614271</v>
      </c>
      <c r="BF80" s="51">
        <v>181.614271</v>
      </c>
      <c r="BG80" s="51">
        <v>181.614271</v>
      </c>
      <c r="BH80" s="51">
        <v>181.614271</v>
      </c>
      <c r="BI80" s="51"/>
      <c r="BJ80" s="50">
        <f t="shared" si="7"/>
        <v>10715.241989000011</v>
      </c>
      <c r="BK80" s="51"/>
      <c r="BL80" s="50"/>
      <c r="BM80" s="51"/>
      <c r="BN80" s="51"/>
      <c r="BO80" s="51"/>
      <c r="BP80" s="51"/>
      <c r="BQ80" s="51"/>
      <c r="BR80" s="51"/>
      <c r="BS80" s="51"/>
      <c r="BT80" s="51"/>
    </row>
    <row r="81" spans="1:72" ht="20.100000000000001" hidden="1" customHeight="1" outlineLevel="1" x14ac:dyDescent="0.25">
      <c r="A81" s="26" t="s">
        <v>277</v>
      </c>
      <c r="B81" s="51">
        <v>14.383562</v>
      </c>
      <c r="C81" s="51">
        <v>14.383562</v>
      </c>
      <c r="D81" s="51">
        <v>14.383562</v>
      </c>
      <c r="E81" s="51">
        <v>14.383562</v>
      </c>
      <c r="F81" s="51">
        <v>14.383562</v>
      </c>
      <c r="G81" s="51">
        <v>14.383562</v>
      </c>
      <c r="H81" s="51">
        <v>14.383562</v>
      </c>
      <c r="I81" s="51">
        <v>14.383562</v>
      </c>
      <c r="J81" s="51">
        <v>14.383562</v>
      </c>
      <c r="K81" s="51">
        <v>14.383562</v>
      </c>
      <c r="L81" s="51">
        <v>14.383562</v>
      </c>
      <c r="M81" s="51">
        <v>14.383562</v>
      </c>
      <c r="N81" s="51">
        <v>14.383562</v>
      </c>
      <c r="O81" s="51">
        <v>14.383562</v>
      </c>
      <c r="P81" s="51">
        <v>14.383562</v>
      </c>
      <c r="Q81" s="51">
        <v>14.383562</v>
      </c>
      <c r="R81" s="51">
        <v>14.383562</v>
      </c>
      <c r="S81" s="51">
        <v>14.383562</v>
      </c>
      <c r="T81" s="51">
        <v>14.383562</v>
      </c>
      <c r="U81" s="51">
        <v>14.383562</v>
      </c>
      <c r="V81" s="51">
        <v>14.383562</v>
      </c>
      <c r="W81" s="51">
        <v>14.383562</v>
      </c>
      <c r="X81" s="51">
        <v>14.383562</v>
      </c>
      <c r="Y81" s="51">
        <v>14.383562</v>
      </c>
      <c r="Z81" s="51">
        <v>14.383562</v>
      </c>
      <c r="AA81" s="51">
        <v>14.383562</v>
      </c>
      <c r="AB81" s="51">
        <v>14.383562</v>
      </c>
      <c r="AC81" s="51">
        <v>14.383562</v>
      </c>
      <c r="AD81" s="51">
        <v>14.383562</v>
      </c>
      <c r="AE81" s="51">
        <v>14.383562</v>
      </c>
      <c r="AF81" s="51">
        <v>14.383562</v>
      </c>
      <c r="AG81" s="51">
        <v>14.383562</v>
      </c>
      <c r="AH81" s="51">
        <v>14.383562</v>
      </c>
      <c r="AI81" s="51">
        <v>14.383562</v>
      </c>
      <c r="AJ81" s="51">
        <v>14.383562</v>
      </c>
      <c r="AK81" s="51">
        <v>14.383562</v>
      </c>
      <c r="AL81" s="51">
        <v>14.383562</v>
      </c>
      <c r="AM81" s="51">
        <v>14.383562</v>
      </c>
      <c r="AN81" s="51">
        <v>14.383562</v>
      </c>
      <c r="AO81" s="51">
        <v>14.383562</v>
      </c>
      <c r="AP81" s="51">
        <v>14.383562</v>
      </c>
      <c r="AQ81" s="51">
        <v>14.383562</v>
      </c>
      <c r="AR81" s="51">
        <v>14.383562</v>
      </c>
      <c r="AS81" s="51">
        <v>14.383562</v>
      </c>
      <c r="AT81" s="51">
        <v>14.383562</v>
      </c>
      <c r="AU81" s="51">
        <v>14.383562</v>
      </c>
      <c r="AV81" s="51">
        <v>14.383562</v>
      </c>
      <c r="AW81" s="51">
        <v>14.383562</v>
      </c>
      <c r="AX81" s="51">
        <v>14.383562</v>
      </c>
      <c r="AY81" s="51">
        <v>14.383562</v>
      </c>
      <c r="AZ81" s="51">
        <v>14.383562</v>
      </c>
      <c r="BA81" s="51">
        <v>14.383562</v>
      </c>
      <c r="BB81" s="51">
        <v>14.383562</v>
      </c>
      <c r="BC81" s="51">
        <v>14.383562</v>
      </c>
      <c r="BD81" s="51">
        <v>14.383562</v>
      </c>
      <c r="BE81" s="51">
        <v>14.383562</v>
      </c>
      <c r="BF81" s="51">
        <v>14.383562</v>
      </c>
      <c r="BG81" s="51">
        <v>14.383562</v>
      </c>
      <c r="BH81" s="51">
        <v>14.383562</v>
      </c>
      <c r="BI81" s="51"/>
      <c r="BJ81" s="50">
        <f t="shared" si="7"/>
        <v>848.63015799999948</v>
      </c>
      <c r="BK81" s="51"/>
      <c r="BL81" s="50"/>
      <c r="BM81" s="51"/>
      <c r="BN81" s="51"/>
      <c r="BO81" s="51"/>
      <c r="BP81" s="51"/>
      <c r="BQ81" s="51"/>
      <c r="BR81" s="51"/>
      <c r="BS81" s="51"/>
      <c r="BT81" s="51"/>
    </row>
    <row r="82" spans="1:72" ht="20.100000000000001" hidden="1" customHeight="1" outlineLevel="1" x14ac:dyDescent="0.25">
      <c r="A82" s="26" t="s">
        <v>72</v>
      </c>
      <c r="B82" s="51">
        <v>86.301370000000006</v>
      </c>
      <c r="C82" s="51">
        <v>86.301370000000006</v>
      </c>
      <c r="D82" s="51">
        <v>86.301370000000006</v>
      </c>
      <c r="E82" s="51">
        <v>86.301370000000006</v>
      </c>
      <c r="F82" s="51">
        <v>86.301370000000006</v>
      </c>
      <c r="G82" s="51">
        <v>86.301370000000006</v>
      </c>
      <c r="H82" s="51">
        <v>86.301370000000006</v>
      </c>
      <c r="I82" s="51">
        <v>86.301370000000006</v>
      </c>
      <c r="J82" s="51">
        <v>86.301370000000006</v>
      </c>
      <c r="K82" s="51">
        <v>86.301370000000006</v>
      </c>
      <c r="L82" s="51">
        <v>86.301370000000006</v>
      </c>
      <c r="M82" s="51">
        <v>86.301370000000006</v>
      </c>
      <c r="N82" s="51">
        <v>86.301370000000006</v>
      </c>
      <c r="O82" s="51">
        <v>86.301370000000006</v>
      </c>
      <c r="P82" s="51">
        <v>86.301370000000006</v>
      </c>
      <c r="Q82" s="51">
        <v>86.301370000000006</v>
      </c>
      <c r="R82" s="51">
        <v>86.301370000000006</v>
      </c>
      <c r="S82" s="51">
        <v>86.301370000000006</v>
      </c>
      <c r="T82" s="51">
        <v>86.301370000000006</v>
      </c>
      <c r="U82" s="51">
        <v>86.301370000000006</v>
      </c>
      <c r="V82" s="51">
        <v>86.301370000000006</v>
      </c>
      <c r="W82" s="51">
        <v>86.301370000000006</v>
      </c>
      <c r="X82" s="51">
        <v>86.301370000000006</v>
      </c>
      <c r="Y82" s="51">
        <v>86.301370000000006</v>
      </c>
      <c r="Z82" s="51">
        <v>86.301370000000006</v>
      </c>
      <c r="AA82" s="51">
        <v>86.301370000000006</v>
      </c>
      <c r="AB82" s="51">
        <v>86.301370000000006</v>
      </c>
      <c r="AC82" s="51">
        <v>86.301370000000006</v>
      </c>
      <c r="AD82" s="51">
        <v>86.301370000000006</v>
      </c>
      <c r="AE82" s="51">
        <v>86.301370000000006</v>
      </c>
      <c r="AF82" s="51">
        <v>86.301370000000006</v>
      </c>
      <c r="AG82" s="51">
        <v>86.301370000000006</v>
      </c>
      <c r="AH82" s="51">
        <v>86.301370000000006</v>
      </c>
      <c r="AI82" s="51">
        <v>86.301370000000006</v>
      </c>
      <c r="AJ82" s="51">
        <v>86.301370000000006</v>
      </c>
      <c r="AK82" s="51">
        <v>86.301370000000006</v>
      </c>
      <c r="AL82" s="51">
        <v>86.301370000000006</v>
      </c>
      <c r="AM82" s="51">
        <v>86.301370000000006</v>
      </c>
      <c r="AN82" s="51">
        <v>86.301370000000006</v>
      </c>
      <c r="AO82" s="51">
        <v>86.301370000000006</v>
      </c>
      <c r="AP82" s="51">
        <v>86.301370000000006</v>
      </c>
      <c r="AQ82" s="51">
        <v>86.301370000000006</v>
      </c>
      <c r="AR82" s="51">
        <v>86.301370000000006</v>
      </c>
      <c r="AS82" s="51">
        <v>86.301370000000006</v>
      </c>
      <c r="AT82" s="51">
        <v>86.301370000000006</v>
      </c>
      <c r="AU82" s="51">
        <v>86.301370000000006</v>
      </c>
      <c r="AV82" s="51">
        <v>86.301370000000006</v>
      </c>
      <c r="AW82" s="51">
        <v>86.301370000000006</v>
      </c>
      <c r="AX82" s="51">
        <v>86.301370000000006</v>
      </c>
      <c r="AY82" s="51">
        <v>86.301370000000006</v>
      </c>
      <c r="AZ82" s="51">
        <v>86.301370000000006</v>
      </c>
      <c r="BA82" s="51">
        <v>86.301370000000006</v>
      </c>
      <c r="BB82" s="51">
        <v>86.301370000000006</v>
      </c>
      <c r="BC82" s="51">
        <v>86.301370000000006</v>
      </c>
      <c r="BD82" s="51">
        <v>86.301370000000006</v>
      </c>
      <c r="BE82" s="51">
        <v>86.301370000000006</v>
      </c>
      <c r="BF82" s="51">
        <v>86.301370000000006</v>
      </c>
      <c r="BG82" s="51">
        <v>86.301370000000006</v>
      </c>
      <c r="BH82" s="51">
        <v>86.301370000000006</v>
      </c>
      <c r="BI82" s="51"/>
      <c r="BJ82" s="50">
        <f t="shared" si="7"/>
        <v>5091.7808300000033</v>
      </c>
      <c r="BK82" s="51"/>
      <c r="BL82" s="50"/>
      <c r="BM82" s="51"/>
      <c r="BN82" s="51"/>
      <c r="BO82" s="51"/>
      <c r="BP82" s="51"/>
      <c r="BQ82" s="51"/>
      <c r="BR82" s="51"/>
      <c r="BS82" s="51"/>
      <c r="BT82" s="51"/>
    </row>
    <row r="83" spans="1:72" ht="20.100000000000001" hidden="1" customHeight="1" outlineLevel="1" x14ac:dyDescent="0.25">
      <c r="A83" s="26" t="s">
        <v>73</v>
      </c>
      <c r="B83" s="51">
        <v>119.59781599999999</v>
      </c>
      <c r="C83" s="51">
        <v>119.59781599999999</v>
      </c>
      <c r="D83" s="51">
        <v>119.59781599999999</v>
      </c>
      <c r="E83" s="51">
        <v>119.59781599999999</v>
      </c>
      <c r="F83" s="51">
        <v>119.59781599999999</v>
      </c>
      <c r="G83" s="51">
        <v>119.59781599999999</v>
      </c>
      <c r="H83" s="51">
        <v>119.59781599999999</v>
      </c>
      <c r="I83" s="51">
        <v>119.59781599999999</v>
      </c>
      <c r="J83" s="51">
        <v>119.59781599999999</v>
      </c>
      <c r="K83" s="51">
        <v>119.59781599999999</v>
      </c>
      <c r="L83" s="51">
        <v>119.59781599999999</v>
      </c>
      <c r="M83" s="51">
        <v>119.59781599999999</v>
      </c>
      <c r="N83" s="51">
        <v>119.59781599999999</v>
      </c>
      <c r="O83" s="51">
        <v>119.59781599999999</v>
      </c>
      <c r="P83" s="51">
        <v>119.59781599999999</v>
      </c>
      <c r="Q83" s="51">
        <v>119.59781599999999</v>
      </c>
      <c r="R83" s="51">
        <v>119.59781599999999</v>
      </c>
      <c r="S83" s="51">
        <v>119.59781599999999</v>
      </c>
      <c r="T83" s="51">
        <v>119.59781599999999</v>
      </c>
      <c r="U83" s="51">
        <v>119.59781599999999</v>
      </c>
      <c r="V83" s="51">
        <v>119.59781599999999</v>
      </c>
      <c r="W83" s="51">
        <v>119.59781599999999</v>
      </c>
      <c r="X83" s="51">
        <v>119.59781599999999</v>
      </c>
      <c r="Y83" s="51">
        <v>119.59781599999999</v>
      </c>
      <c r="Z83" s="51">
        <v>119.59781599999999</v>
      </c>
      <c r="AA83" s="51">
        <v>119.59781599999999</v>
      </c>
      <c r="AB83" s="51">
        <v>119.59781599999999</v>
      </c>
      <c r="AC83" s="51">
        <v>119.59781599999999</v>
      </c>
      <c r="AD83" s="51">
        <v>119.59781599999999</v>
      </c>
      <c r="AE83" s="51">
        <v>119.59781599999999</v>
      </c>
      <c r="AF83" s="51">
        <v>119.59781599999999</v>
      </c>
      <c r="AG83" s="51">
        <v>119.59781599999999</v>
      </c>
      <c r="AH83" s="51">
        <v>119.59781599999999</v>
      </c>
      <c r="AI83" s="51">
        <v>119.59781599999999</v>
      </c>
      <c r="AJ83" s="51">
        <v>119.59781599999999</v>
      </c>
      <c r="AK83" s="51">
        <v>119.59781599999999</v>
      </c>
      <c r="AL83" s="51">
        <v>119.59781599999999</v>
      </c>
      <c r="AM83" s="51">
        <v>119.59781599999999</v>
      </c>
      <c r="AN83" s="51">
        <v>119.59781599999999</v>
      </c>
      <c r="AO83" s="51">
        <v>119.59781599999999</v>
      </c>
      <c r="AP83" s="51">
        <v>119.59781599999999</v>
      </c>
      <c r="AQ83" s="51">
        <v>119.59781599999999</v>
      </c>
      <c r="AR83" s="51">
        <v>119.59781599999999</v>
      </c>
      <c r="AS83" s="51">
        <v>119.59781599999999</v>
      </c>
      <c r="AT83" s="51">
        <v>119.59781599999999</v>
      </c>
      <c r="AU83" s="51">
        <v>119.59781599999999</v>
      </c>
      <c r="AV83" s="51">
        <v>119.59781599999999</v>
      </c>
      <c r="AW83" s="51">
        <v>119.59781599999999</v>
      </c>
      <c r="AX83" s="51">
        <v>119.59781599999999</v>
      </c>
      <c r="AY83" s="51">
        <v>119.59781599999999</v>
      </c>
      <c r="AZ83" s="51">
        <v>119.59781599999999</v>
      </c>
      <c r="BA83" s="51">
        <v>119.59781599999999</v>
      </c>
      <c r="BB83" s="51">
        <v>119.59781599999999</v>
      </c>
      <c r="BC83" s="51">
        <v>119.59781599999999</v>
      </c>
      <c r="BD83" s="51">
        <v>119.59781599999999</v>
      </c>
      <c r="BE83" s="51">
        <v>119.59781599999999</v>
      </c>
      <c r="BF83" s="51">
        <v>119.59781599999999</v>
      </c>
      <c r="BG83" s="51">
        <v>119.59781599999999</v>
      </c>
      <c r="BH83" s="51">
        <v>119.59781599999999</v>
      </c>
      <c r="BI83" s="51"/>
      <c r="BJ83" s="50">
        <f t="shared" si="7"/>
        <v>7056.2711440000094</v>
      </c>
      <c r="BK83" s="51"/>
      <c r="BL83" s="50"/>
      <c r="BM83" s="51"/>
      <c r="BN83" s="51"/>
      <c r="BO83" s="51"/>
      <c r="BP83" s="51"/>
      <c r="BQ83" s="51"/>
      <c r="BR83" s="51"/>
      <c r="BS83" s="51"/>
      <c r="BT83" s="51"/>
    </row>
    <row r="84" spans="1:72" ht="20.100000000000001" hidden="1" customHeight="1" outlineLevel="1" x14ac:dyDescent="0.25">
      <c r="A84" s="26" t="s">
        <v>74</v>
      </c>
      <c r="B84" s="51">
        <v>30.927396000000002</v>
      </c>
      <c r="C84" s="51">
        <v>30.927396000000002</v>
      </c>
      <c r="D84" s="51">
        <v>30.927396000000002</v>
      </c>
      <c r="E84" s="51">
        <v>30.927396000000002</v>
      </c>
      <c r="F84" s="51">
        <v>30.927396000000002</v>
      </c>
      <c r="G84" s="51">
        <v>30.927396000000002</v>
      </c>
      <c r="H84" s="51">
        <v>30.927396000000002</v>
      </c>
      <c r="I84" s="51">
        <v>30.927396000000002</v>
      </c>
      <c r="J84" s="51">
        <v>30.927396000000002</v>
      </c>
      <c r="K84" s="51">
        <v>30.927396000000002</v>
      </c>
      <c r="L84" s="51">
        <v>30.927396000000002</v>
      </c>
      <c r="M84" s="51">
        <v>30.927396000000002</v>
      </c>
      <c r="N84" s="51">
        <v>30.927396000000002</v>
      </c>
      <c r="O84" s="51">
        <v>30.927396000000002</v>
      </c>
      <c r="P84" s="51">
        <v>30.927396000000002</v>
      </c>
      <c r="Q84" s="51">
        <v>30.927396000000002</v>
      </c>
      <c r="R84" s="51">
        <v>30.927396000000002</v>
      </c>
      <c r="S84" s="51">
        <v>30.927396000000002</v>
      </c>
      <c r="T84" s="51">
        <v>30.927396000000002</v>
      </c>
      <c r="U84" s="51">
        <v>30.927396000000002</v>
      </c>
      <c r="V84" s="51">
        <v>30.927396000000002</v>
      </c>
      <c r="W84" s="51">
        <v>30.927396000000002</v>
      </c>
      <c r="X84" s="51">
        <v>30.927396000000002</v>
      </c>
      <c r="Y84" s="51">
        <v>30.927396000000002</v>
      </c>
      <c r="Z84" s="51">
        <v>30.927396000000002</v>
      </c>
      <c r="AA84" s="51">
        <v>30.927396000000002</v>
      </c>
      <c r="AB84" s="51">
        <v>30.927396000000002</v>
      </c>
      <c r="AC84" s="51">
        <v>30.927396000000002</v>
      </c>
      <c r="AD84" s="51">
        <v>30.927396000000002</v>
      </c>
      <c r="AE84" s="51">
        <v>30.927396000000002</v>
      </c>
      <c r="AF84" s="51">
        <v>30.927396000000002</v>
      </c>
      <c r="AG84" s="51">
        <v>30.927396000000002</v>
      </c>
      <c r="AH84" s="51">
        <v>30.927396000000002</v>
      </c>
      <c r="AI84" s="51">
        <v>30.927396000000002</v>
      </c>
      <c r="AJ84" s="51">
        <v>30.927396000000002</v>
      </c>
      <c r="AK84" s="51">
        <v>30.927396000000002</v>
      </c>
      <c r="AL84" s="51">
        <v>30.927396000000002</v>
      </c>
      <c r="AM84" s="51">
        <v>30.927396000000002</v>
      </c>
      <c r="AN84" s="51">
        <v>30.927396000000002</v>
      </c>
      <c r="AO84" s="51">
        <v>30.927396000000002</v>
      </c>
      <c r="AP84" s="51">
        <v>30.927396000000002</v>
      </c>
      <c r="AQ84" s="51">
        <v>30.927396000000002</v>
      </c>
      <c r="AR84" s="51">
        <v>30.927396000000002</v>
      </c>
      <c r="AS84" s="51">
        <v>30.927396000000002</v>
      </c>
      <c r="AT84" s="51">
        <v>30.927396000000002</v>
      </c>
      <c r="AU84" s="51">
        <v>30.927396000000002</v>
      </c>
      <c r="AV84" s="51">
        <v>30.927396000000002</v>
      </c>
      <c r="AW84" s="51">
        <v>30.927396000000002</v>
      </c>
      <c r="AX84" s="51">
        <v>30.927396000000002</v>
      </c>
      <c r="AY84" s="51">
        <v>30.927396000000002</v>
      </c>
      <c r="AZ84" s="51">
        <v>30.927396000000002</v>
      </c>
      <c r="BA84" s="51">
        <v>30.927396000000002</v>
      </c>
      <c r="BB84" s="51">
        <v>30.927396000000002</v>
      </c>
      <c r="BC84" s="51">
        <v>30.927396000000002</v>
      </c>
      <c r="BD84" s="51">
        <v>30.927396000000002</v>
      </c>
      <c r="BE84" s="51">
        <v>30.927396000000002</v>
      </c>
      <c r="BF84" s="51">
        <v>30.927396000000002</v>
      </c>
      <c r="BG84" s="51">
        <v>30.927396000000002</v>
      </c>
      <c r="BH84" s="51">
        <v>30.927396000000002</v>
      </c>
      <c r="BI84" s="51"/>
      <c r="BJ84" s="50">
        <f t="shared" si="7"/>
        <v>1824.7163640000017</v>
      </c>
      <c r="BK84" s="51"/>
      <c r="BL84" s="50"/>
      <c r="BM84" s="51"/>
      <c r="BN84" s="51"/>
      <c r="BO84" s="51"/>
      <c r="BP84" s="51"/>
      <c r="BQ84" s="51"/>
      <c r="BR84" s="51"/>
      <c r="BS84" s="51"/>
      <c r="BT84" s="51"/>
    </row>
    <row r="85" spans="1:72" ht="20.100000000000001" hidden="1" customHeight="1" outlineLevel="1" x14ac:dyDescent="0.25">
      <c r="A85" s="26" t="s">
        <v>75</v>
      </c>
      <c r="B85" s="51">
        <v>145.478095</v>
      </c>
      <c r="C85" s="51">
        <v>145.478095</v>
      </c>
      <c r="D85" s="51">
        <v>145.478095</v>
      </c>
      <c r="E85" s="51">
        <v>145.478095</v>
      </c>
      <c r="F85" s="51">
        <v>145.478095</v>
      </c>
      <c r="G85" s="51">
        <v>145.478095</v>
      </c>
      <c r="H85" s="51">
        <v>145.478095</v>
      </c>
      <c r="I85" s="51">
        <v>145.478095</v>
      </c>
      <c r="J85" s="51">
        <v>145.478095</v>
      </c>
      <c r="K85" s="51">
        <v>145.478095</v>
      </c>
      <c r="L85" s="51">
        <v>145.478095</v>
      </c>
      <c r="M85" s="51">
        <v>145.478095</v>
      </c>
      <c r="N85" s="51">
        <v>145.478095</v>
      </c>
      <c r="O85" s="51">
        <v>145.478095</v>
      </c>
      <c r="P85" s="51">
        <v>145.478095</v>
      </c>
      <c r="Q85" s="51">
        <v>145.478095</v>
      </c>
      <c r="R85" s="51">
        <v>145.478095</v>
      </c>
      <c r="S85" s="51">
        <v>145.478095</v>
      </c>
      <c r="T85" s="51">
        <v>145.478095</v>
      </c>
      <c r="U85" s="51">
        <v>145.478095</v>
      </c>
      <c r="V85" s="51">
        <v>145.478095</v>
      </c>
      <c r="W85" s="51">
        <v>145.478095</v>
      </c>
      <c r="X85" s="51">
        <v>145.478095</v>
      </c>
      <c r="Y85" s="51">
        <v>145.478095</v>
      </c>
      <c r="Z85" s="51">
        <v>145.478095</v>
      </c>
      <c r="AA85" s="51">
        <v>145.478095</v>
      </c>
      <c r="AB85" s="51">
        <v>145.478095</v>
      </c>
      <c r="AC85" s="51">
        <v>145.478095</v>
      </c>
      <c r="AD85" s="51">
        <v>145.478095</v>
      </c>
      <c r="AE85" s="51">
        <v>145.478095</v>
      </c>
      <c r="AF85" s="51">
        <v>145.478095</v>
      </c>
      <c r="AG85" s="51">
        <v>145.478095</v>
      </c>
      <c r="AH85" s="51">
        <v>145.478095</v>
      </c>
      <c r="AI85" s="51">
        <v>145.478095</v>
      </c>
      <c r="AJ85" s="51">
        <v>145.478095</v>
      </c>
      <c r="AK85" s="51">
        <v>145.478095</v>
      </c>
      <c r="AL85" s="51">
        <v>145.478095</v>
      </c>
      <c r="AM85" s="51">
        <v>145.478095</v>
      </c>
      <c r="AN85" s="51">
        <v>145.478095</v>
      </c>
      <c r="AO85" s="51">
        <v>145.478095</v>
      </c>
      <c r="AP85" s="51">
        <v>145.478095</v>
      </c>
      <c r="AQ85" s="51">
        <v>145.478095</v>
      </c>
      <c r="AR85" s="51">
        <v>145.478095</v>
      </c>
      <c r="AS85" s="51">
        <v>145.478095</v>
      </c>
      <c r="AT85" s="51">
        <v>145.478095</v>
      </c>
      <c r="AU85" s="51">
        <v>145.478095</v>
      </c>
      <c r="AV85" s="51">
        <v>145.478095</v>
      </c>
      <c r="AW85" s="51">
        <v>145.478095</v>
      </c>
      <c r="AX85" s="51">
        <v>145.478095</v>
      </c>
      <c r="AY85" s="51">
        <v>145.478095</v>
      </c>
      <c r="AZ85" s="51">
        <v>145.478095</v>
      </c>
      <c r="BA85" s="51">
        <v>145.478095</v>
      </c>
      <c r="BB85" s="51">
        <v>145.478095</v>
      </c>
      <c r="BC85" s="51">
        <v>145.478095</v>
      </c>
      <c r="BD85" s="51">
        <v>145.478095</v>
      </c>
      <c r="BE85" s="51">
        <v>145.478095</v>
      </c>
      <c r="BF85" s="51">
        <v>145.478095</v>
      </c>
      <c r="BG85" s="51">
        <v>145.478095</v>
      </c>
      <c r="BH85" s="51">
        <v>145.478095</v>
      </c>
      <c r="BI85" s="51"/>
      <c r="BJ85" s="50">
        <f t="shared" si="7"/>
        <v>8583.2076050000105</v>
      </c>
      <c r="BK85" s="51"/>
      <c r="BL85" s="50"/>
      <c r="BM85" s="51"/>
      <c r="BN85" s="51"/>
      <c r="BO85" s="51"/>
      <c r="BP85" s="51"/>
      <c r="BQ85" s="51"/>
      <c r="BR85" s="51"/>
      <c r="BS85" s="51"/>
      <c r="BT85" s="51"/>
    </row>
    <row r="86" spans="1:72" ht="20.100000000000001" hidden="1" customHeight="1" outlineLevel="1" x14ac:dyDescent="0.25">
      <c r="A86" s="26" t="s">
        <v>76</v>
      </c>
      <c r="B86" s="51">
        <v>14.958904</v>
      </c>
      <c r="C86" s="51">
        <v>14.958904</v>
      </c>
      <c r="D86" s="51">
        <v>14.958904</v>
      </c>
      <c r="E86" s="51">
        <v>14.958904</v>
      </c>
      <c r="F86" s="51">
        <v>14.958904</v>
      </c>
      <c r="G86" s="51">
        <v>14.958904</v>
      </c>
      <c r="H86" s="51">
        <v>14.958904</v>
      </c>
      <c r="I86" s="51">
        <v>14.958904</v>
      </c>
      <c r="J86" s="51">
        <v>14.958904</v>
      </c>
      <c r="K86" s="51">
        <v>14.958904</v>
      </c>
      <c r="L86" s="51">
        <v>14.958904</v>
      </c>
      <c r="M86" s="51">
        <v>14.958904</v>
      </c>
      <c r="N86" s="51">
        <v>14.958904</v>
      </c>
      <c r="O86" s="51">
        <v>14.958904</v>
      </c>
      <c r="P86" s="51">
        <v>14.958904</v>
      </c>
      <c r="Q86" s="51">
        <v>14.958904</v>
      </c>
      <c r="R86" s="51">
        <v>14.958904</v>
      </c>
      <c r="S86" s="51">
        <v>14.958904</v>
      </c>
      <c r="T86" s="51">
        <v>14.958904</v>
      </c>
      <c r="U86" s="51">
        <v>14.958904</v>
      </c>
      <c r="V86" s="51">
        <v>14.958904</v>
      </c>
      <c r="W86" s="51">
        <v>14.958904</v>
      </c>
      <c r="X86" s="51">
        <v>14.958904</v>
      </c>
      <c r="Y86" s="51">
        <v>14.958904</v>
      </c>
      <c r="Z86" s="51">
        <v>14.958904</v>
      </c>
      <c r="AA86" s="51">
        <v>14.958904</v>
      </c>
      <c r="AB86" s="51">
        <v>14.958904</v>
      </c>
      <c r="AC86" s="51">
        <v>14.958904</v>
      </c>
      <c r="AD86" s="51">
        <v>14.958904</v>
      </c>
      <c r="AE86" s="51">
        <v>14.958904</v>
      </c>
      <c r="AF86" s="51">
        <v>14.958904</v>
      </c>
      <c r="AG86" s="51">
        <v>14.958904</v>
      </c>
      <c r="AH86" s="51">
        <v>14.958904</v>
      </c>
      <c r="AI86" s="51">
        <v>14.958904</v>
      </c>
      <c r="AJ86" s="51">
        <v>14.958904</v>
      </c>
      <c r="AK86" s="51">
        <v>14.958904</v>
      </c>
      <c r="AL86" s="51">
        <v>14.958904</v>
      </c>
      <c r="AM86" s="51">
        <v>14.958904</v>
      </c>
      <c r="AN86" s="51">
        <v>14.958904</v>
      </c>
      <c r="AO86" s="51">
        <v>14.958904</v>
      </c>
      <c r="AP86" s="51">
        <v>14.958904</v>
      </c>
      <c r="AQ86" s="51">
        <v>14.958904</v>
      </c>
      <c r="AR86" s="51">
        <v>14.958904</v>
      </c>
      <c r="AS86" s="51">
        <v>14.958904</v>
      </c>
      <c r="AT86" s="51">
        <v>14.958904</v>
      </c>
      <c r="AU86" s="51">
        <v>14.958904</v>
      </c>
      <c r="AV86" s="51">
        <v>14.958904</v>
      </c>
      <c r="AW86" s="51">
        <v>14.958904</v>
      </c>
      <c r="AX86" s="51">
        <v>14.958904</v>
      </c>
      <c r="AY86" s="51">
        <v>14.958904</v>
      </c>
      <c r="AZ86" s="51">
        <v>14.958904</v>
      </c>
      <c r="BA86" s="51">
        <v>14.958904</v>
      </c>
      <c r="BB86" s="51">
        <v>14.958904</v>
      </c>
      <c r="BC86" s="51">
        <v>14.958904</v>
      </c>
      <c r="BD86" s="51">
        <v>14.958904</v>
      </c>
      <c r="BE86" s="51">
        <v>14.958904</v>
      </c>
      <c r="BF86" s="51">
        <v>14.958904</v>
      </c>
      <c r="BG86" s="51">
        <v>14.958904</v>
      </c>
      <c r="BH86" s="51">
        <v>14.958904</v>
      </c>
      <c r="BI86" s="51"/>
      <c r="BJ86" s="50">
        <f t="shared" si="7"/>
        <v>882.57533599999931</v>
      </c>
      <c r="BK86" s="51"/>
      <c r="BL86" s="50"/>
      <c r="BM86" s="51"/>
      <c r="BN86" s="51"/>
      <c r="BO86" s="51"/>
      <c r="BP86" s="51"/>
      <c r="BQ86" s="51"/>
      <c r="BR86" s="51"/>
      <c r="BS86" s="51"/>
      <c r="BT86" s="51"/>
    </row>
    <row r="87" spans="1:72" ht="20.100000000000001" hidden="1" customHeight="1" outlineLevel="1" x14ac:dyDescent="0.25">
      <c r="A87" s="26" t="s">
        <v>77</v>
      </c>
      <c r="B87" s="51">
        <v>115.068493</v>
      </c>
      <c r="C87" s="51">
        <v>115.068493</v>
      </c>
      <c r="D87" s="51">
        <v>115.068493</v>
      </c>
      <c r="E87" s="51">
        <v>115.068493</v>
      </c>
      <c r="F87" s="51">
        <v>115.068493</v>
      </c>
      <c r="G87" s="51">
        <v>115.068493</v>
      </c>
      <c r="H87" s="51">
        <v>115.068493</v>
      </c>
      <c r="I87" s="51">
        <v>115.068493</v>
      </c>
      <c r="J87" s="51">
        <v>115.068493</v>
      </c>
      <c r="K87" s="51">
        <v>115.068493</v>
      </c>
      <c r="L87" s="51">
        <v>115.068493</v>
      </c>
      <c r="M87" s="51">
        <v>115.068493</v>
      </c>
      <c r="N87" s="51">
        <v>115.068493</v>
      </c>
      <c r="O87" s="51">
        <v>115.068493</v>
      </c>
      <c r="P87" s="51">
        <v>115.068493</v>
      </c>
      <c r="Q87" s="51">
        <v>115.068493</v>
      </c>
      <c r="R87" s="51">
        <v>115.068493</v>
      </c>
      <c r="S87" s="51">
        <v>115.068493</v>
      </c>
      <c r="T87" s="51">
        <v>115.068493</v>
      </c>
      <c r="U87" s="51">
        <v>115.068493</v>
      </c>
      <c r="V87" s="51">
        <v>115.068493</v>
      </c>
      <c r="W87" s="51">
        <v>115.068493</v>
      </c>
      <c r="X87" s="51">
        <v>115.068493</v>
      </c>
      <c r="Y87" s="51">
        <v>115.068493</v>
      </c>
      <c r="Z87" s="51">
        <v>115.068493</v>
      </c>
      <c r="AA87" s="51">
        <v>115.068493</v>
      </c>
      <c r="AB87" s="51">
        <v>115.068493</v>
      </c>
      <c r="AC87" s="51">
        <v>115.068493</v>
      </c>
      <c r="AD87" s="51">
        <v>115.068493</v>
      </c>
      <c r="AE87" s="51">
        <v>115.068493</v>
      </c>
      <c r="AF87" s="51">
        <v>115.068493</v>
      </c>
      <c r="AG87" s="51">
        <v>115.068493</v>
      </c>
      <c r="AH87" s="51">
        <v>115.068493</v>
      </c>
      <c r="AI87" s="51">
        <v>115.068493</v>
      </c>
      <c r="AJ87" s="51">
        <v>115.068493</v>
      </c>
      <c r="AK87" s="51">
        <v>115.068493</v>
      </c>
      <c r="AL87" s="51">
        <v>115.068493</v>
      </c>
      <c r="AM87" s="51">
        <v>115.068493</v>
      </c>
      <c r="AN87" s="51">
        <v>115.068493</v>
      </c>
      <c r="AO87" s="51">
        <v>115.068493</v>
      </c>
      <c r="AP87" s="51">
        <v>115.068493</v>
      </c>
      <c r="AQ87" s="51">
        <v>115.068493</v>
      </c>
      <c r="AR87" s="51">
        <v>115.068493</v>
      </c>
      <c r="AS87" s="51">
        <v>115.068493</v>
      </c>
      <c r="AT87" s="51">
        <v>115.068493</v>
      </c>
      <c r="AU87" s="51">
        <v>115.068493</v>
      </c>
      <c r="AV87" s="51">
        <v>115.068493</v>
      </c>
      <c r="AW87" s="51">
        <v>115.068493</v>
      </c>
      <c r="AX87" s="51">
        <v>115.068493</v>
      </c>
      <c r="AY87" s="51">
        <v>115.068493</v>
      </c>
      <c r="AZ87" s="51">
        <v>115.068493</v>
      </c>
      <c r="BA87" s="51">
        <v>115.068493</v>
      </c>
      <c r="BB87" s="51">
        <v>115.068493</v>
      </c>
      <c r="BC87" s="51">
        <v>115.068493</v>
      </c>
      <c r="BD87" s="51">
        <v>115.068493</v>
      </c>
      <c r="BE87" s="51">
        <v>115.068493</v>
      </c>
      <c r="BF87" s="51">
        <v>115.068493</v>
      </c>
      <c r="BG87" s="51">
        <v>115.068493</v>
      </c>
      <c r="BH87" s="51">
        <v>115.068493</v>
      </c>
      <c r="BI87" s="51"/>
      <c r="BJ87" s="50">
        <f t="shared" si="7"/>
        <v>6789.0410869999987</v>
      </c>
      <c r="BK87" s="51"/>
      <c r="BL87" s="50"/>
      <c r="BM87" s="51"/>
      <c r="BN87" s="51"/>
      <c r="BO87" s="51"/>
      <c r="BP87" s="51"/>
      <c r="BQ87" s="51"/>
      <c r="BR87" s="51"/>
      <c r="BS87" s="51"/>
      <c r="BT87" s="51"/>
    </row>
    <row r="88" spans="1:72" ht="20.100000000000001" hidden="1" customHeight="1" outlineLevel="1" x14ac:dyDescent="0.25">
      <c r="A88" s="26" t="s">
        <v>78</v>
      </c>
      <c r="B88" s="51">
        <v>17.526934000000001</v>
      </c>
      <c r="C88" s="51">
        <v>17.526934000000001</v>
      </c>
      <c r="D88" s="51">
        <v>17.526934000000001</v>
      </c>
      <c r="E88" s="51">
        <v>17.526934000000001</v>
      </c>
      <c r="F88" s="51">
        <v>17.526934000000001</v>
      </c>
      <c r="G88" s="51">
        <v>17.526934000000001</v>
      </c>
      <c r="H88" s="51">
        <v>17.526934000000001</v>
      </c>
      <c r="I88" s="51">
        <v>17.526934000000001</v>
      </c>
      <c r="J88" s="51">
        <v>17.526934000000001</v>
      </c>
      <c r="K88" s="51">
        <v>17.526934000000001</v>
      </c>
      <c r="L88" s="51">
        <v>17.526934000000001</v>
      </c>
      <c r="M88" s="51">
        <v>17.526934000000001</v>
      </c>
      <c r="N88" s="51">
        <v>17.526934000000001</v>
      </c>
      <c r="O88" s="51">
        <v>17.526934000000001</v>
      </c>
      <c r="P88" s="51">
        <v>17.526934000000001</v>
      </c>
      <c r="Q88" s="51">
        <v>17.526934000000001</v>
      </c>
      <c r="R88" s="51">
        <v>17.526934000000001</v>
      </c>
      <c r="S88" s="51">
        <v>17.526934000000001</v>
      </c>
      <c r="T88" s="51">
        <v>17.526934000000001</v>
      </c>
      <c r="U88" s="51">
        <v>17.526934000000001</v>
      </c>
      <c r="V88" s="51">
        <v>17.526934000000001</v>
      </c>
      <c r="W88" s="51">
        <v>17.526934000000001</v>
      </c>
      <c r="X88" s="51">
        <v>17.526934000000001</v>
      </c>
      <c r="Y88" s="51">
        <v>17.526934000000001</v>
      </c>
      <c r="Z88" s="51">
        <v>17.526934000000001</v>
      </c>
      <c r="AA88" s="51">
        <v>17.526934000000001</v>
      </c>
      <c r="AB88" s="51">
        <v>17.526934000000001</v>
      </c>
      <c r="AC88" s="51">
        <v>17.526934000000001</v>
      </c>
      <c r="AD88" s="51">
        <v>17.526934000000001</v>
      </c>
      <c r="AE88" s="51">
        <v>17.526934000000001</v>
      </c>
      <c r="AF88" s="51">
        <v>17.526934000000001</v>
      </c>
      <c r="AG88" s="51">
        <v>17.526934000000001</v>
      </c>
      <c r="AH88" s="51">
        <v>17.526934000000001</v>
      </c>
      <c r="AI88" s="51">
        <v>17.526934000000001</v>
      </c>
      <c r="AJ88" s="51">
        <v>17.526934000000001</v>
      </c>
      <c r="AK88" s="51">
        <v>17.526934000000001</v>
      </c>
      <c r="AL88" s="51">
        <v>17.526934000000001</v>
      </c>
      <c r="AM88" s="51">
        <v>17.526934000000001</v>
      </c>
      <c r="AN88" s="51">
        <v>17.526934000000001</v>
      </c>
      <c r="AO88" s="51">
        <v>17.526934000000001</v>
      </c>
      <c r="AP88" s="51">
        <v>17.526934000000001</v>
      </c>
      <c r="AQ88" s="51">
        <v>17.526934000000001</v>
      </c>
      <c r="AR88" s="51">
        <v>17.526934000000001</v>
      </c>
      <c r="AS88" s="51">
        <v>17.526934000000001</v>
      </c>
      <c r="AT88" s="51">
        <v>17.526934000000001</v>
      </c>
      <c r="AU88" s="51">
        <v>17.526934000000001</v>
      </c>
      <c r="AV88" s="51">
        <v>17.526934000000001</v>
      </c>
      <c r="AW88" s="51">
        <v>17.526934000000001</v>
      </c>
      <c r="AX88" s="51">
        <v>17.526934000000001</v>
      </c>
      <c r="AY88" s="51">
        <v>17.526934000000001</v>
      </c>
      <c r="AZ88" s="51">
        <v>17.526934000000001</v>
      </c>
      <c r="BA88" s="51">
        <v>17.526934000000001</v>
      </c>
      <c r="BB88" s="51">
        <v>17.526934000000001</v>
      </c>
      <c r="BC88" s="51">
        <v>17.526934000000001</v>
      </c>
      <c r="BD88" s="51">
        <v>17.526934000000001</v>
      </c>
      <c r="BE88" s="51">
        <v>17.526934000000001</v>
      </c>
      <c r="BF88" s="51">
        <v>17.526934000000001</v>
      </c>
      <c r="BG88" s="51">
        <v>17.526934000000001</v>
      </c>
      <c r="BH88" s="51">
        <v>17.526934000000001</v>
      </c>
      <c r="BI88" s="51"/>
      <c r="BJ88" s="50">
        <f t="shared" si="7"/>
        <v>1034.0891059999994</v>
      </c>
      <c r="BK88" s="51"/>
      <c r="BL88" s="50"/>
      <c r="BM88" s="51"/>
      <c r="BN88" s="51"/>
      <c r="BO88" s="51"/>
      <c r="BP88" s="51"/>
      <c r="BQ88" s="51"/>
      <c r="BR88" s="51"/>
      <c r="BS88" s="51"/>
      <c r="BT88" s="51"/>
    </row>
    <row r="89" spans="1:72" ht="20.100000000000001" hidden="1" customHeight="1" outlineLevel="1" x14ac:dyDescent="0.25">
      <c r="A89" s="26" t="s">
        <v>79</v>
      </c>
      <c r="B89" s="51">
        <v>40.273972999999998</v>
      </c>
      <c r="C89" s="51">
        <v>40.273972999999998</v>
      </c>
      <c r="D89" s="51">
        <v>40.273972999999998</v>
      </c>
      <c r="E89" s="51">
        <v>40.273972999999998</v>
      </c>
      <c r="F89" s="51">
        <v>40.273972999999998</v>
      </c>
      <c r="G89" s="51">
        <v>40.273972999999998</v>
      </c>
      <c r="H89" s="51">
        <v>40.273972999999998</v>
      </c>
      <c r="I89" s="51">
        <v>40.273972999999998</v>
      </c>
      <c r="J89" s="51">
        <v>40.273972999999998</v>
      </c>
      <c r="K89" s="51">
        <v>40.273972999999998</v>
      </c>
      <c r="L89" s="51">
        <v>40.273972999999998</v>
      </c>
      <c r="M89" s="51">
        <v>40.273972999999998</v>
      </c>
      <c r="N89" s="51">
        <v>40.273972999999998</v>
      </c>
      <c r="O89" s="51">
        <v>40.273972999999998</v>
      </c>
      <c r="P89" s="51">
        <v>40.273972999999998</v>
      </c>
      <c r="Q89" s="51">
        <v>40.273972999999998</v>
      </c>
      <c r="R89" s="51">
        <v>40.273972999999998</v>
      </c>
      <c r="S89" s="51">
        <v>40.273972999999998</v>
      </c>
      <c r="T89" s="51">
        <v>40.273972999999998</v>
      </c>
      <c r="U89" s="51">
        <v>40.273972999999998</v>
      </c>
      <c r="V89" s="51">
        <v>40.273972999999998</v>
      </c>
      <c r="W89" s="51">
        <v>40.273972999999998</v>
      </c>
      <c r="X89" s="51">
        <v>40.273972999999998</v>
      </c>
      <c r="Y89" s="51">
        <v>40.273972999999998</v>
      </c>
      <c r="Z89" s="51">
        <v>40.273972999999998</v>
      </c>
      <c r="AA89" s="51">
        <v>40.273972999999998</v>
      </c>
      <c r="AB89" s="51">
        <v>40.273972999999998</v>
      </c>
      <c r="AC89" s="51">
        <v>40.273972999999998</v>
      </c>
      <c r="AD89" s="51">
        <v>40.273972999999998</v>
      </c>
      <c r="AE89" s="51">
        <v>40.273972999999998</v>
      </c>
      <c r="AF89" s="51">
        <v>40.273972999999998</v>
      </c>
      <c r="AG89" s="51">
        <v>40.273972999999998</v>
      </c>
      <c r="AH89" s="51">
        <v>40.273972999999998</v>
      </c>
      <c r="AI89" s="51">
        <v>40.273972999999998</v>
      </c>
      <c r="AJ89" s="51">
        <v>40.273972999999998</v>
      </c>
      <c r="AK89" s="51">
        <v>40.273972999999998</v>
      </c>
      <c r="AL89" s="51">
        <v>40.273972999999998</v>
      </c>
      <c r="AM89" s="51">
        <v>40.273972999999998</v>
      </c>
      <c r="AN89" s="51">
        <v>40.273972999999998</v>
      </c>
      <c r="AO89" s="51">
        <v>40.273972999999998</v>
      </c>
      <c r="AP89" s="51">
        <v>40.273972999999998</v>
      </c>
      <c r="AQ89" s="51">
        <v>40.273972999999998</v>
      </c>
      <c r="AR89" s="51">
        <v>40.273972999999998</v>
      </c>
      <c r="AS89" s="51">
        <v>40.273972999999998</v>
      </c>
      <c r="AT89" s="51">
        <v>40.273972999999998</v>
      </c>
      <c r="AU89" s="51">
        <v>40.273972999999998</v>
      </c>
      <c r="AV89" s="51">
        <v>40.273972999999998</v>
      </c>
      <c r="AW89" s="51">
        <v>40.273972999999998</v>
      </c>
      <c r="AX89" s="51">
        <v>40.273972999999998</v>
      </c>
      <c r="AY89" s="51">
        <v>40.273972999999998</v>
      </c>
      <c r="AZ89" s="51">
        <v>40.273972999999998</v>
      </c>
      <c r="BA89" s="51">
        <v>40.273972999999998</v>
      </c>
      <c r="BB89" s="51">
        <v>40.273972999999998</v>
      </c>
      <c r="BC89" s="51">
        <v>40.273972999999998</v>
      </c>
      <c r="BD89" s="51">
        <v>40.273972999999998</v>
      </c>
      <c r="BE89" s="51">
        <v>40.273972999999998</v>
      </c>
      <c r="BF89" s="51">
        <v>40.273972999999998</v>
      </c>
      <c r="BG89" s="51">
        <v>40.273972999999998</v>
      </c>
      <c r="BH89" s="51">
        <v>40.273972999999998</v>
      </c>
      <c r="BI89" s="51"/>
      <c r="BJ89" s="50">
        <f t="shared" si="7"/>
        <v>2376.1644069999998</v>
      </c>
      <c r="BK89" s="51"/>
      <c r="BL89" s="50"/>
      <c r="BM89" s="51"/>
      <c r="BN89" s="51"/>
      <c r="BO89" s="51"/>
      <c r="BP89" s="51"/>
      <c r="BQ89" s="51"/>
      <c r="BR89" s="51"/>
      <c r="BS89" s="51"/>
      <c r="BT89" s="51"/>
    </row>
    <row r="90" spans="1:72" ht="20.100000000000001" hidden="1" customHeight="1" outlineLevel="1" x14ac:dyDescent="0.25">
      <c r="A90" s="26" t="s">
        <v>80</v>
      </c>
      <c r="B90" s="51">
        <v>191.97637599999999</v>
      </c>
      <c r="C90" s="51">
        <v>191.97637599999999</v>
      </c>
      <c r="D90" s="51">
        <v>191.97637599999999</v>
      </c>
      <c r="E90" s="51">
        <v>191.97637599999999</v>
      </c>
      <c r="F90" s="51">
        <v>191.97637599999999</v>
      </c>
      <c r="G90" s="51">
        <v>191.97637599999999</v>
      </c>
      <c r="H90" s="51">
        <v>191.97637599999999</v>
      </c>
      <c r="I90" s="51">
        <v>191.97637599999999</v>
      </c>
      <c r="J90" s="51">
        <v>191.97637599999999</v>
      </c>
      <c r="K90" s="51">
        <v>191.97637599999999</v>
      </c>
      <c r="L90" s="51">
        <v>191.97637599999999</v>
      </c>
      <c r="M90" s="51">
        <v>191.97637599999999</v>
      </c>
      <c r="N90" s="51">
        <v>191.97637599999999</v>
      </c>
      <c r="O90" s="51">
        <v>191.97637599999999</v>
      </c>
      <c r="P90" s="51">
        <v>191.97637599999999</v>
      </c>
      <c r="Q90" s="51">
        <v>191.97637599999999</v>
      </c>
      <c r="R90" s="51">
        <v>191.97637599999999</v>
      </c>
      <c r="S90" s="51">
        <v>191.97637599999999</v>
      </c>
      <c r="T90" s="51">
        <v>191.97637599999999</v>
      </c>
      <c r="U90" s="51">
        <v>191.97637599999999</v>
      </c>
      <c r="V90" s="51">
        <v>191.97637599999999</v>
      </c>
      <c r="W90" s="51">
        <v>191.97637599999999</v>
      </c>
      <c r="X90" s="51">
        <v>191.97637599999999</v>
      </c>
      <c r="Y90" s="51">
        <v>191.97637599999999</v>
      </c>
      <c r="Z90" s="51">
        <v>191.97637599999999</v>
      </c>
      <c r="AA90" s="51">
        <v>191.97637599999999</v>
      </c>
      <c r="AB90" s="51">
        <v>191.97637599999999</v>
      </c>
      <c r="AC90" s="51">
        <v>191.97637599999999</v>
      </c>
      <c r="AD90" s="51">
        <v>191.97637599999999</v>
      </c>
      <c r="AE90" s="51">
        <v>191.97637599999999</v>
      </c>
      <c r="AF90" s="51">
        <v>191.97637599999999</v>
      </c>
      <c r="AG90" s="51">
        <v>191.97637599999999</v>
      </c>
      <c r="AH90" s="51">
        <v>191.97637599999999</v>
      </c>
      <c r="AI90" s="51">
        <v>191.97637599999999</v>
      </c>
      <c r="AJ90" s="51">
        <v>191.97637599999999</v>
      </c>
      <c r="AK90" s="51">
        <v>191.97637599999999</v>
      </c>
      <c r="AL90" s="51">
        <v>191.97637599999999</v>
      </c>
      <c r="AM90" s="51">
        <v>191.97637599999999</v>
      </c>
      <c r="AN90" s="51">
        <v>191.97637599999999</v>
      </c>
      <c r="AO90" s="51">
        <v>191.97637599999999</v>
      </c>
      <c r="AP90" s="51">
        <v>191.97637599999999</v>
      </c>
      <c r="AQ90" s="51">
        <v>191.97637599999999</v>
      </c>
      <c r="AR90" s="51">
        <v>191.97637599999999</v>
      </c>
      <c r="AS90" s="51">
        <v>191.97637599999999</v>
      </c>
      <c r="AT90" s="51">
        <v>191.97637599999999</v>
      </c>
      <c r="AU90" s="51">
        <v>191.97637599999999</v>
      </c>
      <c r="AV90" s="51">
        <v>191.97637599999999</v>
      </c>
      <c r="AW90" s="51">
        <v>191.97637599999999</v>
      </c>
      <c r="AX90" s="51">
        <v>191.97637599999999</v>
      </c>
      <c r="AY90" s="51">
        <v>191.97637599999999</v>
      </c>
      <c r="AZ90" s="51">
        <v>191.97637599999999</v>
      </c>
      <c r="BA90" s="51">
        <v>191.97637599999999</v>
      </c>
      <c r="BB90" s="51">
        <v>191.97637599999999</v>
      </c>
      <c r="BC90" s="51">
        <v>191.97637599999999</v>
      </c>
      <c r="BD90" s="51">
        <v>191.97637599999999</v>
      </c>
      <c r="BE90" s="51">
        <v>191.97637599999999</v>
      </c>
      <c r="BF90" s="51">
        <v>191.97637599999999</v>
      </c>
      <c r="BG90" s="51">
        <v>191.97637599999999</v>
      </c>
      <c r="BH90" s="51">
        <v>191.97637599999999</v>
      </c>
      <c r="BI90" s="51"/>
      <c r="BJ90" s="50">
        <f t="shared" si="7"/>
        <v>11326.606184000002</v>
      </c>
      <c r="BK90" s="51"/>
      <c r="BL90" s="50"/>
      <c r="BM90" s="51"/>
      <c r="BN90" s="51"/>
      <c r="BO90" s="51"/>
      <c r="BP90" s="51"/>
      <c r="BQ90" s="51"/>
      <c r="BR90" s="51"/>
      <c r="BS90" s="51"/>
      <c r="BT90" s="51"/>
    </row>
    <row r="91" spans="1:72" ht="20.100000000000001" hidden="1" customHeight="1" outlineLevel="1" x14ac:dyDescent="0.25">
      <c r="A91" s="26" t="s">
        <v>81</v>
      </c>
      <c r="B91" s="51">
        <v>52.076377999999998</v>
      </c>
      <c r="C91" s="51">
        <v>52.076377999999998</v>
      </c>
      <c r="D91" s="51">
        <v>52.076377999999998</v>
      </c>
      <c r="E91" s="51">
        <v>52.076377999999998</v>
      </c>
      <c r="F91" s="51">
        <v>52.076377999999998</v>
      </c>
      <c r="G91" s="51">
        <v>52.076377999999998</v>
      </c>
      <c r="H91" s="51">
        <v>52.076377999999998</v>
      </c>
      <c r="I91" s="51">
        <v>52.076377999999998</v>
      </c>
      <c r="J91" s="51">
        <v>52.076377999999998</v>
      </c>
      <c r="K91" s="51">
        <v>52.076377999999998</v>
      </c>
      <c r="L91" s="51">
        <v>52.076377999999998</v>
      </c>
      <c r="M91" s="51">
        <v>52.076377999999998</v>
      </c>
      <c r="N91" s="51">
        <v>52.076377999999998</v>
      </c>
      <c r="O91" s="51">
        <v>52.076377999999998</v>
      </c>
      <c r="P91" s="51">
        <v>52.076377999999998</v>
      </c>
      <c r="Q91" s="51">
        <v>52.076377999999998</v>
      </c>
      <c r="R91" s="51">
        <v>52.076377999999998</v>
      </c>
      <c r="S91" s="51">
        <v>52.076377999999998</v>
      </c>
      <c r="T91" s="51">
        <v>52.076377999999998</v>
      </c>
      <c r="U91" s="51">
        <v>52.076377999999998</v>
      </c>
      <c r="V91" s="51">
        <v>52.076377999999998</v>
      </c>
      <c r="W91" s="51">
        <v>52.076377999999998</v>
      </c>
      <c r="X91" s="51">
        <v>52.076377999999998</v>
      </c>
      <c r="Y91" s="51">
        <v>52.076377999999998</v>
      </c>
      <c r="Z91" s="51">
        <v>52.076377999999998</v>
      </c>
      <c r="AA91" s="51">
        <v>52.076377999999998</v>
      </c>
      <c r="AB91" s="51">
        <v>52.076377999999998</v>
      </c>
      <c r="AC91" s="51">
        <v>52.076377999999998</v>
      </c>
      <c r="AD91" s="51">
        <v>52.076377999999998</v>
      </c>
      <c r="AE91" s="51">
        <v>52.076377999999998</v>
      </c>
      <c r="AF91" s="51">
        <v>52.076377999999998</v>
      </c>
      <c r="AG91" s="51">
        <v>52.076377999999998</v>
      </c>
      <c r="AH91" s="51">
        <v>52.076377999999998</v>
      </c>
      <c r="AI91" s="51">
        <v>52.076377999999998</v>
      </c>
      <c r="AJ91" s="51">
        <v>52.076377999999998</v>
      </c>
      <c r="AK91" s="51">
        <v>52.076377999999998</v>
      </c>
      <c r="AL91" s="51">
        <v>52.076377999999998</v>
      </c>
      <c r="AM91" s="51">
        <v>52.076377999999998</v>
      </c>
      <c r="AN91" s="51">
        <v>52.076377999999998</v>
      </c>
      <c r="AO91" s="51">
        <v>52.076377999999998</v>
      </c>
      <c r="AP91" s="51">
        <v>52.076377999999998</v>
      </c>
      <c r="AQ91" s="51">
        <v>52.076377999999998</v>
      </c>
      <c r="AR91" s="51">
        <v>52.076377999999998</v>
      </c>
      <c r="AS91" s="51">
        <v>52.076377999999998</v>
      </c>
      <c r="AT91" s="51">
        <v>52.076377999999998</v>
      </c>
      <c r="AU91" s="51">
        <v>52.076377999999998</v>
      </c>
      <c r="AV91" s="51">
        <v>52.076377999999998</v>
      </c>
      <c r="AW91" s="51">
        <v>52.076377999999998</v>
      </c>
      <c r="AX91" s="51">
        <v>52.076377999999998</v>
      </c>
      <c r="AY91" s="51">
        <v>52.076377999999998</v>
      </c>
      <c r="AZ91" s="51">
        <v>52.076377999999998</v>
      </c>
      <c r="BA91" s="51">
        <v>52.076377999999998</v>
      </c>
      <c r="BB91" s="51">
        <v>52.076377999999998</v>
      </c>
      <c r="BC91" s="51">
        <v>52.076377999999998</v>
      </c>
      <c r="BD91" s="51">
        <v>52.076377999999998</v>
      </c>
      <c r="BE91" s="51">
        <v>52.076377999999998</v>
      </c>
      <c r="BF91" s="51">
        <v>52.076377999999998</v>
      </c>
      <c r="BG91" s="51">
        <v>52.076377999999998</v>
      </c>
      <c r="BH91" s="51">
        <v>52.076377999999998</v>
      </c>
      <c r="BI91" s="51"/>
      <c r="BJ91" s="50">
        <f t="shared" si="7"/>
        <v>3072.5063020000034</v>
      </c>
      <c r="BK91" s="51"/>
      <c r="BL91" s="50"/>
      <c r="BM91" s="51"/>
      <c r="BN91" s="51"/>
      <c r="BO91" s="51"/>
      <c r="BP91" s="51"/>
      <c r="BQ91" s="51"/>
      <c r="BR91" s="51"/>
      <c r="BS91" s="51"/>
      <c r="BT91" s="51"/>
    </row>
    <row r="92" spans="1:72" ht="20.100000000000001" hidden="1" customHeight="1" outlineLevel="1" x14ac:dyDescent="0.25">
      <c r="A92" s="26" t="s">
        <v>82</v>
      </c>
      <c r="B92" s="51">
        <v>49.479452000000002</v>
      </c>
      <c r="C92" s="51">
        <v>49.479452000000002</v>
      </c>
      <c r="D92" s="51">
        <v>49.479452000000002</v>
      </c>
      <c r="E92" s="51">
        <v>49.479452000000002</v>
      </c>
      <c r="F92" s="51">
        <v>49.479452000000002</v>
      </c>
      <c r="G92" s="51">
        <v>49.479452000000002</v>
      </c>
      <c r="H92" s="51">
        <v>49.479452000000002</v>
      </c>
      <c r="I92" s="51">
        <v>49.479452000000002</v>
      </c>
      <c r="J92" s="51">
        <v>49.479452000000002</v>
      </c>
      <c r="K92" s="51">
        <v>49.479452000000002</v>
      </c>
      <c r="L92" s="51">
        <v>49.479452000000002</v>
      </c>
      <c r="M92" s="51">
        <v>49.479452000000002</v>
      </c>
      <c r="N92" s="51">
        <v>49.479452000000002</v>
      </c>
      <c r="O92" s="51">
        <v>49.479452000000002</v>
      </c>
      <c r="P92" s="51">
        <v>49.479452000000002</v>
      </c>
      <c r="Q92" s="51">
        <v>49.479452000000002</v>
      </c>
      <c r="R92" s="51">
        <v>49.479452000000002</v>
      </c>
      <c r="S92" s="51">
        <v>49.479452000000002</v>
      </c>
      <c r="T92" s="51">
        <v>49.479452000000002</v>
      </c>
      <c r="U92" s="51">
        <v>49.479452000000002</v>
      </c>
      <c r="V92" s="51">
        <v>49.479452000000002</v>
      </c>
      <c r="W92" s="51">
        <v>49.479452000000002</v>
      </c>
      <c r="X92" s="51">
        <v>49.479452000000002</v>
      </c>
      <c r="Y92" s="51">
        <v>49.479452000000002</v>
      </c>
      <c r="Z92" s="51">
        <v>49.479452000000002</v>
      </c>
      <c r="AA92" s="51">
        <v>49.479452000000002</v>
      </c>
      <c r="AB92" s="51">
        <v>49.479452000000002</v>
      </c>
      <c r="AC92" s="51">
        <v>49.479452000000002</v>
      </c>
      <c r="AD92" s="51">
        <v>49.479452000000002</v>
      </c>
      <c r="AE92" s="51">
        <v>49.479452000000002</v>
      </c>
      <c r="AF92" s="51">
        <v>49.479452000000002</v>
      </c>
      <c r="AG92" s="51">
        <v>49.479452000000002</v>
      </c>
      <c r="AH92" s="51">
        <v>49.479452000000002</v>
      </c>
      <c r="AI92" s="51">
        <v>49.479452000000002</v>
      </c>
      <c r="AJ92" s="51">
        <v>49.479452000000002</v>
      </c>
      <c r="AK92" s="51">
        <v>49.479452000000002</v>
      </c>
      <c r="AL92" s="51">
        <v>49.479452000000002</v>
      </c>
      <c r="AM92" s="51">
        <v>49.479452000000002</v>
      </c>
      <c r="AN92" s="51">
        <v>49.479452000000002</v>
      </c>
      <c r="AO92" s="51">
        <v>49.479452000000002</v>
      </c>
      <c r="AP92" s="51">
        <v>49.479452000000002</v>
      </c>
      <c r="AQ92" s="51">
        <v>49.479452000000002</v>
      </c>
      <c r="AR92" s="51">
        <v>49.479452000000002</v>
      </c>
      <c r="AS92" s="51">
        <v>49.479452000000002</v>
      </c>
      <c r="AT92" s="51">
        <v>49.479452000000002</v>
      </c>
      <c r="AU92" s="51">
        <v>49.479452000000002</v>
      </c>
      <c r="AV92" s="51">
        <v>49.479452000000002</v>
      </c>
      <c r="AW92" s="51">
        <v>49.479452000000002</v>
      </c>
      <c r="AX92" s="51">
        <v>49.479452000000002</v>
      </c>
      <c r="AY92" s="51">
        <v>49.479452000000002</v>
      </c>
      <c r="AZ92" s="51">
        <v>49.479452000000002</v>
      </c>
      <c r="BA92" s="51">
        <v>49.479452000000002</v>
      </c>
      <c r="BB92" s="51">
        <v>49.479452000000002</v>
      </c>
      <c r="BC92" s="51">
        <v>49.479452000000002</v>
      </c>
      <c r="BD92" s="51">
        <v>49.479452000000002</v>
      </c>
      <c r="BE92" s="51">
        <v>49.479452000000002</v>
      </c>
      <c r="BF92" s="51">
        <v>49.479452000000002</v>
      </c>
      <c r="BG92" s="51">
        <v>49.479452000000002</v>
      </c>
      <c r="BH92" s="51">
        <v>49.479452000000002</v>
      </c>
      <c r="BI92" s="51"/>
      <c r="BJ92" s="50">
        <f t="shared" si="7"/>
        <v>2919.2876680000018</v>
      </c>
      <c r="BK92" s="51"/>
      <c r="BL92" s="50"/>
      <c r="BM92" s="51"/>
      <c r="BN92" s="51"/>
      <c r="BO92" s="51"/>
      <c r="BP92" s="51"/>
      <c r="BQ92" s="51"/>
      <c r="BR92" s="51"/>
      <c r="BS92" s="51"/>
      <c r="BT92" s="51"/>
    </row>
    <row r="93" spans="1:72" ht="20.100000000000001" hidden="1" customHeight="1" outlineLevel="1" x14ac:dyDescent="0.25">
      <c r="A93" s="26" t="s">
        <v>83</v>
      </c>
      <c r="B93" s="51">
        <v>31.643836</v>
      </c>
      <c r="C93" s="51">
        <v>31.643836</v>
      </c>
      <c r="D93" s="51">
        <v>31.643836</v>
      </c>
      <c r="E93" s="51">
        <v>31.643836</v>
      </c>
      <c r="F93" s="51">
        <v>31.643836</v>
      </c>
      <c r="G93" s="51">
        <v>31.643836</v>
      </c>
      <c r="H93" s="51">
        <v>31.643836</v>
      </c>
      <c r="I93" s="51">
        <v>31.643836</v>
      </c>
      <c r="J93" s="51">
        <v>31.643836</v>
      </c>
      <c r="K93" s="51">
        <v>31.643836</v>
      </c>
      <c r="L93" s="51">
        <v>31.643836</v>
      </c>
      <c r="M93" s="51">
        <v>31.643836</v>
      </c>
      <c r="N93" s="51">
        <v>31.643836</v>
      </c>
      <c r="O93" s="51">
        <v>31.643836</v>
      </c>
      <c r="P93" s="51">
        <v>31.643836</v>
      </c>
      <c r="Q93" s="51">
        <v>31.643836</v>
      </c>
      <c r="R93" s="51">
        <v>31.643836</v>
      </c>
      <c r="S93" s="51">
        <v>31.643836</v>
      </c>
      <c r="T93" s="51">
        <v>31.643836</v>
      </c>
      <c r="U93" s="51">
        <v>31.643836</v>
      </c>
      <c r="V93" s="51">
        <v>31.643836</v>
      </c>
      <c r="W93" s="51">
        <v>31.643836</v>
      </c>
      <c r="X93" s="51">
        <v>31.643836</v>
      </c>
      <c r="Y93" s="51">
        <v>31.643836</v>
      </c>
      <c r="Z93" s="51">
        <v>31.643836</v>
      </c>
      <c r="AA93" s="51">
        <v>31.643836</v>
      </c>
      <c r="AB93" s="51">
        <v>31.643836</v>
      </c>
      <c r="AC93" s="51">
        <v>31.643836</v>
      </c>
      <c r="AD93" s="51">
        <v>31.643836</v>
      </c>
      <c r="AE93" s="51">
        <v>31.643836</v>
      </c>
      <c r="AF93" s="51">
        <v>31.643836</v>
      </c>
      <c r="AG93" s="51">
        <v>31.643836</v>
      </c>
      <c r="AH93" s="51">
        <v>31.643836</v>
      </c>
      <c r="AI93" s="51">
        <v>31.643836</v>
      </c>
      <c r="AJ93" s="51">
        <v>31.643836</v>
      </c>
      <c r="AK93" s="51">
        <v>31.643836</v>
      </c>
      <c r="AL93" s="51">
        <v>31.643836</v>
      </c>
      <c r="AM93" s="51">
        <v>31.643836</v>
      </c>
      <c r="AN93" s="51">
        <v>31.643836</v>
      </c>
      <c r="AO93" s="51">
        <v>31.643836</v>
      </c>
      <c r="AP93" s="51">
        <v>31.643836</v>
      </c>
      <c r="AQ93" s="51">
        <v>31.643836</v>
      </c>
      <c r="AR93" s="51">
        <v>31.643836</v>
      </c>
      <c r="AS93" s="51">
        <v>31.643836</v>
      </c>
      <c r="AT93" s="51">
        <v>31.643836</v>
      </c>
      <c r="AU93" s="51">
        <v>31.643836</v>
      </c>
      <c r="AV93" s="51">
        <v>31.643836</v>
      </c>
      <c r="AW93" s="51">
        <v>31.643836</v>
      </c>
      <c r="AX93" s="51">
        <v>31.643836</v>
      </c>
      <c r="AY93" s="51">
        <v>31.643836</v>
      </c>
      <c r="AZ93" s="51">
        <v>31.643836</v>
      </c>
      <c r="BA93" s="51">
        <v>31.643836</v>
      </c>
      <c r="BB93" s="51">
        <v>31.643836</v>
      </c>
      <c r="BC93" s="51">
        <v>31.643836</v>
      </c>
      <c r="BD93" s="51">
        <v>31.643836</v>
      </c>
      <c r="BE93" s="51">
        <v>31.643836</v>
      </c>
      <c r="BF93" s="51">
        <v>31.643836</v>
      </c>
      <c r="BG93" s="51">
        <v>31.643836</v>
      </c>
      <c r="BH93" s="51">
        <v>31.643836</v>
      </c>
      <c r="BI93" s="51"/>
      <c r="BJ93" s="50">
        <f t="shared" si="7"/>
        <v>1866.9863239999986</v>
      </c>
      <c r="BK93" s="51"/>
      <c r="BL93" s="50"/>
      <c r="BM93" s="51"/>
      <c r="BN93" s="51"/>
      <c r="BO93" s="51"/>
      <c r="BP93" s="51"/>
      <c r="BQ93" s="51"/>
      <c r="BR93" s="51"/>
      <c r="BS93" s="51"/>
      <c r="BT93" s="51"/>
    </row>
    <row r="94" spans="1:72" ht="20.100000000000001" hidden="1" customHeight="1" outlineLevel="1" x14ac:dyDescent="0.25">
      <c r="A94" s="26" t="s">
        <v>84</v>
      </c>
      <c r="B94" s="51">
        <v>66.164383999999998</v>
      </c>
      <c r="C94" s="51">
        <v>66.164383999999998</v>
      </c>
      <c r="D94" s="51">
        <v>66.164383999999998</v>
      </c>
      <c r="E94" s="51">
        <v>66.164383999999998</v>
      </c>
      <c r="F94" s="51">
        <v>66.164383999999998</v>
      </c>
      <c r="G94" s="51">
        <v>66.164383999999998</v>
      </c>
      <c r="H94" s="51">
        <v>66.164383999999998</v>
      </c>
      <c r="I94" s="51">
        <v>66.164383999999998</v>
      </c>
      <c r="J94" s="51">
        <v>66.164383999999998</v>
      </c>
      <c r="K94" s="51">
        <v>66.164383999999998</v>
      </c>
      <c r="L94" s="51">
        <v>66.164383999999998</v>
      </c>
      <c r="M94" s="51">
        <v>66.164383999999998</v>
      </c>
      <c r="N94" s="51">
        <v>66.164383999999998</v>
      </c>
      <c r="O94" s="51">
        <v>66.164383999999998</v>
      </c>
      <c r="P94" s="51">
        <v>66.164383999999998</v>
      </c>
      <c r="Q94" s="51">
        <v>66.164383999999998</v>
      </c>
      <c r="R94" s="51">
        <v>66.164383999999998</v>
      </c>
      <c r="S94" s="51">
        <v>66.164383999999998</v>
      </c>
      <c r="T94" s="51">
        <v>66.164383999999998</v>
      </c>
      <c r="U94" s="51">
        <v>66.164383999999998</v>
      </c>
      <c r="V94" s="51">
        <v>66.164383999999998</v>
      </c>
      <c r="W94" s="51">
        <v>66.164383999999998</v>
      </c>
      <c r="X94" s="51">
        <v>66.164383999999998</v>
      </c>
      <c r="Y94" s="51">
        <v>66.164383999999998</v>
      </c>
      <c r="Z94" s="51">
        <v>66.164383999999998</v>
      </c>
      <c r="AA94" s="51">
        <v>66.164383999999998</v>
      </c>
      <c r="AB94" s="51">
        <v>66.164383999999998</v>
      </c>
      <c r="AC94" s="51">
        <v>66.164383999999998</v>
      </c>
      <c r="AD94" s="51">
        <v>66.164383999999998</v>
      </c>
      <c r="AE94" s="51">
        <v>66.164383999999998</v>
      </c>
      <c r="AF94" s="51">
        <v>66.164383999999998</v>
      </c>
      <c r="AG94" s="51">
        <v>66.164383999999998</v>
      </c>
      <c r="AH94" s="51">
        <v>66.164383999999998</v>
      </c>
      <c r="AI94" s="51">
        <v>66.164383999999998</v>
      </c>
      <c r="AJ94" s="51">
        <v>66.164383999999998</v>
      </c>
      <c r="AK94" s="51">
        <v>66.164383999999998</v>
      </c>
      <c r="AL94" s="51">
        <v>66.164383999999998</v>
      </c>
      <c r="AM94" s="51">
        <v>66.164383999999998</v>
      </c>
      <c r="AN94" s="51">
        <v>66.164383999999998</v>
      </c>
      <c r="AO94" s="51">
        <v>66.164383999999998</v>
      </c>
      <c r="AP94" s="51">
        <v>66.164383999999998</v>
      </c>
      <c r="AQ94" s="51">
        <v>66.164383999999998</v>
      </c>
      <c r="AR94" s="51">
        <v>66.164383999999998</v>
      </c>
      <c r="AS94" s="51">
        <v>66.164383999999998</v>
      </c>
      <c r="AT94" s="51">
        <v>66.164383999999998</v>
      </c>
      <c r="AU94" s="51">
        <v>66.164383999999998</v>
      </c>
      <c r="AV94" s="51">
        <v>66.164383999999998</v>
      </c>
      <c r="AW94" s="51">
        <v>66.164383999999998</v>
      </c>
      <c r="AX94" s="51">
        <v>66.164383999999998</v>
      </c>
      <c r="AY94" s="51">
        <v>66.164383999999998</v>
      </c>
      <c r="AZ94" s="51">
        <v>66.164383999999998</v>
      </c>
      <c r="BA94" s="51">
        <v>66.164383999999998</v>
      </c>
      <c r="BB94" s="51">
        <v>66.164383999999998</v>
      </c>
      <c r="BC94" s="51">
        <v>66.164383999999998</v>
      </c>
      <c r="BD94" s="51">
        <v>66.164383999999998</v>
      </c>
      <c r="BE94" s="51">
        <v>66.164383999999998</v>
      </c>
      <c r="BF94" s="51">
        <v>66.164383999999998</v>
      </c>
      <c r="BG94" s="51">
        <v>66.164383999999998</v>
      </c>
      <c r="BH94" s="51">
        <v>66.164383999999998</v>
      </c>
      <c r="BI94" s="51"/>
      <c r="BJ94" s="50">
        <f t="shared" si="7"/>
        <v>3903.6986560000037</v>
      </c>
      <c r="BK94" s="51"/>
      <c r="BL94" s="50"/>
      <c r="BM94" s="51"/>
      <c r="BN94" s="51"/>
      <c r="BO94" s="51"/>
      <c r="BP94" s="51"/>
      <c r="BQ94" s="51"/>
      <c r="BR94" s="51"/>
      <c r="BS94" s="51"/>
      <c r="BT94" s="51"/>
    </row>
    <row r="95" spans="1:72" ht="20.100000000000001" hidden="1" customHeight="1" outlineLevel="1" x14ac:dyDescent="0.25">
      <c r="A95" s="26" t="s">
        <v>85</v>
      </c>
      <c r="B95" s="51">
        <v>14.383562</v>
      </c>
      <c r="C95" s="51">
        <v>14.383562</v>
      </c>
      <c r="D95" s="51">
        <v>14.383562</v>
      </c>
      <c r="E95" s="51">
        <v>14.383562</v>
      </c>
      <c r="F95" s="51">
        <v>14.383562</v>
      </c>
      <c r="G95" s="51">
        <v>14.383562</v>
      </c>
      <c r="H95" s="51">
        <v>14.383562</v>
      </c>
      <c r="I95" s="51">
        <v>14.383562</v>
      </c>
      <c r="J95" s="51">
        <v>14.383562</v>
      </c>
      <c r="K95" s="51">
        <v>14.383562</v>
      </c>
      <c r="L95" s="51">
        <v>14.383562</v>
      </c>
      <c r="M95" s="51">
        <v>14.383562</v>
      </c>
      <c r="N95" s="51">
        <v>14.383562</v>
      </c>
      <c r="O95" s="51">
        <v>14.383562</v>
      </c>
      <c r="P95" s="51">
        <v>14.383562</v>
      </c>
      <c r="Q95" s="51">
        <v>14.383562</v>
      </c>
      <c r="R95" s="51">
        <v>14.383562</v>
      </c>
      <c r="S95" s="51">
        <v>14.383562</v>
      </c>
      <c r="T95" s="51">
        <v>14.383562</v>
      </c>
      <c r="U95" s="51">
        <v>14.383562</v>
      </c>
      <c r="V95" s="51">
        <v>14.383562</v>
      </c>
      <c r="W95" s="51">
        <v>14.383562</v>
      </c>
      <c r="X95" s="51">
        <v>14.383562</v>
      </c>
      <c r="Y95" s="51">
        <v>14.383562</v>
      </c>
      <c r="Z95" s="51">
        <v>14.383562</v>
      </c>
      <c r="AA95" s="51">
        <v>14.383562</v>
      </c>
      <c r="AB95" s="51">
        <v>14.383562</v>
      </c>
      <c r="AC95" s="51">
        <v>14.383562</v>
      </c>
      <c r="AD95" s="51">
        <v>14.383562</v>
      </c>
      <c r="AE95" s="51">
        <v>14.383562</v>
      </c>
      <c r="AF95" s="51">
        <v>14.383562</v>
      </c>
      <c r="AG95" s="51">
        <v>14.383562</v>
      </c>
      <c r="AH95" s="51">
        <v>14.383562</v>
      </c>
      <c r="AI95" s="51">
        <v>14.383562</v>
      </c>
      <c r="AJ95" s="51">
        <v>14.383562</v>
      </c>
      <c r="AK95" s="51">
        <v>14.383562</v>
      </c>
      <c r="AL95" s="51">
        <v>14.383562</v>
      </c>
      <c r="AM95" s="51">
        <v>14.383562</v>
      </c>
      <c r="AN95" s="51">
        <v>14.383562</v>
      </c>
      <c r="AO95" s="51">
        <v>14.383562</v>
      </c>
      <c r="AP95" s="51">
        <v>14.383562</v>
      </c>
      <c r="AQ95" s="51">
        <v>14.383562</v>
      </c>
      <c r="AR95" s="51">
        <v>14.383562</v>
      </c>
      <c r="AS95" s="51">
        <v>14.383562</v>
      </c>
      <c r="AT95" s="51">
        <v>14.383562</v>
      </c>
      <c r="AU95" s="51">
        <v>14.383562</v>
      </c>
      <c r="AV95" s="51">
        <v>14.383562</v>
      </c>
      <c r="AW95" s="51">
        <v>14.383562</v>
      </c>
      <c r="AX95" s="51">
        <v>14.383562</v>
      </c>
      <c r="AY95" s="51">
        <v>14.383562</v>
      </c>
      <c r="AZ95" s="51">
        <v>14.383562</v>
      </c>
      <c r="BA95" s="51">
        <v>14.383562</v>
      </c>
      <c r="BB95" s="51">
        <v>14.383562</v>
      </c>
      <c r="BC95" s="51">
        <v>14.383562</v>
      </c>
      <c r="BD95" s="51">
        <v>14.383562</v>
      </c>
      <c r="BE95" s="51">
        <v>14.383562</v>
      </c>
      <c r="BF95" s="51">
        <v>14.383562</v>
      </c>
      <c r="BG95" s="51">
        <v>14.383562</v>
      </c>
      <c r="BH95" s="51">
        <v>14.383562</v>
      </c>
      <c r="BI95" s="51"/>
      <c r="BJ95" s="50">
        <f t="shared" si="7"/>
        <v>848.63015799999948</v>
      </c>
      <c r="BK95" s="51"/>
      <c r="BL95" s="50"/>
      <c r="BM95" s="51"/>
      <c r="BN95" s="51"/>
      <c r="BO95" s="51"/>
      <c r="BP95" s="51"/>
      <c r="BQ95" s="51"/>
      <c r="BR95" s="51"/>
      <c r="BS95" s="51"/>
      <c r="BT95" s="51"/>
    </row>
    <row r="96" spans="1:72" ht="20.100000000000001" hidden="1" customHeight="1" outlineLevel="1" x14ac:dyDescent="0.25">
      <c r="A96" s="26" t="s">
        <v>278</v>
      </c>
      <c r="B96" s="51">
        <v>7.1917809999999998</v>
      </c>
      <c r="C96" s="51">
        <v>7.1917809999999998</v>
      </c>
      <c r="D96" s="51">
        <v>7.1917809999999998</v>
      </c>
      <c r="E96" s="51">
        <v>7.1917809999999998</v>
      </c>
      <c r="F96" s="51">
        <v>7.1917809999999998</v>
      </c>
      <c r="G96" s="51">
        <v>7.1917809999999998</v>
      </c>
      <c r="H96" s="51">
        <v>7.1917809999999998</v>
      </c>
      <c r="I96" s="51">
        <v>7.1917809999999998</v>
      </c>
      <c r="J96" s="51">
        <v>7.1917809999999998</v>
      </c>
      <c r="K96" s="51">
        <v>7.1917809999999998</v>
      </c>
      <c r="L96" s="51">
        <v>7.1917809999999998</v>
      </c>
      <c r="M96" s="51">
        <v>7.1917809999999998</v>
      </c>
      <c r="N96" s="51">
        <v>7.1917809999999998</v>
      </c>
      <c r="O96" s="51">
        <v>7.1917809999999998</v>
      </c>
      <c r="P96" s="51">
        <v>7.1917809999999998</v>
      </c>
      <c r="Q96" s="51">
        <v>7.1917809999999998</v>
      </c>
      <c r="R96" s="51">
        <v>7.1917809999999998</v>
      </c>
      <c r="S96" s="51">
        <v>7.1917809999999998</v>
      </c>
      <c r="T96" s="51">
        <v>7.1917809999999998</v>
      </c>
      <c r="U96" s="51">
        <v>7.1917809999999998</v>
      </c>
      <c r="V96" s="51">
        <v>7.1917809999999998</v>
      </c>
      <c r="W96" s="51">
        <v>7.1917809999999998</v>
      </c>
      <c r="X96" s="51">
        <v>7.1917809999999998</v>
      </c>
      <c r="Y96" s="51">
        <v>7.1917809999999998</v>
      </c>
      <c r="Z96" s="51">
        <v>7.1917809999999998</v>
      </c>
      <c r="AA96" s="51">
        <v>7.1917809999999998</v>
      </c>
      <c r="AB96" s="51">
        <v>7.1917809999999998</v>
      </c>
      <c r="AC96" s="51">
        <v>7.1917809999999998</v>
      </c>
      <c r="AD96" s="51">
        <v>7.1917809999999998</v>
      </c>
      <c r="AE96" s="51">
        <v>7.1917809999999998</v>
      </c>
      <c r="AF96" s="51">
        <v>7.1917809999999998</v>
      </c>
      <c r="AG96" s="51">
        <v>7.1917809999999998</v>
      </c>
      <c r="AH96" s="51">
        <v>7.1917809999999998</v>
      </c>
      <c r="AI96" s="51">
        <v>7.1917809999999998</v>
      </c>
      <c r="AJ96" s="51">
        <v>7.1917809999999998</v>
      </c>
      <c r="AK96" s="51">
        <v>7.1917809999999998</v>
      </c>
      <c r="AL96" s="51">
        <v>7.1917809999999998</v>
      </c>
      <c r="AM96" s="51">
        <v>7.1917809999999998</v>
      </c>
      <c r="AN96" s="51">
        <v>7.1917809999999998</v>
      </c>
      <c r="AO96" s="51">
        <v>7.1917809999999998</v>
      </c>
      <c r="AP96" s="51">
        <v>7.1917809999999998</v>
      </c>
      <c r="AQ96" s="51">
        <v>7.1917809999999998</v>
      </c>
      <c r="AR96" s="51">
        <v>7.1917809999999998</v>
      </c>
      <c r="AS96" s="51">
        <v>7.1917809999999998</v>
      </c>
      <c r="AT96" s="51">
        <v>7.1917809999999998</v>
      </c>
      <c r="AU96" s="51">
        <v>7.1917809999999998</v>
      </c>
      <c r="AV96" s="51">
        <v>7.1917809999999998</v>
      </c>
      <c r="AW96" s="51">
        <v>7.1917809999999998</v>
      </c>
      <c r="AX96" s="51">
        <v>7.1917809999999998</v>
      </c>
      <c r="AY96" s="51">
        <v>7.1917809999999998</v>
      </c>
      <c r="AZ96" s="51">
        <v>7.1917809999999998</v>
      </c>
      <c r="BA96" s="51">
        <v>7.1917809999999998</v>
      </c>
      <c r="BB96" s="51">
        <v>7.1917809999999998</v>
      </c>
      <c r="BC96" s="51">
        <v>7.1917809999999998</v>
      </c>
      <c r="BD96" s="51">
        <v>7.1917809999999998</v>
      </c>
      <c r="BE96" s="51">
        <v>7.1917809999999998</v>
      </c>
      <c r="BF96" s="51">
        <v>7.1917809999999998</v>
      </c>
      <c r="BG96" s="51">
        <v>7.1917809999999998</v>
      </c>
      <c r="BH96" s="51">
        <v>7.1917809999999998</v>
      </c>
      <c r="BI96" s="51"/>
      <c r="BJ96" s="50">
        <f t="shared" si="7"/>
        <v>424.31507899999974</v>
      </c>
      <c r="BK96" s="51"/>
      <c r="BL96" s="50"/>
      <c r="BM96" s="51"/>
      <c r="BN96" s="51"/>
      <c r="BO96" s="51"/>
      <c r="BP96" s="51"/>
      <c r="BQ96" s="51"/>
      <c r="BR96" s="51"/>
      <c r="BS96" s="51"/>
      <c r="BT96" s="51"/>
    </row>
    <row r="97" spans="1:72" ht="20.100000000000001" hidden="1" customHeight="1" outlineLevel="1" x14ac:dyDescent="0.25">
      <c r="A97" s="26" t="s">
        <v>86</v>
      </c>
      <c r="B97" s="51">
        <v>57.534247000000001</v>
      </c>
      <c r="C97" s="51">
        <v>57.534247000000001</v>
      </c>
      <c r="D97" s="51">
        <v>57.534247000000001</v>
      </c>
      <c r="E97" s="51">
        <v>57.534247000000001</v>
      </c>
      <c r="F97" s="51">
        <v>57.534247000000001</v>
      </c>
      <c r="G97" s="51">
        <v>57.534247000000001</v>
      </c>
      <c r="H97" s="51">
        <v>57.534247000000001</v>
      </c>
      <c r="I97" s="51">
        <v>57.534247000000001</v>
      </c>
      <c r="J97" s="51">
        <v>57.534247000000001</v>
      </c>
      <c r="K97" s="51">
        <v>57.534247000000001</v>
      </c>
      <c r="L97" s="51">
        <v>57.534247000000001</v>
      </c>
      <c r="M97" s="51">
        <v>57.534247000000001</v>
      </c>
      <c r="N97" s="51">
        <v>57.534247000000001</v>
      </c>
      <c r="O97" s="51">
        <v>57.534247000000001</v>
      </c>
      <c r="P97" s="51">
        <v>57.534247000000001</v>
      </c>
      <c r="Q97" s="51">
        <v>57.534247000000001</v>
      </c>
      <c r="R97" s="51">
        <v>57.534247000000001</v>
      </c>
      <c r="S97" s="51">
        <v>57.534247000000001</v>
      </c>
      <c r="T97" s="51">
        <v>57.534247000000001</v>
      </c>
      <c r="U97" s="51">
        <v>57.534247000000001</v>
      </c>
      <c r="V97" s="51">
        <v>57.534247000000001</v>
      </c>
      <c r="W97" s="51">
        <v>57.534247000000001</v>
      </c>
      <c r="X97" s="51">
        <v>57.534247000000001</v>
      </c>
      <c r="Y97" s="51">
        <v>57.534247000000001</v>
      </c>
      <c r="Z97" s="51">
        <v>57.534247000000001</v>
      </c>
      <c r="AA97" s="51">
        <v>57.534247000000001</v>
      </c>
      <c r="AB97" s="51">
        <v>57.534247000000001</v>
      </c>
      <c r="AC97" s="51">
        <v>57.534247000000001</v>
      </c>
      <c r="AD97" s="51">
        <v>57.534247000000001</v>
      </c>
      <c r="AE97" s="51">
        <v>57.534247000000001</v>
      </c>
      <c r="AF97" s="51">
        <v>57.534247000000001</v>
      </c>
      <c r="AG97" s="51">
        <v>57.534247000000001</v>
      </c>
      <c r="AH97" s="51">
        <v>57.534247000000001</v>
      </c>
      <c r="AI97" s="51">
        <v>57.534247000000001</v>
      </c>
      <c r="AJ97" s="51">
        <v>57.534247000000001</v>
      </c>
      <c r="AK97" s="51">
        <v>57.534247000000001</v>
      </c>
      <c r="AL97" s="51">
        <v>57.534247000000001</v>
      </c>
      <c r="AM97" s="51">
        <v>57.534247000000001</v>
      </c>
      <c r="AN97" s="51">
        <v>57.534247000000001</v>
      </c>
      <c r="AO97" s="51">
        <v>57.534247000000001</v>
      </c>
      <c r="AP97" s="51">
        <v>57.534247000000001</v>
      </c>
      <c r="AQ97" s="51">
        <v>57.534247000000001</v>
      </c>
      <c r="AR97" s="51">
        <v>57.534247000000001</v>
      </c>
      <c r="AS97" s="51">
        <v>57.534247000000001</v>
      </c>
      <c r="AT97" s="51">
        <v>57.534247000000001</v>
      </c>
      <c r="AU97" s="51">
        <v>57.534247000000001</v>
      </c>
      <c r="AV97" s="51">
        <v>57.534247000000001</v>
      </c>
      <c r="AW97" s="51">
        <v>57.534247000000001</v>
      </c>
      <c r="AX97" s="51">
        <v>57.534247000000001</v>
      </c>
      <c r="AY97" s="51">
        <v>57.534247000000001</v>
      </c>
      <c r="AZ97" s="51">
        <v>57.534247000000001</v>
      </c>
      <c r="BA97" s="51">
        <v>57.534247000000001</v>
      </c>
      <c r="BB97" s="51">
        <v>57.534247000000001</v>
      </c>
      <c r="BC97" s="51">
        <v>57.534247000000001</v>
      </c>
      <c r="BD97" s="51">
        <v>57.534247000000001</v>
      </c>
      <c r="BE97" s="51">
        <v>57.534247000000001</v>
      </c>
      <c r="BF97" s="51">
        <v>57.534247000000001</v>
      </c>
      <c r="BG97" s="51">
        <v>57.534247000000001</v>
      </c>
      <c r="BH97" s="51">
        <v>57.534247000000001</v>
      </c>
      <c r="BI97" s="51"/>
      <c r="BJ97" s="50">
        <f t="shared" si="7"/>
        <v>3394.5205730000025</v>
      </c>
      <c r="BK97" s="51"/>
      <c r="BL97" s="50"/>
      <c r="BM97" s="51"/>
      <c r="BN97" s="51"/>
      <c r="BO97" s="51"/>
      <c r="BP97" s="51"/>
      <c r="BQ97" s="51"/>
      <c r="BR97" s="51"/>
      <c r="BS97" s="51"/>
      <c r="BT97" s="51"/>
    </row>
    <row r="98" spans="1:72" ht="20.100000000000001" hidden="1" customHeight="1" outlineLevel="1" x14ac:dyDescent="0.25">
      <c r="A98" s="26" t="s">
        <v>279</v>
      </c>
      <c r="B98" s="51">
        <v>7.1917809999999998</v>
      </c>
      <c r="C98" s="51">
        <v>7.1917809999999998</v>
      </c>
      <c r="D98" s="51">
        <v>7.1917809999999998</v>
      </c>
      <c r="E98" s="51">
        <v>7.1917809999999998</v>
      </c>
      <c r="F98" s="51">
        <v>7.1917809999999998</v>
      </c>
      <c r="G98" s="51">
        <v>7.1917809999999998</v>
      </c>
      <c r="H98" s="51">
        <v>7.1917809999999998</v>
      </c>
      <c r="I98" s="51">
        <v>7.1917809999999998</v>
      </c>
      <c r="J98" s="51">
        <v>7.1917809999999998</v>
      </c>
      <c r="K98" s="51">
        <v>7.1917809999999998</v>
      </c>
      <c r="L98" s="51">
        <v>7.1917809999999998</v>
      </c>
      <c r="M98" s="51">
        <v>7.1917809999999998</v>
      </c>
      <c r="N98" s="51">
        <v>7.1917809999999998</v>
      </c>
      <c r="O98" s="51">
        <v>7.1917809999999998</v>
      </c>
      <c r="P98" s="51">
        <v>7.1917809999999998</v>
      </c>
      <c r="Q98" s="51">
        <v>7.1917809999999998</v>
      </c>
      <c r="R98" s="51">
        <v>7.1917809999999998</v>
      </c>
      <c r="S98" s="51">
        <v>7.1917809999999998</v>
      </c>
      <c r="T98" s="51">
        <v>7.1917809999999998</v>
      </c>
      <c r="U98" s="51">
        <v>7.1917809999999998</v>
      </c>
      <c r="V98" s="51">
        <v>7.1917809999999998</v>
      </c>
      <c r="W98" s="51">
        <v>7.1917809999999998</v>
      </c>
      <c r="X98" s="51">
        <v>7.1917809999999998</v>
      </c>
      <c r="Y98" s="51">
        <v>7.1917809999999998</v>
      </c>
      <c r="Z98" s="51">
        <v>7.1917809999999998</v>
      </c>
      <c r="AA98" s="51">
        <v>7.1917809999999998</v>
      </c>
      <c r="AB98" s="51">
        <v>7.1917809999999998</v>
      </c>
      <c r="AC98" s="51">
        <v>7.1917809999999998</v>
      </c>
      <c r="AD98" s="51">
        <v>7.1917809999999998</v>
      </c>
      <c r="AE98" s="51">
        <v>7.1917809999999998</v>
      </c>
      <c r="AF98" s="51">
        <v>7.1917809999999998</v>
      </c>
      <c r="AG98" s="51">
        <v>7.1917809999999998</v>
      </c>
      <c r="AH98" s="51">
        <v>7.1917809999999998</v>
      </c>
      <c r="AI98" s="51">
        <v>7.1917809999999998</v>
      </c>
      <c r="AJ98" s="51">
        <v>7.1917809999999998</v>
      </c>
      <c r="AK98" s="51">
        <v>7.1917809999999998</v>
      </c>
      <c r="AL98" s="51">
        <v>7.1917809999999998</v>
      </c>
      <c r="AM98" s="51">
        <v>7.1917809999999998</v>
      </c>
      <c r="AN98" s="51">
        <v>7.1917809999999998</v>
      </c>
      <c r="AO98" s="51">
        <v>7.1917809999999998</v>
      </c>
      <c r="AP98" s="51">
        <v>7.1917809999999998</v>
      </c>
      <c r="AQ98" s="51">
        <v>7.1917809999999998</v>
      </c>
      <c r="AR98" s="51">
        <v>7.1917809999999998</v>
      </c>
      <c r="AS98" s="51">
        <v>7.1917809999999998</v>
      </c>
      <c r="AT98" s="51">
        <v>7.1917809999999998</v>
      </c>
      <c r="AU98" s="51">
        <v>7.1917809999999998</v>
      </c>
      <c r="AV98" s="51">
        <v>7.1917809999999998</v>
      </c>
      <c r="AW98" s="51">
        <v>7.1917809999999998</v>
      </c>
      <c r="AX98" s="51">
        <v>7.1917809999999998</v>
      </c>
      <c r="AY98" s="51">
        <v>7.1917809999999998</v>
      </c>
      <c r="AZ98" s="51">
        <v>7.1917809999999998</v>
      </c>
      <c r="BA98" s="51">
        <v>7.1917809999999998</v>
      </c>
      <c r="BB98" s="51">
        <v>7.1917809999999998</v>
      </c>
      <c r="BC98" s="51">
        <v>7.1917809999999998</v>
      </c>
      <c r="BD98" s="51">
        <v>7.1917809999999998</v>
      </c>
      <c r="BE98" s="51">
        <v>7.1917809999999998</v>
      </c>
      <c r="BF98" s="51">
        <v>7.1917809999999998</v>
      </c>
      <c r="BG98" s="51">
        <v>7.1917809999999998</v>
      </c>
      <c r="BH98" s="51">
        <v>7.1917809999999998</v>
      </c>
      <c r="BI98" s="51"/>
      <c r="BJ98" s="50">
        <f t="shared" si="7"/>
        <v>424.31507899999974</v>
      </c>
      <c r="BK98" s="51"/>
      <c r="BL98" s="50"/>
      <c r="BM98" s="51"/>
      <c r="BN98" s="51"/>
      <c r="BO98" s="51"/>
      <c r="BP98" s="51"/>
      <c r="BQ98" s="51"/>
      <c r="BR98" s="51"/>
      <c r="BS98" s="51"/>
      <c r="BT98" s="51"/>
    </row>
    <row r="99" spans="1:72" ht="20.100000000000001" hidden="1" customHeight="1" outlineLevel="1" x14ac:dyDescent="0.25">
      <c r="A99" s="26" t="s">
        <v>87</v>
      </c>
      <c r="B99" s="51">
        <v>28.767123000000002</v>
      </c>
      <c r="C99" s="51">
        <v>28.767123000000002</v>
      </c>
      <c r="D99" s="51">
        <v>28.767123000000002</v>
      </c>
      <c r="E99" s="51">
        <v>28.767123000000002</v>
      </c>
      <c r="F99" s="51">
        <v>28.767123000000002</v>
      </c>
      <c r="G99" s="51">
        <v>28.767123000000002</v>
      </c>
      <c r="H99" s="51">
        <v>28.767123000000002</v>
      </c>
      <c r="I99" s="51">
        <v>28.767123000000002</v>
      </c>
      <c r="J99" s="51">
        <v>28.767123000000002</v>
      </c>
      <c r="K99" s="51">
        <v>28.767123000000002</v>
      </c>
      <c r="L99" s="51">
        <v>28.767123000000002</v>
      </c>
      <c r="M99" s="51">
        <v>28.767123000000002</v>
      </c>
      <c r="N99" s="51">
        <v>28.767123000000002</v>
      </c>
      <c r="O99" s="51">
        <v>28.767123000000002</v>
      </c>
      <c r="P99" s="51">
        <v>28.767123000000002</v>
      </c>
      <c r="Q99" s="51">
        <v>28.767123000000002</v>
      </c>
      <c r="R99" s="51">
        <v>28.767123000000002</v>
      </c>
      <c r="S99" s="51">
        <v>28.767123000000002</v>
      </c>
      <c r="T99" s="51">
        <v>28.767123000000002</v>
      </c>
      <c r="U99" s="51">
        <v>28.767123000000002</v>
      </c>
      <c r="V99" s="51">
        <v>28.767123000000002</v>
      </c>
      <c r="W99" s="51">
        <v>28.767123000000002</v>
      </c>
      <c r="X99" s="51">
        <v>28.767123000000002</v>
      </c>
      <c r="Y99" s="51">
        <v>28.767123000000002</v>
      </c>
      <c r="Z99" s="51">
        <v>28.767123000000002</v>
      </c>
      <c r="AA99" s="51">
        <v>28.767123000000002</v>
      </c>
      <c r="AB99" s="51">
        <v>28.767123000000002</v>
      </c>
      <c r="AC99" s="51">
        <v>28.767123000000002</v>
      </c>
      <c r="AD99" s="51">
        <v>28.767123000000002</v>
      </c>
      <c r="AE99" s="51">
        <v>28.767123000000002</v>
      </c>
      <c r="AF99" s="51">
        <v>28.767123000000002</v>
      </c>
      <c r="AG99" s="51">
        <v>28.767123000000002</v>
      </c>
      <c r="AH99" s="51">
        <v>28.767123000000002</v>
      </c>
      <c r="AI99" s="51">
        <v>28.767123000000002</v>
      </c>
      <c r="AJ99" s="51">
        <v>28.767123000000002</v>
      </c>
      <c r="AK99" s="51">
        <v>28.767123000000002</v>
      </c>
      <c r="AL99" s="51">
        <v>28.767123000000002</v>
      </c>
      <c r="AM99" s="51">
        <v>28.767123000000002</v>
      </c>
      <c r="AN99" s="51">
        <v>28.767123000000002</v>
      </c>
      <c r="AO99" s="51">
        <v>28.767123000000002</v>
      </c>
      <c r="AP99" s="51">
        <v>28.767123000000002</v>
      </c>
      <c r="AQ99" s="51">
        <v>28.767123000000002</v>
      </c>
      <c r="AR99" s="51">
        <v>28.767123000000002</v>
      </c>
      <c r="AS99" s="51">
        <v>28.767123000000002</v>
      </c>
      <c r="AT99" s="51">
        <v>28.767123000000002</v>
      </c>
      <c r="AU99" s="51">
        <v>28.767123000000002</v>
      </c>
      <c r="AV99" s="51">
        <v>28.767123000000002</v>
      </c>
      <c r="AW99" s="51">
        <v>28.767123000000002</v>
      </c>
      <c r="AX99" s="51">
        <v>28.767123000000002</v>
      </c>
      <c r="AY99" s="51">
        <v>28.767123000000002</v>
      </c>
      <c r="AZ99" s="51">
        <v>28.767123000000002</v>
      </c>
      <c r="BA99" s="51">
        <v>28.767123000000002</v>
      </c>
      <c r="BB99" s="51">
        <v>28.767123000000002</v>
      </c>
      <c r="BC99" s="51">
        <v>28.767123000000002</v>
      </c>
      <c r="BD99" s="51">
        <v>28.767123000000002</v>
      </c>
      <c r="BE99" s="51">
        <v>28.767123000000002</v>
      </c>
      <c r="BF99" s="51">
        <v>28.767123000000002</v>
      </c>
      <c r="BG99" s="51">
        <v>28.767123000000002</v>
      </c>
      <c r="BH99" s="51">
        <v>28.767123000000002</v>
      </c>
      <c r="BI99" s="51"/>
      <c r="BJ99" s="50">
        <f t="shared" si="7"/>
        <v>1697.2602570000017</v>
      </c>
      <c r="BK99" s="51"/>
      <c r="BL99" s="50"/>
      <c r="BM99" s="51"/>
      <c r="BN99" s="51"/>
      <c r="BO99" s="51"/>
      <c r="BP99" s="51"/>
      <c r="BQ99" s="51"/>
      <c r="BR99" s="51"/>
      <c r="BS99" s="51"/>
      <c r="BT99" s="51"/>
    </row>
    <row r="100" spans="1:72" ht="20.100000000000001" hidden="1" customHeight="1" outlineLevel="1" x14ac:dyDescent="0.25">
      <c r="A100" s="26" t="s">
        <v>88</v>
      </c>
      <c r="B100" s="51">
        <v>296.30137000000002</v>
      </c>
      <c r="C100" s="51">
        <v>296.30137000000002</v>
      </c>
      <c r="D100" s="51">
        <v>296.30137000000002</v>
      </c>
      <c r="E100" s="51">
        <v>296.30137000000002</v>
      </c>
      <c r="F100" s="51">
        <v>296.30137000000002</v>
      </c>
      <c r="G100" s="51">
        <v>296.30137000000002</v>
      </c>
      <c r="H100" s="51">
        <v>296.30137000000002</v>
      </c>
      <c r="I100" s="51">
        <v>296.30137000000002</v>
      </c>
      <c r="J100" s="51">
        <v>296.30137000000002</v>
      </c>
      <c r="K100" s="51">
        <v>296.30137000000002</v>
      </c>
      <c r="L100" s="51">
        <v>296.30137000000002</v>
      </c>
      <c r="M100" s="51">
        <v>296.30137000000002</v>
      </c>
      <c r="N100" s="51">
        <v>296.30137000000002</v>
      </c>
      <c r="O100" s="51">
        <v>296.30137000000002</v>
      </c>
      <c r="P100" s="51">
        <v>296.30137000000002</v>
      </c>
      <c r="Q100" s="51">
        <v>296.30137000000002</v>
      </c>
      <c r="R100" s="51">
        <v>296.30137000000002</v>
      </c>
      <c r="S100" s="51">
        <v>296.30137000000002</v>
      </c>
      <c r="T100" s="51">
        <v>296.30137000000002</v>
      </c>
      <c r="U100" s="51">
        <v>296.30137000000002</v>
      </c>
      <c r="V100" s="51">
        <v>296.30137000000002</v>
      </c>
      <c r="W100" s="51">
        <v>296.30137000000002</v>
      </c>
      <c r="X100" s="51">
        <v>296.30137000000002</v>
      </c>
      <c r="Y100" s="51">
        <v>296.30137000000002</v>
      </c>
      <c r="Z100" s="51">
        <v>296.30137000000002</v>
      </c>
      <c r="AA100" s="51">
        <v>296.30137000000002</v>
      </c>
      <c r="AB100" s="51">
        <v>296.30137000000002</v>
      </c>
      <c r="AC100" s="51">
        <v>296.30137000000002</v>
      </c>
      <c r="AD100" s="51">
        <v>296.30137000000002</v>
      </c>
      <c r="AE100" s="51">
        <v>296.30137000000002</v>
      </c>
      <c r="AF100" s="51">
        <v>296.30137000000002</v>
      </c>
      <c r="AG100" s="51">
        <v>296.30137000000002</v>
      </c>
      <c r="AH100" s="51">
        <v>296.30137000000002</v>
      </c>
      <c r="AI100" s="51">
        <v>296.30137000000002</v>
      </c>
      <c r="AJ100" s="51">
        <v>296.30137000000002</v>
      </c>
      <c r="AK100" s="51">
        <v>296.30137000000002</v>
      </c>
      <c r="AL100" s="51">
        <v>296.30137000000002</v>
      </c>
      <c r="AM100" s="51">
        <v>296.30137000000002</v>
      </c>
      <c r="AN100" s="51">
        <v>296.30137000000002</v>
      </c>
      <c r="AO100" s="51">
        <v>296.30137000000002</v>
      </c>
      <c r="AP100" s="51">
        <v>296.30137000000002</v>
      </c>
      <c r="AQ100" s="51">
        <v>296.30137000000002</v>
      </c>
      <c r="AR100" s="51">
        <v>296.30137000000002</v>
      </c>
      <c r="AS100" s="51">
        <v>296.30137000000002</v>
      </c>
      <c r="AT100" s="51">
        <v>296.30137000000002</v>
      </c>
      <c r="AU100" s="51">
        <v>296.30137000000002</v>
      </c>
      <c r="AV100" s="51">
        <v>296.30137000000002</v>
      </c>
      <c r="AW100" s="51">
        <v>296.30137000000002</v>
      </c>
      <c r="AX100" s="51">
        <v>296.30137000000002</v>
      </c>
      <c r="AY100" s="51">
        <v>296.30137000000002</v>
      </c>
      <c r="AZ100" s="51">
        <v>296.30137000000002</v>
      </c>
      <c r="BA100" s="51">
        <v>296.30137000000002</v>
      </c>
      <c r="BB100" s="51">
        <v>296.30137000000002</v>
      </c>
      <c r="BC100" s="51">
        <v>296.30137000000002</v>
      </c>
      <c r="BD100" s="51">
        <v>296.30137000000002</v>
      </c>
      <c r="BE100" s="51">
        <v>296.30137000000002</v>
      </c>
      <c r="BF100" s="51">
        <v>296.30137000000002</v>
      </c>
      <c r="BG100" s="51">
        <v>296.30137000000002</v>
      </c>
      <c r="BH100" s="51">
        <v>296.30137000000002</v>
      </c>
      <c r="BI100" s="51"/>
      <c r="BJ100" s="50">
        <f t="shared" si="7"/>
        <v>17481.780829999985</v>
      </c>
      <c r="BK100" s="51"/>
      <c r="BL100" s="50"/>
      <c r="BM100" s="51"/>
      <c r="BN100" s="51"/>
      <c r="BO100" s="51"/>
      <c r="BP100" s="51"/>
      <c r="BQ100" s="51"/>
      <c r="BR100" s="51"/>
      <c r="BS100" s="51"/>
      <c r="BT100" s="51"/>
    </row>
    <row r="101" spans="1:72" ht="20.100000000000001" hidden="1" customHeight="1" outlineLevel="1" x14ac:dyDescent="0.25">
      <c r="A101" s="26" t="s">
        <v>89</v>
      </c>
      <c r="B101" s="51">
        <v>106.438356</v>
      </c>
      <c r="C101" s="51">
        <v>106.438356</v>
      </c>
      <c r="D101" s="51">
        <v>106.438356</v>
      </c>
      <c r="E101" s="51">
        <v>106.438356</v>
      </c>
      <c r="F101" s="51">
        <v>106.438356</v>
      </c>
      <c r="G101" s="51">
        <v>106.438356</v>
      </c>
      <c r="H101" s="51">
        <v>106.438356</v>
      </c>
      <c r="I101" s="51">
        <v>106.438356</v>
      </c>
      <c r="J101" s="51">
        <v>106.438356</v>
      </c>
      <c r="K101" s="51">
        <v>106.438356</v>
      </c>
      <c r="L101" s="51">
        <v>106.438356</v>
      </c>
      <c r="M101" s="51">
        <v>106.438356</v>
      </c>
      <c r="N101" s="51">
        <v>106.438356</v>
      </c>
      <c r="O101" s="51">
        <v>106.438356</v>
      </c>
      <c r="P101" s="51">
        <v>106.438356</v>
      </c>
      <c r="Q101" s="51">
        <v>106.438356</v>
      </c>
      <c r="R101" s="51">
        <v>106.438356</v>
      </c>
      <c r="S101" s="51">
        <v>106.438356</v>
      </c>
      <c r="T101" s="51">
        <v>106.438356</v>
      </c>
      <c r="U101" s="51">
        <v>106.438356</v>
      </c>
      <c r="V101" s="51">
        <v>106.438356</v>
      </c>
      <c r="W101" s="51">
        <v>106.438356</v>
      </c>
      <c r="X101" s="51">
        <v>106.438356</v>
      </c>
      <c r="Y101" s="51">
        <v>106.438356</v>
      </c>
      <c r="Z101" s="51">
        <v>106.438356</v>
      </c>
      <c r="AA101" s="51">
        <v>106.438356</v>
      </c>
      <c r="AB101" s="51">
        <v>106.438356</v>
      </c>
      <c r="AC101" s="51">
        <v>106.438356</v>
      </c>
      <c r="AD101" s="51">
        <v>106.438356</v>
      </c>
      <c r="AE101" s="51">
        <v>106.438356</v>
      </c>
      <c r="AF101" s="51">
        <v>106.438356</v>
      </c>
      <c r="AG101" s="51">
        <v>106.438356</v>
      </c>
      <c r="AH101" s="51">
        <v>106.438356</v>
      </c>
      <c r="AI101" s="51">
        <v>106.438356</v>
      </c>
      <c r="AJ101" s="51">
        <v>106.438356</v>
      </c>
      <c r="AK101" s="51">
        <v>106.438356</v>
      </c>
      <c r="AL101" s="51">
        <v>106.438356</v>
      </c>
      <c r="AM101" s="51">
        <v>106.438356</v>
      </c>
      <c r="AN101" s="51">
        <v>106.438356</v>
      </c>
      <c r="AO101" s="51">
        <v>106.438356</v>
      </c>
      <c r="AP101" s="51">
        <v>106.438356</v>
      </c>
      <c r="AQ101" s="51">
        <v>106.438356</v>
      </c>
      <c r="AR101" s="51">
        <v>106.438356</v>
      </c>
      <c r="AS101" s="51">
        <v>106.438356</v>
      </c>
      <c r="AT101" s="51">
        <v>106.438356</v>
      </c>
      <c r="AU101" s="51">
        <v>106.438356</v>
      </c>
      <c r="AV101" s="51">
        <v>106.438356</v>
      </c>
      <c r="AW101" s="51">
        <v>106.438356</v>
      </c>
      <c r="AX101" s="51">
        <v>106.438356</v>
      </c>
      <c r="AY101" s="51">
        <v>106.438356</v>
      </c>
      <c r="AZ101" s="51">
        <v>106.438356</v>
      </c>
      <c r="BA101" s="51">
        <v>106.438356</v>
      </c>
      <c r="BB101" s="51">
        <v>106.438356</v>
      </c>
      <c r="BC101" s="51">
        <v>106.438356</v>
      </c>
      <c r="BD101" s="51">
        <v>106.438356</v>
      </c>
      <c r="BE101" s="51">
        <v>106.438356</v>
      </c>
      <c r="BF101" s="51">
        <v>106.438356</v>
      </c>
      <c r="BG101" s="51">
        <v>106.438356</v>
      </c>
      <c r="BH101" s="51">
        <v>106.438356</v>
      </c>
      <c r="BI101" s="51"/>
      <c r="BJ101" s="50">
        <f t="shared" si="7"/>
        <v>6279.8630039999962</v>
      </c>
      <c r="BK101" s="51"/>
      <c r="BL101" s="50"/>
      <c r="BM101" s="51"/>
      <c r="BN101" s="51"/>
      <c r="BO101" s="51"/>
      <c r="BP101" s="51"/>
      <c r="BQ101" s="51"/>
      <c r="BR101" s="51"/>
      <c r="BS101" s="51"/>
      <c r="BT101" s="51"/>
    </row>
    <row r="102" spans="1:72" ht="20.100000000000001" hidden="1" customHeight="1" outlineLevel="1" x14ac:dyDescent="0.25">
      <c r="A102" s="26" t="s">
        <v>90</v>
      </c>
      <c r="B102" s="51">
        <v>63.287671000000003</v>
      </c>
      <c r="C102" s="51">
        <v>63.287671000000003</v>
      </c>
      <c r="D102" s="51">
        <v>63.287671000000003</v>
      </c>
      <c r="E102" s="51">
        <v>63.287671000000003</v>
      </c>
      <c r="F102" s="51">
        <v>63.287671000000003</v>
      </c>
      <c r="G102" s="51">
        <v>63.287671000000003</v>
      </c>
      <c r="H102" s="51">
        <v>63.287671000000003</v>
      </c>
      <c r="I102" s="51">
        <v>63.287671000000003</v>
      </c>
      <c r="J102" s="51">
        <v>63.287671000000003</v>
      </c>
      <c r="K102" s="51">
        <v>63.287671000000003</v>
      </c>
      <c r="L102" s="51">
        <v>63.287671000000003</v>
      </c>
      <c r="M102" s="51">
        <v>63.287671000000003</v>
      </c>
      <c r="N102" s="51">
        <v>63.287671000000003</v>
      </c>
      <c r="O102" s="51">
        <v>63.287671000000003</v>
      </c>
      <c r="P102" s="51">
        <v>63.287671000000003</v>
      </c>
      <c r="Q102" s="51">
        <v>63.287671000000003</v>
      </c>
      <c r="R102" s="51">
        <v>63.287671000000003</v>
      </c>
      <c r="S102" s="51">
        <v>63.287671000000003</v>
      </c>
      <c r="T102" s="51">
        <v>63.287671000000003</v>
      </c>
      <c r="U102" s="51">
        <v>63.287671000000003</v>
      </c>
      <c r="V102" s="51">
        <v>63.287671000000003</v>
      </c>
      <c r="W102" s="51">
        <v>63.287671000000003</v>
      </c>
      <c r="X102" s="51">
        <v>63.287671000000003</v>
      </c>
      <c r="Y102" s="51">
        <v>63.287671000000003</v>
      </c>
      <c r="Z102" s="51">
        <v>63.287671000000003</v>
      </c>
      <c r="AA102" s="51">
        <v>63.287671000000003</v>
      </c>
      <c r="AB102" s="51">
        <v>63.287671000000003</v>
      </c>
      <c r="AC102" s="51">
        <v>63.287671000000003</v>
      </c>
      <c r="AD102" s="51">
        <v>63.287671000000003</v>
      </c>
      <c r="AE102" s="51">
        <v>63.287671000000003</v>
      </c>
      <c r="AF102" s="51">
        <v>63.287671000000003</v>
      </c>
      <c r="AG102" s="51">
        <v>63.287671000000003</v>
      </c>
      <c r="AH102" s="51">
        <v>63.287671000000003</v>
      </c>
      <c r="AI102" s="51">
        <v>63.287671000000003</v>
      </c>
      <c r="AJ102" s="51">
        <v>63.287671000000003</v>
      </c>
      <c r="AK102" s="51">
        <v>63.287671000000003</v>
      </c>
      <c r="AL102" s="51">
        <v>63.287671000000003</v>
      </c>
      <c r="AM102" s="51">
        <v>63.287671000000003</v>
      </c>
      <c r="AN102" s="51">
        <v>63.287671000000003</v>
      </c>
      <c r="AO102" s="51">
        <v>63.287671000000003</v>
      </c>
      <c r="AP102" s="51">
        <v>63.287671000000003</v>
      </c>
      <c r="AQ102" s="51">
        <v>63.287671000000003</v>
      </c>
      <c r="AR102" s="51">
        <v>63.287671000000003</v>
      </c>
      <c r="AS102" s="51">
        <v>63.287671000000003</v>
      </c>
      <c r="AT102" s="51">
        <v>63.287671000000003</v>
      </c>
      <c r="AU102" s="51">
        <v>63.287671000000003</v>
      </c>
      <c r="AV102" s="51">
        <v>63.287671000000003</v>
      </c>
      <c r="AW102" s="51">
        <v>63.287671000000003</v>
      </c>
      <c r="AX102" s="51">
        <v>63.287671000000003</v>
      </c>
      <c r="AY102" s="51">
        <v>63.287671000000003</v>
      </c>
      <c r="AZ102" s="51">
        <v>63.287671000000003</v>
      </c>
      <c r="BA102" s="51">
        <v>63.287671000000003</v>
      </c>
      <c r="BB102" s="51">
        <v>63.287671000000003</v>
      </c>
      <c r="BC102" s="51">
        <v>63.287671000000003</v>
      </c>
      <c r="BD102" s="51">
        <v>63.287671000000003</v>
      </c>
      <c r="BE102" s="51">
        <v>63.287671000000003</v>
      </c>
      <c r="BF102" s="51">
        <v>63.287671000000003</v>
      </c>
      <c r="BG102" s="51">
        <v>63.287671000000003</v>
      </c>
      <c r="BH102" s="51">
        <v>63.287671000000003</v>
      </c>
      <c r="BI102" s="51"/>
      <c r="BJ102" s="50">
        <f t="shared" si="7"/>
        <v>3733.9725890000022</v>
      </c>
      <c r="BK102" s="51"/>
      <c r="BL102" s="50"/>
      <c r="BM102" s="51"/>
      <c r="BN102" s="51"/>
      <c r="BO102" s="51"/>
      <c r="BP102" s="51"/>
      <c r="BQ102" s="51"/>
      <c r="BR102" s="51"/>
      <c r="BS102" s="51"/>
      <c r="BT102" s="51"/>
    </row>
    <row r="103" spans="1:72" ht="20.100000000000001" hidden="1" customHeight="1" outlineLevel="1" x14ac:dyDescent="0.25">
      <c r="A103" s="26" t="s">
        <v>91</v>
      </c>
      <c r="B103" s="51">
        <v>11.570684</v>
      </c>
      <c r="C103" s="51">
        <v>11.570684</v>
      </c>
      <c r="D103" s="51">
        <v>11.570684</v>
      </c>
      <c r="E103" s="51">
        <v>11.570684</v>
      </c>
      <c r="F103" s="51">
        <v>11.570684</v>
      </c>
      <c r="G103" s="51">
        <v>11.570684</v>
      </c>
      <c r="H103" s="51">
        <v>11.570684</v>
      </c>
      <c r="I103" s="51">
        <v>11.570684</v>
      </c>
      <c r="J103" s="51">
        <v>11.570684</v>
      </c>
      <c r="K103" s="51">
        <v>11.570684</v>
      </c>
      <c r="L103" s="51">
        <v>11.570684</v>
      </c>
      <c r="M103" s="51">
        <v>11.570684</v>
      </c>
      <c r="N103" s="51">
        <v>11.570684</v>
      </c>
      <c r="O103" s="51">
        <v>11.570684</v>
      </c>
      <c r="P103" s="51">
        <v>11.570684</v>
      </c>
      <c r="Q103" s="51">
        <v>11.570684</v>
      </c>
      <c r="R103" s="51">
        <v>11.570684</v>
      </c>
      <c r="S103" s="51">
        <v>11.570684</v>
      </c>
      <c r="T103" s="51">
        <v>11.570684</v>
      </c>
      <c r="U103" s="51">
        <v>11.570684</v>
      </c>
      <c r="V103" s="51">
        <v>11.570684</v>
      </c>
      <c r="W103" s="51">
        <v>11.570684</v>
      </c>
      <c r="X103" s="51">
        <v>11.570684</v>
      </c>
      <c r="Y103" s="51">
        <v>11.570684</v>
      </c>
      <c r="Z103" s="51">
        <v>11.570684</v>
      </c>
      <c r="AA103" s="51">
        <v>11.570684</v>
      </c>
      <c r="AB103" s="51">
        <v>11.570684</v>
      </c>
      <c r="AC103" s="51">
        <v>11.570684</v>
      </c>
      <c r="AD103" s="51">
        <v>11.570684</v>
      </c>
      <c r="AE103" s="51">
        <v>11.570684</v>
      </c>
      <c r="AF103" s="51">
        <v>11.570684</v>
      </c>
      <c r="AG103" s="51">
        <v>11.570684</v>
      </c>
      <c r="AH103" s="51">
        <v>11.570684</v>
      </c>
      <c r="AI103" s="51">
        <v>11.570684</v>
      </c>
      <c r="AJ103" s="51">
        <v>11.570684</v>
      </c>
      <c r="AK103" s="51">
        <v>11.570684</v>
      </c>
      <c r="AL103" s="51">
        <v>11.570684</v>
      </c>
      <c r="AM103" s="51">
        <v>11.570684</v>
      </c>
      <c r="AN103" s="51">
        <v>11.570684</v>
      </c>
      <c r="AO103" s="51">
        <v>11.570684</v>
      </c>
      <c r="AP103" s="51">
        <v>11.570684</v>
      </c>
      <c r="AQ103" s="51">
        <v>11.570684</v>
      </c>
      <c r="AR103" s="51">
        <v>11.570684</v>
      </c>
      <c r="AS103" s="51">
        <v>11.570684</v>
      </c>
      <c r="AT103" s="51">
        <v>11.570684</v>
      </c>
      <c r="AU103" s="51">
        <v>11.570684</v>
      </c>
      <c r="AV103" s="51">
        <v>11.570684</v>
      </c>
      <c r="AW103" s="51">
        <v>11.570684</v>
      </c>
      <c r="AX103" s="51">
        <v>11.570684</v>
      </c>
      <c r="AY103" s="51">
        <v>11.570684</v>
      </c>
      <c r="AZ103" s="51">
        <v>11.570684</v>
      </c>
      <c r="BA103" s="51">
        <v>11.570684</v>
      </c>
      <c r="BB103" s="51">
        <v>11.570684</v>
      </c>
      <c r="BC103" s="51">
        <v>11.570684</v>
      </c>
      <c r="BD103" s="51">
        <v>11.570684</v>
      </c>
      <c r="BE103" s="51">
        <v>11.570684</v>
      </c>
      <c r="BF103" s="51">
        <v>11.570684</v>
      </c>
      <c r="BG103" s="51">
        <v>11.570684</v>
      </c>
      <c r="BH103" s="51">
        <v>11.570684</v>
      </c>
      <c r="BI103" s="51"/>
      <c r="BJ103" s="50">
        <f t="shared" si="7"/>
        <v>682.67035600000099</v>
      </c>
      <c r="BK103" s="51"/>
      <c r="BL103" s="50"/>
      <c r="BM103" s="51"/>
      <c r="BN103" s="51"/>
      <c r="BO103" s="51"/>
      <c r="BP103" s="51"/>
      <c r="BQ103" s="51"/>
      <c r="BR103" s="51"/>
      <c r="BS103" s="51"/>
      <c r="BT103" s="51"/>
    </row>
    <row r="104" spans="1:72" ht="20.100000000000001" hidden="1" customHeight="1" outlineLevel="1" x14ac:dyDescent="0.25">
      <c r="A104" s="26" t="s">
        <v>92</v>
      </c>
      <c r="B104" s="51">
        <v>63.558295000000001</v>
      </c>
      <c r="C104" s="51">
        <v>63.558295000000001</v>
      </c>
      <c r="D104" s="51">
        <v>63.558295000000001</v>
      </c>
      <c r="E104" s="51">
        <v>63.558295000000001</v>
      </c>
      <c r="F104" s="51">
        <v>63.558295000000001</v>
      </c>
      <c r="G104" s="51">
        <v>63.558295000000001</v>
      </c>
      <c r="H104" s="51">
        <v>63.558295000000001</v>
      </c>
      <c r="I104" s="51">
        <v>63.558295000000001</v>
      </c>
      <c r="J104" s="51">
        <v>63.558295000000001</v>
      </c>
      <c r="K104" s="51">
        <v>63.558295000000001</v>
      </c>
      <c r="L104" s="51">
        <v>63.558295000000001</v>
      </c>
      <c r="M104" s="51">
        <v>63.558295000000001</v>
      </c>
      <c r="N104" s="51">
        <v>63.558295000000001</v>
      </c>
      <c r="O104" s="51">
        <v>63.558295000000001</v>
      </c>
      <c r="P104" s="51">
        <v>63.558295000000001</v>
      </c>
      <c r="Q104" s="51">
        <v>63.558295000000001</v>
      </c>
      <c r="R104" s="51">
        <v>63.558295000000001</v>
      </c>
      <c r="S104" s="51">
        <v>63.558295000000001</v>
      </c>
      <c r="T104" s="51">
        <v>63.558295000000001</v>
      </c>
      <c r="U104" s="51">
        <v>63.558295000000001</v>
      </c>
      <c r="V104" s="51">
        <v>63.558295000000001</v>
      </c>
      <c r="W104" s="51">
        <v>63.558295000000001</v>
      </c>
      <c r="X104" s="51">
        <v>63.558295000000001</v>
      </c>
      <c r="Y104" s="51">
        <v>63.558295000000001</v>
      </c>
      <c r="Z104" s="51">
        <v>63.558295000000001</v>
      </c>
      <c r="AA104" s="51">
        <v>63.558295000000001</v>
      </c>
      <c r="AB104" s="51">
        <v>63.558295000000001</v>
      </c>
      <c r="AC104" s="51">
        <v>63.558295000000001</v>
      </c>
      <c r="AD104" s="51">
        <v>63.558295000000001</v>
      </c>
      <c r="AE104" s="51">
        <v>63.558295000000001</v>
      </c>
      <c r="AF104" s="51">
        <v>63.558295000000001</v>
      </c>
      <c r="AG104" s="51">
        <v>63.558295000000001</v>
      </c>
      <c r="AH104" s="51">
        <v>63.558295000000001</v>
      </c>
      <c r="AI104" s="51">
        <v>63.558295000000001</v>
      </c>
      <c r="AJ104" s="51">
        <v>63.558295000000001</v>
      </c>
      <c r="AK104" s="51">
        <v>63.558295000000001</v>
      </c>
      <c r="AL104" s="51">
        <v>63.558295000000001</v>
      </c>
      <c r="AM104" s="51">
        <v>63.558295000000001</v>
      </c>
      <c r="AN104" s="51">
        <v>63.558295000000001</v>
      </c>
      <c r="AO104" s="51">
        <v>63.558295000000001</v>
      </c>
      <c r="AP104" s="51">
        <v>63.558295000000001</v>
      </c>
      <c r="AQ104" s="51">
        <v>63.558295000000001</v>
      </c>
      <c r="AR104" s="51">
        <v>63.558295000000001</v>
      </c>
      <c r="AS104" s="51">
        <v>63.558295000000001</v>
      </c>
      <c r="AT104" s="51">
        <v>63.558295000000001</v>
      </c>
      <c r="AU104" s="51">
        <v>63.558295000000001</v>
      </c>
      <c r="AV104" s="51">
        <v>63.558295000000001</v>
      </c>
      <c r="AW104" s="51">
        <v>63.558295000000001</v>
      </c>
      <c r="AX104" s="51">
        <v>63.558295000000001</v>
      </c>
      <c r="AY104" s="51">
        <v>63.558295000000001</v>
      </c>
      <c r="AZ104" s="51">
        <v>63.558295000000001</v>
      </c>
      <c r="BA104" s="51">
        <v>63.558295000000001</v>
      </c>
      <c r="BB104" s="51">
        <v>63.558295000000001</v>
      </c>
      <c r="BC104" s="51">
        <v>63.558295000000001</v>
      </c>
      <c r="BD104" s="51">
        <v>63.558295000000001</v>
      </c>
      <c r="BE104" s="51">
        <v>63.558295000000001</v>
      </c>
      <c r="BF104" s="51">
        <v>63.558295000000001</v>
      </c>
      <c r="BG104" s="51">
        <v>63.558295000000001</v>
      </c>
      <c r="BH104" s="51">
        <v>63.558295000000001</v>
      </c>
      <c r="BI104" s="51"/>
      <c r="BJ104" s="50">
        <f t="shared" si="7"/>
        <v>3749.939404999996</v>
      </c>
      <c r="BK104" s="51"/>
      <c r="BL104" s="50"/>
      <c r="BM104" s="51"/>
      <c r="BN104" s="51"/>
      <c r="BO104" s="51"/>
      <c r="BP104" s="51"/>
      <c r="BQ104" s="51"/>
      <c r="BR104" s="51"/>
      <c r="BS104" s="51"/>
      <c r="BT104" s="51"/>
    </row>
    <row r="105" spans="1:72" ht="20.100000000000001" hidden="1" customHeight="1" outlineLevel="1" x14ac:dyDescent="0.25">
      <c r="A105" s="26" t="s">
        <v>280</v>
      </c>
      <c r="B105" s="51">
        <v>0</v>
      </c>
      <c r="C105" s="51">
        <v>17.260273999999999</v>
      </c>
      <c r="D105" s="51">
        <v>17.260273999999999</v>
      </c>
      <c r="E105" s="51">
        <v>17.260273999999999</v>
      </c>
      <c r="F105" s="51">
        <v>17.260273999999999</v>
      </c>
      <c r="G105" s="51">
        <v>17.260273999999999</v>
      </c>
      <c r="H105" s="51">
        <v>17.260273999999999</v>
      </c>
      <c r="I105" s="51">
        <v>17.260273999999999</v>
      </c>
      <c r="J105" s="51">
        <v>17.260273999999999</v>
      </c>
      <c r="K105" s="51">
        <v>17.260273999999999</v>
      </c>
      <c r="L105" s="51">
        <v>17.260273999999999</v>
      </c>
      <c r="M105" s="51">
        <v>17.260273999999999</v>
      </c>
      <c r="N105" s="51">
        <v>17.260273999999999</v>
      </c>
      <c r="O105" s="51">
        <v>17.260273999999999</v>
      </c>
      <c r="P105" s="51">
        <v>17.260273999999999</v>
      </c>
      <c r="Q105" s="51">
        <v>17.260273999999999</v>
      </c>
      <c r="R105" s="51">
        <v>17.260273999999999</v>
      </c>
      <c r="S105" s="51">
        <v>17.260273999999999</v>
      </c>
      <c r="T105" s="51">
        <v>17.260273999999999</v>
      </c>
      <c r="U105" s="51">
        <v>17.260273999999999</v>
      </c>
      <c r="V105" s="51">
        <v>17.260273999999999</v>
      </c>
      <c r="W105" s="51">
        <v>17.260273999999999</v>
      </c>
      <c r="X105" s="51">
        <v>17.260273999999999</v>
      </c>
      <c r="Y105" s="51">
        <v>17.260273999999999</v>
      </c>
      <c r="Z105" s="51">
        <v>17.260273999999999</v>
      </c>
      <c r="AA105" s="51">
        <v>17.260273999999999</v>
      </c>
      <c r="AB105" s="51">
        <v>17.260273999999999</v>
      </c>
      <c r="AC105" s="51">
        <v>17.260273999999999</v>
      </c>
      <c r="AD105" s="51">
        <v>17.260273999999999</v>
      </c>
      <c r="AE105" s="51">
        <v>17.260273999999999</v>
      </c>
      <c r="AF105" s="51">
        <v>17.260273999999999</v>
      </c>
      <c r="AG105" s="51">
        <v>17.260273999999999</v>
      </c>
      <c r="AH105" s="51">
        <v>17.260273999999999</v>
      </c>
      <c r="AI105" s="51">
        <v>17.260273999999999</v>
      </c>
      <c r="AJ105" s="51">
        <v>17.260273999999999</v>
      </c>
      <c r="AK105" s="51">
        <v>17.260273999999999</v>
      </c>
      <c r="AL105" s="51">
        <v>17.260273999999999</v>
      </c>
      <c r="AM105" s="51">
        <v>17.260273999999999</v>
      </c>
      <c r="AN105" s="51">
        <v>17.260273999999999</v>
      </c>
      <c r="AO105" s="51">
        <v>17.260273999999999</v>
      </c>
      <c r="AP105" s="51">
        <v>17.260273999999999</v>
      </c>
      <c r="AQ105" s="51">
        <v>17.260273999999999</v>
      </c>
      <c r="AR105" s="51">
        <v>17.260273999999999</v>
      </c>
      <c r="AS105" s="51">
        <v>17.260273999999999</v>
      </c>
      <c r="AT105" s="51">
        <v>17.260273999999999</v>
      </c>
      <c r="AU105" s="51">
        <v>17.260273999999999</v>
      </c>
      <c r="AV105" s="51">
        <v>17.260273999999999</v>
      </c>
      <c r="AW105" s="51">
        <v>17.260273999999999</v>
      </c>
      <c r="AX105" s="51">
        <v>17.260273999999999</v>
      </c>
      <c r="AY105" s="51">
        <v>17.260273999999999</v>
      </c>
      <c r="AZ105" s="51">
        <v>17.260273999999999</v>
      </c>
      <c r="BA105" s="51">
        <v>17.260273999999999</v>
      </c>
      <c r="BB105" s="51">
        <v>17.260273999999999</v>
      </c>
      <c r="BC105" s="51">
        <v>17.260273999999999</v>
      </c>
      <c r="BD105" s="51">
        <v>17.260273999999999</v>
      </c>
      <c r="BE105" s="51">
        <v>17.260273999999999</v>
      </c>
      <c r="BF105" s="51">
        <v>17.260273999999999</v>
      </c>
      <c r="BG105" s="51">
        <v>17.260273999999999</v>
      </c>
      <c r="BH105" s="51">
        <v>17.260273999999999</v>
      </c>
      <c r="BI105" s="51"/>
      <c r="BJ105" s="50">
        <f t="shared" si="7"/>
        <v>1001.0958919999993</v>
      </c>
      <c r="BK105" s="51"/>
      <c r="BL105" s="50"/>
      <c r="BM105" s="51"/>
      <c r="BN105" s="51"/>
      <c r="BO105" s="51"/>
      <c r="BP105" s="51"/>
      <c r="BQ105" s="51"/>
      <c r="BR105" s="51"/>
      <c r="BS105" s="51"/>
      <c r="BT105" s="51"/>
    </row>
    <row r="106" spans="1:72" ht="20.100000000000001" hidden="1" customHeight="1" outlineLevel="1" x14ac:dyDescent="0.25">
      <c r="A106" s="26" t="s">
        <v>281</v>
      </c>
      <c r="B106" s="51">
        <v>0</v>
      </c>
      <c r="C106" s="51">
        <v>0</v>
      </c>
      <c r="D106" s="51">
        <v>2.5890409999999999</v>
      </c>
      <c r="E106" s="51">
        <v>2.5890409999999999</v>
      </c>
      <c r="F106" s="51">
        <v>2.5890409999999999</v>
      </c>
      <c r="G106" s="51">
        <v>2.5890409999999999</v>
      </c>
      <c r="H106" s="51">
        <v>2.5890409999999999</v>
      </c>
      <c r="I106" s="51">
        <v>2.5890409999999999</v>
      </c>
      <c r="J106" s="51">
        <v>2.5890409999999999</v>
      </c>
      <c r="K106" s="51">
        <v>2.5890409999999999</v>
      </c>
      <c r="L106" s="51">
        <v>2.5890409999999999</v>
      </c>
      <c r="M106" s="51">
        <v>2.5890409999999999</v>
      </c>
      <c r="N106" s="51">
        <v>2.5890409999999999</v>
      </c>
      <c r="O106" s="51">
        <v>2.5890409999999999</v>
      </c>
      <c r="P106" s="51">
        <v>2.5890409999999999</v>
      </c>
      <c r="Q106" s="51">
        <v>2.5890409999999999</v>
      </c>
      <c r="R106" s="51">
        <v>2.5890409999999999</v>
      </c>
      <c r="S106" s="51">
        <v>2.5890409999999999</v>
      </c>
      <c r="T106" s="51">
        <v>2.5890409999999999</v>
      </c>
      <c r="U106" s="51">
        <v>2.5890409999999999</v>
      </c>
      <c r="V106" s="51">
        <v>2.5890409999999999</v>
      </c>
      <c r="W106" s="51">
        <v>2.5890409999999999</v>
      </c>
      <c r="X106" s="51">
        <v>2.5890409999999999</v>
      </c>
      <c r="Y106" s="51">
        <v>2.5890409999999999</v>
      </c>
      <c r="Z106" s="51">
        <v>2.5890409999999999</v>
      </c>
      <c r="AA106" s="51">
        <v>2.5890409999999999</v>
      </c>
      <c r="AB106" s="51">
        <v>2.5890409999999999</v>
      </c>
      <c r="AC106" s="51">
        <v>2.5890409999999999</v>
      </c>
      <c r="AD106" s="51">
        <v>2.5890409999999999</v>
      </c>
      <c r="AE106" s="51">
        <v>2.5890409999999999</v>
      </c>
      <c r="AF106" s="51">
        <v>2.5890409999999999</v>
      </c>
      <c r="AG106" s="51">
        <v>2.5890409999999999</v>
      </c>
      <c r="AH106" s="51">
        <v>2.5890409999999999</v>
      </c>
      <c r="AI106" s="51">
        <v>2.5890409999999999</v>
      </c>
      <c r="AJ106" s="51">
        <v>2.5890409999999999</v>
      </c>
      <c r="AK106" s="51">
        <v>2.5890409999999999</v>
      </c>
      <c r="AL106" s="51">
        <v>2.5890409999999999</v>
      </c>
      <c r="AM106" s="51">
        <v>2.5890409999999999</v>
      </c>
      <c r="AN106" s="51">
        <v>2.5890409999999999</v>
      </c>
      <c r="AO106" s="51">
        <v>2.5890409999999999</v>
      </c>
      <c r="AP106" s="51">
        <v>2.5890409999999999</v>
      </c>
      <c r="AQ106" s="51">
        <v>2.5890409999999999</v>
      </c>
      <c r="AR106" s="51">
        <v>2.5890409999999999</v>
      </c>
      <c r="AS106" s="51">
        <v>2.5890409999999999</v>
      </c>
      <c r="AT106" s="51">
        <v>2.5890409999999999</v>
      </c>
      <c r="AU106" s="51">
        <v>2.5890409999999999</v>
      </c>
      <c r="AV106" s="51">
        <v>2.5890409999999999</v>
      </c>
      <c r="AW106" s="51">
        <v>2.5890409999999999</v>
      </c>
      <c r="AX106" s="51">
        <v>2.5890409999999999</v>
      </c>
      <c r="AY106" s="51">
        <v>2.5890409999999999</v>
      </c>
      <c r="AZ106" s="51">
        <v>2.5890409999999999</v>
      </c>
      <c r="BA106" s="51">
        <v>2.5890409999999999</v>
      </c>
      <c r="BB106" s="51">
        <v>2.5890409999999999</v>
      </c>
      <c r="BC106" s="51">
        <v>2.5890409999999999</v>
      </c>
      <c r="BD106" s="51">
        <v>2.5890409999999999</v>
      </c>
      <c r="BE106" s="51">
        <v>2.5890409999999999</v>
      </c>
      <c r="BF106" s="51">
        <v>2.5890409999999999</v>
      </c>
      <c r="BG106" s="51">
        <v>2.5890409999999999</v>
      </c>
      <c r="BH106" s="51">
        <v>2.5890409999999999</v>
      </c>
      <c r="BI106" s="51"/>
      <c r="BJ106" s="50">
        <f t="shared" si="7"/>
        <v>147.57533699999996</v>
      </c>
      <c r="BK106" s="51"/>
      <c r="BL106" s="50"/>
      <c r="BM106" s="51"/>
      <c r="BN106" s="51"/>
      <c r="BO106" s="51"/>
      <c r="BP106" s="51"/>
      <c r="BQ106" s="51"/>
      <c r="BR106" s="51"/>
      <c r="BS106" s="51"/>
      <c r="BT106" s="51"/>
    </row>
    <row r="107" spans="1:72" ht="20.100000000000001" hidden="1" customHeight="1" outlineLevel="1" x14ac:dyDescent="0.25">
      <c r="A107" s="26" t="s">
        <v>282</v>
      </c>
      <c r="B107" s="51">
        <v>0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28.767123000000002</v>
      </c>
      <c r="N107" s="51">
        <v>28.767123000000002</v>
      </c>
      <c r="O107" s="51">
        <v>28.767123000000002</v>
      </c>
      <c r="P107" s="51">
        <v>28.767123000000002</v>
      </c>
      <c r="Q107" s="51">
        <v>28.767123000000002</v>
      </c>
      <c r="R107" s="51">
        <v>28.767123000000002</v>
      </c>
      <c r="S107" s="51">
        <v>28.767123000000002</v>
      </c>
      <c r="T107" s="51">
        <v>28.767123000000002</v>
      </c>
      <c r="U107" s="51">
        <v>28.767123000000002</v>
      </c>
      <c r="V107" s="51">
        <v>28.767123000000002</v>
      </c>
      <c r="W107" s="51">
        <v>28.767123000000002</v>
      </c>
      <c r="X107" s="51">
        <v>28.767123000000002</v>
      </c>
      <c r="Y107" s="51">
        <v>28.767123000000002</v>
      </c>
      <c r="Z107" s="51">
        <v>28.767123000000002</v>
      </c>
      <c r="AA107" s="51">
        <v>28.767123000000002</v>
      </c>
      <c r="AB107" s="51">
        <v>28.767123000000002</v>
      </c>
      <c r="AC107" s="51">
        <v>28.767123000000002</v>
      </c>
      <c r="AD107" s="51">
        <v>28.767123000000002</v>
      </c>
      <c r="AE107" s="51">
        <v>28.767123000000002</v>
      </c>
      <c r="AF107" s="51">
        <v>28.767123000000002</v>
      </c>
      <c r="AG107" s="51">
        <v>28.767123000000002</v>
      </c>
      <c r="AH107" s="51">
        <v>28.767123000000002</v>
      </c>
      <c r="AI107" s="51">
        <v>28.767123000000002</v>
      </c>
      <c r="AJ107" s="51">
        <v>28.767123000000002</v>
      </c>
      <c r="AK107" s="51">
        <v>28.767123000000002</v>
      </c>
      <c r="AL107" s="51">
        <v>28.767123000000002</v>
      </c>
      <c r="AM107" s="51">
        <v>28.767123000000002</v>
      </c>
      <c r="AN107" s="51">
        <v>28.767123000000002</v>
      </c>
      <c r="AO107" s="51">
        <v>28.767123000000002</v>
      </c>
      <c r="AP107" s="51">
        <v>28.767123000000002</v>
      </c>
      <c r="AQ107" s="51">
        <v>28.767123000000002</v>
      </c>
      <c r="AR107" s="51">
        <v>28.767123000000002</v>
      </c>
      <c r="AS107" s="51">
        <v>28.767123000000002</v>
      </c>
      <c r="AT107" s="51">
        <v>28.767123000000002</v>
      </c>
      <c r="AU107" s="51">
        <v>28.767123000000002</v>
      </c>
      <c r="AV107" s="51">
        <v>28.767123000000002</v>
      </c>
      <c r="AW107" s="51">
        <v>28.767123000000002</v>
      </c>
      <c r="AX107" s="51">
        <v>28.767123000000002</v>
      </c>
      <c r="AY107" s="51">
        <v>28.767123000000002</v>
      </c>
      <c r="AZ107" s="51">
        <v>28.767123000000002</v>
      </c>
      <c r="BA107" s="51">
        <v>28.767123000000002</v>
      </c>
      <c r="BB107" s="51">
        <v>28.767123000000002</v>
      </c>
      <c r="BC107" s="51">
        <v>28.767123000000002</v>
      </c>
      <c r="BD107" s="51">
        <v>28.767123000000002</v>
      </c>
      <c r="BE107" s="51">
        <v>28.767123000000002</v>
      </c>
      <c r="BF107" s="51">
        <v>28.767123000000002</v>
      </c>
      <c r="BG107" s="51">
        <v>28.767123000000002</v>
      </c>
      <c r="BH107" s="51">
        <v>28.767123000000002</v>
      </c>
      <c r="BI107" s="51"/>
      <c r="BJ107" s="50">
        <f t="shared" si="7"/>
        <v>1380.8219040000008</v>
      </c>
      <c r="BK107" s="51"/>
      <c r="BL107" s="50"/>
      <c r="BM107" s="51"/>
      <c r="BN107" s="51"/>
      <c r="BO107" s="51"/>
      <c r="BP107" s="51"/>
      <c r="BQ107" s="51"/>
      <c r="BR107" s="51"/>
      <c r="BS107" s="51"/>
      <c r="BT107" s="51"/>
    </row>
    <row r="108" spans="1:72" s="45" customFormat="1" ht="24" customHeight="1" collapsed="1" x14ac:dyDescent="0.25">
      <c r="A108" s="47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J108" s="22"/>
      <c r="BL108" s="22"/>
    </row>
    <row r="109" spans="1:72" s="45" customFormat="1" ht="24" customHeight="1" x14ac:dyDescent="0.25">
      <c r="A109" s="47" t="s">
        <v>276</v>
      </c>
      <c r="B109" s="49">
        <f>SUM(B68:B108)</f>
        <v>3001.7783020000002</v>
      </c>
      <c r="C109" s="49">
        <f t="shared" ref="C109:BH109" si="8">SUM(C68:C108)</f>
        <v>3019.0385760000004</v>
      </c>
      <c r="D109" s="49">
        <f t="shared" si="8"/>
        <v>3021.6276170000006</v>
      </c>
      <c r="E109" s="49">
        <f t="shared" si="8"/>
        <v>3021.6276170000006</v>
      </c>
      <c r="F109" s="49">
        <f t="shared" si="8"/>
        <v>3021.6276170000006</v>
      </c>
      <c r="G109" s="49">
        <f t="shared" si="8"/>
        <v>3021.6276170000006</v>
      </c>
      <c r="H109" s="49">
        <f t="shared" si="8"/>
        <v>3021.6276170000006</v>
      </c>
      <c r="I109" s="49">
        <f t="shared" si="8"/>
        <v>3021.6276170000006</v>
      </c>
      <c r="J109" s="49">
        <f t="shared" si="8"/>
        <v>3021.6276170000006</v>
      </c>
      <c r="K109" s="49">
        <f t="shared" si="8"/>
        <v>3021.6276170000006</v>
      </c>
      <c r="L109" s="49">
        <f t="shared" si="8"/>
        <v>3021.6276170000006</v>
      </c>
      <c r="M109" s="49">
        <f t="shared" si="8"/>
        <v>3050.3947400000006</v>
      </c>
      <c r="N109" s="49">
        <f t="shared" si="8"/>
        <v>3050.3947400000006</v>
      </c>
      <c r="O109" s="49">
        <f t="shared" si="8"/>
        <v>3050.3947400000006</v>
      </c>
      <c r="P109" s="49">
        <f t="shared" si="8"/>
        <v>3050.3947400000006</v>
      </c>
      <c r="Q109" s="49">
        <f t="shared" si="8"/>
        <v>3050.3947400000006</v>
      </c>
      <c r="R109" s="49">
        <f t="shared" si="8"/>
        <v>3050.3947400000006</v>
      </c>
      <c r="S109" s="49">
        <f t="shared" si="8"/>
        <v>3050.3947400000006</v>
      </c>
      <c r="T109" s="49">
        <f t="shared" si="8"/>
        <v>3050.3947400000006</v>
      </c>
      <c r="U109" s="49">
        <f t="shared" si="8"/>
        <v>3050.3947400000006</v>
      </c>
      <c r="V109" s="49">
        <f t="shared" si="8"/>
        <v>3050.3947400000006</v>
      </c>
      <c r="W109" s="49">
        <f t="shared" si="8"/>
        <v>3050.3947400000006</v>
      </c>
      <c r="X109" s="49">
        <f t="shared" si="8"/>
        <v>3050.3947400000006</v>
      </c>
      <c r="Y109" s="49">
        <f t="shared" si="8"/>
        <v>3050.3947400000006</v>
      </c>
      <c r="Z109" s="49">
        <f t="shared" si="8"/>
        <v>3050.3947400000006</v>
      </c>
      <c r="AA109" s="49">
        <f t="shared" si="8"/>
        <v>3050.3947400000006</v>
      </c>
      <c r="AB109" s="49">
        <f t="shared" si="8"/>
        <v>3050.3947400000006</v>
      </c>
      <c r="AC109" s="49">
        <f t="shared" si="8"/>
        <v>3050.3947400000006</v>
      </c>
      <c r="AD109" s="49">
        <f t="shared" si="8"/>
        <v>3050.3947400000006</v>
      </c>
      <c r="AE109" s="49">
        <f t="shared" si="8"/>
        <v>3050.3947400000006</v>
      </c>
      <c r="AF109" s="49">
        <f t="shared" si="8"/>
        <v>3050.3947400000006</v>
      </c>
      <c r="AG109" s="49">
        <f t="shared" si="8"/>
        <v>3050.3947400000006</v>
      </c>
      <c r="AH109" s="49">
        <f t="shared" si="8"/>
        <v>3050.3947400000006</v>
      </c>
      <c r="AI109" s="49">
        <f t="shared" si="8"/>
        <v>3050.3947400000006</v>
      </c>
      <c r="AJ109" s="49">
        <f t="shared" si="8"/>
        <v>3050.3947400000006</v>
      </c>
      <c r="AK109" s="49">
        <f t="shared" si="8"/>
        <v>3050.3947400000006</v>
      </c>
      <c r="AL109" s="49">
        <f t="shared" si="8"/>
        <v>3050.3947400000006</v>
      </c>
      <c r="AM109" s="49">
        <f t="shared" si="8"/>
        <v>3050.3947400000006</v>
      </c>
      <c r="AN109" s="49">
        <f t="shared" si="8"/>
        <v>3050.3947400000006</v>
      </c>
      <c r="AO109" s="49">
        <f t="shared" si="8"/>
        <v>3050.3947400000006</v>
      </c>
      <c r="AP109" s="49">
        <f t="shared" si="8"/>
        <v>3050.3947400000006</v>
      </c>
      <c r="AQ109" s="49">
        <f t="shared" si="8"/>
        <v>3050.3947400000006</v>
      </c>
      <c r="AR109" s="49">
        <f t="shared" si="8"/>
        <v>3050.3947400000006</v>
      </c>
      <c r="AS109" s="49">
        <f t="shared" si="8"/>
        <v>3050.3947400000006</v>
      </c>
      <c r="AT109" s="49">
        <f t="shared" si="8"/>
        <v>3050.3947400000006</v>
      </c>
      <c r="AU109" s="49">
        <f t="shared" si="8"/>
        <v>3050.3947400000006</v>
      </c>
      <c r="AV109" s="49">
        <f t="shared" si="8"/>
        <v>3050.3947400000006</v>
      </c>
      <c r="AW109" s="49">
        <f t="shared" si="8"/>
        <v>3050.3947400000006</v>
      </c>
      <c r="AX109" s="49">
        <f t="shared" si="8"/>
        <v>3050.3947400000006</v>
      </c>
      <c r="AY109" s="49">
        <f t="shared" si="8"/>
        <v>3050.3947400000006</v>
      </c>
      <c r="AZ109" s="49">
        <f t="shared" si="8"/>
        <v>3050.3947400000006</v>
      </c>
      <c r="BA109" s="49">
        <f t="shared" si="8"/>
        <v>3050.3947400000006</v>
      </c>
      <c r="BB109" s="49">
        <f t="shared" si="8"/>
        <v>3050.3947400000006</v>
      </c>
      <c r="BC109" s="49">
        <f t="shared" si="8"/>
        <v>3050.3947400000006</v>
      </c>
      <c r="BD109" s="49">
        <f t="shared" si="8"/>
        <v>3050.3947400000006</v>
      </c>
      <c r="BE109" s="49">
        <f t="shared" si="8"/>
        <v>3050.3947400000006</v>
      </c>
      <c r="BF109" s="49">
        <f t="shared" si="8"/>
        <v>3050.3947400000006</v>
      </c>
      <c r="BG109" s="49">
        <f t="shared" si="8"/>
        <v>3050.3947400000006</v>
      </c>
      <c r="BH109" s="49">
        <f t="shared" si="8"/>
        <v>3050.3947400000006</v>
      </c>
      <c r="BJ109" s="22">
        <f>SUM(B109:BI109)</f>
        <v>179634.41295099995</v>
      </c>
      <c r="BL109" s="22"/>
    </row>
    <row r="110" spans="1:72" s="45" customFormat="1" ht="24" customHeight="1" x14ac:dyDescent="0.25">
      <c r="A110" s="28" t="s">
        <v>284</v>
      </c>
      <c r="B110" s="46">
        <v>0.01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</row>
    <row r="111" spans="1:72" ht="21" customHeight="1" x14ac:dyDescent="0.25">
      <c r="A111" s="34" t="s">
        <v>102</v>
      </c>
      <c r="B111" s="35">
        <f>+$B$110/365*B$57</f>
        <v>285.88367506849318</v>
      </c>
      <c r="C111" s="35">
        <f t="shared" ref="C111:BH111" si="9">+$B$110/365*C$57</f>
        <v>285.98856461055703</v>
      </c>
      <c r="D111" s="35">
        <f t="shared" si="9"/>
        <v>287.73732825259992</v>
      </c>
      <c r="E111" s="35">
        <f t="shared" si="9"/>
        <v>288.08947323484267</v>
      </c>
      <c r="F111" s="35">
        <f t="shared" si="9"/>
        <v>288.19517207516219</v>
      </c>
      <c r="G111" s="35">
        <f t="shared" si="9"/>
        <v>288.30090969595057</v>
      </c>
      <c r="H111" s="35">
        <f t="shared" si="9"/>
        <v>288.40668611143622</v>
      </c>
      <c r="I111" s="35">
        <f t="shared" si="9"/>
        <v>288.51250133585273</v>
      </c>
      <c r="J111" s="35">
        <f t="shared" si="9"/>
        <v>288.61835538343894</v>
      </c>
      <c r="K111" s="35">
        <f t="shared" si="9"/>
        <v>288.72424826843888</v>
      </c>
      <c r="L111" s="35">
        <f t="shared" si="9"/>
        <v>288.83018000510191</v>
      </c>
      <c r="M111" s="35">
        <f t="shared" si="9"/>
        <v>288.93615060768252</v>
      </c>
      <c r="N111" s="35">
        <f t="shared" si="9"/>
        <v>291.78188611783764</v>
      </c>
      <c r="O111" s="35">
        <f t="shared" si="9"/>
        <v>291.88893968922508</v>
      </c>
      <c r="P111" s="35">
        <f t="shared" si="9"/>
        <v>291.99603253812654</v>
      </c>
      <c r="Q111" s="35">
        <f t="shared" si="9"/>
        <v>292.10316467895291</v>
      </c>
      <c r="R111" s="35">
        <f t="shared" si="9"/>
        <v>292.21033612612013</v>
      </c>
      <c r="S111" s="35">
        <f t="shared" si="9"/>
        <v>292.3175468940496</v>
      </c>
      <c r="T111" s="35">
        <f t="shared" si="9"/>
        <v>292.42479699716802</v>
      </c>
      <c r="U111" s="35">
        <f t="shared" si="9"/>
        <v>292.53208644990718</v>
      </c>
      <c r="V111" s="35">
        <f t="shared" si="9"/>
        <v>292.6394152667043</v>
      </c>
      <c r="W111" s="35">
        <f t="shared" si="9"/>
        <v>292.74678346200199</v>
      </c>
      <c r="X111" s="35">
        <f t="shared" si="9"/>
        <v>292.85419105024795</v>
      </c>
      <c r="Y111" s="35">
        <f t="shared" si="9"/>
        <v>292.96163804589537</v>
      </c>
      <c r="Z111" s="35">
        <f t="shared" si="9"/>
        <v>293.0691244634026</v>
      </c>
      <c r="AA111" s="35">
        <f t="shared" si="9"/>
        <v>293.1766503172334</v>
      </c>
      <c r="AB111" s="35">
        <f t="shared" si="9"/>
        <v>293.28421562185679</v>
      </c>
      <c r="AC111" s="35">
        <f t="shared" si="9"/>
        <v>293.3918203917471</v>
      </c>
      <c r="AD111" s="35">
        <f t="shared" si="9"/>
        <v>293.49946464138395</v>
      </c>
      <c r="AE111" s="35">
        <f t="shared" si="9"/>
        <v>293.60714838525234</v>
      </c>
      <c r="AF111" s="35">
        <f t="shared" si="9"/>
        <v>293.71487163784252</v>
      </c>
      <c r="AG111" s="35">
        <f t="shared" si="9"/>
        <v>293.82263441365006</v>
      </c>
      <c r="AH111" s="35">
        <f t="shared" si="9"/>
        <v>293.93043672717596</v>
      </c>
      <c r="AI111" s="35">
        <f t="shared" si="9"/>
        <v>294.0382785929263</v>
      </c>
      <c r="AJ111" s="35">
        <f t="shared" si="9"/>
        <v>294.14616002541271</v>
      </c>
      <c r="AK111" s="35">
        <f t="shared" si="9"/>
        <v>294.25408103915203</v>
      </c>
      <c r="AL111" s="35">
        <f t="shared" si="9"/>
        <v>294.36204164866649</v>
      </c>
      <c r="AM111" s="35">
        <f t="shared" si="9"/>
        <v>294.47004186848358</v>
      </c>
      <c r="AN111" s="35">
        <f t="shared" si="9"/>
        <v>294.57808171313621</v>
      </c>
      <c r="AO111" s="35">
        <f t="shared" si="9"/>
        <v>294.68616119716251</v>
      </c>
      <c r="AP111" s="35">
        <f t="shared" si="9"/>
        <v>294.79428033510601</v>
      </c>
      <c r="AQ111" s="35">
        <f t="shared" si="9"/>
        <v>294.90243914151557</v>
      </c>
      <c r="AR111" s="35">
        <f t="shared" si="9"/>
        <v>295.01063763094544</v>
      </c>
      <c r="AS111" s="35">
        <f t="shared" si="9"/>
        <v>295.11887581795514</v>
      </c>
      <c r="AT111" s="35">
        <f t="shared" si="9"/>
        <v>295.22715371710956</v>
      </c>
      <c r="AU111" s="35">
        <f t="shared" si="9"/>
        <v>295.33547134297891</v>
      </c>
      <c r="AV111" s="35">
        <f t="shared" si="9"/>
        <v>295.44382871013863</v>
      </c>
      <c r="AW111" s="35">
        <f t="shared" si="9"/>
        <v>295.55222583316981</v>
      </c>
      <c r="AX111" s="35">
        <f t="shared" si="9"/>
        <v>295.6606627266587</v>
      </c>
      <c r="AY111" s="35">
        <f t="shared" si="9"/>
        <v>295.76913940519682</v>
      </c>
      <c r="AZ111" s="35">
        <f t="shared" si="9"/>
        <v>295.87765588338118</v>
      </c>
      <c r="BA111" s="35">
        <f t="shared" si="9"/>
        <v>295.9862121758141</v>
      </c>
      <c r="BB111" s="35">
        <f t="shared" si="9"/>
        <v>296.09480829710333</v>
      </c>
      <c r="BC111" s="35">
        <f t="shared" si="9"/>
        <v>296.20344426186182</v>
      </c>
      <c r="BD111" s="35">
        <f t="shared" si="9"/>
        <v>296.31212008470806</v>
      </c>
      <c r="BE111" s="35">
        <f t="shared" si="9"/>
        <v>296.42083578026569</v>
      </c>
      <c r="BF111" s="35">
        <f t="shared" si="9"/>
        <v>296.529591363164</v>
      </c>
      <c r="BG111" s="35">
        <f t="shared" si="9"/>
        <v>296.63838684803744</v>
      </c>
      <c r="BH111" s="35">
        <f t="shared" si="9"/>
        <v>296.74722224952581</v>
      </c>
      <c r="BJ111" s="22">
        <f>SUM(B111:BI111)</f>
        <v>17286.336266254915</v>
      </c>
      <c r="BL111" s="22"/>
    </row>
    <row r="112" spans="1:72" s="45" customFormat="1" ht="24" customHeight="1" x14ac:dyDescent="0.25">
      <c r="A112" s="28" t="s">
        <v>285</v>
      </c>
      <c r="B112" s="46">
        <v>0.02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</row>
    <row r="113" spans="1:64" ht="21" customHeight="1" x14ac:dyDescent="0.25">
      <c r="A113" s="34" t="s">
        <v>103</v>
      </c>
      <c r="B113" s="52">
        <f>$B$112/365*B$57</f>
        <v>571.76735013698635</v>
      </c>
      <c r="C113" s="52">
        <f t="shared" ref="C113:BH113" si="10">$B$112/365*C$57</f>
        <v>571.97712922111407</v>
      </c>
      <c r="D113" s="52">
        <f t="shared" si="10"/>
        <v>575.47465650519985</v>
      </c>
      <c r="E113" s="52">
        <f t="shared" si="10"/>
        <v>576.17894646968534</v>
      </c>
      <c r="F113" s="52">
        <f t="shared" si="10"/>
        <v>576.39034415032438</v>
      </c>
      <c r="G113" s="52">
        <f t="shared" si="10"/>
        <v>576.60181939190113</v>
      </c>
      <c r="H113" s="52">
        <f t="shared" si="10"/>
        <v>576.81337222287243</v>
      </c>
      <c r="I113" s="52">
        <f t="shared" si="10"/>
        <v>577.02500267170547</v>
      </c>
      <c r="J113" s="52">
        <f t="shared" si="10"/>
        <v>577.23671076687788</v>
      </c>
      <c r="K113" s="52">
        <f t="shared" si="10"/>
        <v>577.44849653687777</v>
      </c>
      <c r="L113" s="52">
        <f t="shared" si="10"/>
        <v>577.66036001020382</v>
      </c>
      <c r="M113" s="52">
        <f t="shared" si="10"/>
        <v>577.87230121536504</v>
      </c>
      <c r="N113" s="52">
        <f t="shared" si="10"/>
        <v>583.56377223567529</v>
      </c>
      <c r="O113" s="52">
        <f t="shared" si="10"/>
        <v>583.77787937845017</v>
      </c>
      <c r="P113" s="52">
        <f t="shared" si="10"/>
        <v>583.99206507625308</v>
      </c>
      <c r="Q113" s="52">
        <f t="shared" si="10"/>
        <v>584.20632935790582</v>
      </c>
      <c r="R113" s="52">
        <f t="shared" si="10"/>
        <v>584.42067225224025</v>
      </c>
      <c r="S113" s="52">
        <f t="shared" si="10"/>
        <v>584.6350937880992</v>
      </c>
      <c r="T113" s="52">
        <f t="shared" si="10"/>
        <v>584.84959399433603</v>
      </c>
      <c r="U113" s="52">
        <f t="shared" si="10"/>
        <v>585.06417289981437</v>
      </c>
      <c r="V113" s="52">
        <f t="shared" si="10"/>
        <v>585.27883053340861</v>
      </c>
      <c r="W113" s="52">
        <f t="shared" si="10"/>
        <v>585.49356692400397</v>
      </c>
      <c r="X113" s="52">
        <f t="shared" si="10"/>
        <v>585.7083821004959</v>
      </c>
      <c r="Y113" s="52">
        <f t="shared" si="10"/>
        <v>585.92327609179074</v>
      </c>
      <c r="Z113" s="52">
        <f t="shared" si="10"/>
        <v>586.1382489268052</v>
      </c>
      <c r="AA113" s="52">
        <f t="shared" si="10"/>
        <v>586.35330063446679</v>
      </c>
      <c r="AB113" s="52">
        <f t="shared" si="10"/>
        <v>586.56843124371358</v>
      </c>
      <c r="AC113" s="52">
        <f t="shared" si="10"/>
        <v>586.78364078349421</v>
      </c>
      <c r="AD113" s="52">
        <f t="shared" si="10"/>
        <v>586.9989292827679</v>
      </c>
      <c r="AE113" s="52">
        <f t="shared" si="10"/>
        <v>587.21429677050469</v>
      </c>
      <c r="AF113" s="52">
        <f t="shared" si="10"/>
        <v>587.42974327568504</v>
      </c>
      <c r="AG113" s="52">
        <f t="shared" si="10"/>
        <v>587.64526882730013</v>
      </c>
      <c r="AH113" s="52">
        <f t="shared" si="10"/>
        <v>587.86087345435192</v>
      </c>
      <c r="AI113" s="52">
        <f t="shared" si="10"/>
        <v>588.07655718585261</v>
      </c>
      <c r="AJ113" s="52">
        <f t="shared" si="10"/>
        <v>588.29232005082542</v>
      </c>
      <c r="AK113" s="52">
        <f t="shared" si="10"/>
        <v>588.50816207830405</v>
      </c>
      <c r="AL113" s="52">
        <f t="shared" si="10"/>
        <v>588.72408329733298</v>
      </c>
      <c r="AM113" s="52">
        <f t="shared" si="10"/>
        <v>588.94008373696715</v>
      </c>
      <c r="AN113" s="52">
        <f t="shared" si="10"/>
        <v>589.15616342627243</v>
      </c>
      <c r="AO113" s="52">
        <f t="shared" si="10"/>
        <v>589.37232239432501</v>
      </c>
      <c r="AP113" s="52">
        <f t="shared" si="10"/>
        <v>589.58856067021202</v>
      </c>
      <c r="AQ113" s="52">
        <f t="shared" si="10"/>
        <v>589.80487828303114</v>
      </c>
      <c r="AR113" s="52">
        <f t="shared" si="10"/>
        <v>590.02127526189088</v>
      </c>
      <c r="AS113" s="52">
        <f t="shared" si="10"/>
        <v>590.23775163591029</v>
      </c>
      <c r="AT113" s="52">
        <f t="shared" si="10"/>
        <v>590.45430743421912</v>
      </c>
      <c r="AU113" s="52">
        <f t="shared" si="10"/>
        <v>590.67094268595781</v>
      </c>
      <c r="AV113" s="52">
        <f t="shared" si="10"/>
        <v>590.88765742027726</v>
      </c>
      <c r="AW113" s="52">
        <f t="shared" si="10"/>
        <v>591.10445166633963</v>
      </c>
      <c r="AX113" s="52">
        <f t="shared" si="10"/>
        <v>591.3213254533174</v>
      </c>
      <c r="AY113" s="52">
        <f t="shared" si="10"/>
        <v>591.53827881039365</v>
      </c>
      <c r="AZ113" s="52">
        <f t="shared" si="10"/>
        <v>591.75531176676236</v>
      </c>
      <c r="BA113" s="52">
        <f t="shared" si="10"/>
        <v>591.97242435162821</v>
      </c>
      <c r="BB113" s="52">
        <f t="shared" si="10"/>
        <v>592.18961659420665</v>
      </c>
      <c r="BC113" s="52">
        <f t="shared" si="10"/>
        <v>592.40688852372364</v>
      </c>
      <c r="BD113" s="52">
        <f t="shared" si="10"/>
        <v>592.62424016941611</v>
      </c>
      <c r="BE113" s="52">
        <f t="shared" si="10"/>
        <v>592.84167156053138</v>
      </c>
      <c r="BF113" s="52">
        <f t="shared" si="10"/>
        <v>593.059182726328</v>
      </c>
      <c r="BG113" s="52">
        <f t="shared" si="10"/>
        <v>593.27677369607488</v>
      </c>
      <c r="BH113" s="52">
        <f t="shared" si="10"/>
        <v>593.49444449905161</v>
      </c>
      <c r="BJ113" s="22">
        <f>SUM(B113:BI113)</f>
        <v>34572.67253250983</v>
      </c>
      <c r="BL113" s="22"/>
    </row>
    <row r="114" spans="1:64" s="45" customFormat="1" ht="24" customHeight="1" x14ac:dyDescent="0.25">
      <c r="A114" s="28" t="s">
        <v>286</v>
      </c>
      <c r="B114" s="46">
        <v>0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</row>
    <row r="115" spans="1:64" ht="21" customHeight="1" x14ac:dyDescent="0.25">
      <c r="A115" s="34" t="s">
        <v>104</v>
      </c>
      <c r="B115" s="52">
        <f>$B$114/365*B$57</f>
        <v>0</v>
      </c>
      <c r="C115" s="52">
        <f>$B$114/365*C$57</f>
        <v>0</v>
      </c>
      <c r="D115" s="52">
        <f t="shared" ref="D115:BH115" si="11">$B$114/365*D$57</f>
        <v>0</v>
      </c>
      <c r="E115" s="52">
        <f t="shared" si="11"/>
        <v>0</v>
      </c>
      <c r="F115" s="52">
        <f t="shared" si="11"/>
        <v>0</v>
      </c>
      <c r="G115" s="52">
        <f t="shared" si="11"/>
        <v>0</v>
      </c>
      <c r="H115" s="52">
        <f t="shared" si="11"/>
        <v>0</v>
      </c>
      <c r="I115" s="52">
        <f t="shared" si="11"/>
        <v>0</v>
      </c>
      <c r="J115" s="52">
        <f t="shared" si="11"/>
        <v>0</v>
      </c>
      <c r="K115" s="52">
        <f t="shared" si="11"/>
        <v>0</v>
      </c>
      <c r="L115" s="52">
        <f t="shared" si="11"/>
        <v>0</v>
      </c>
      <c r="M115" s="52">
        <f t="shared" si="11"/>
        <v>0</v>
      </c>
      <c r="N115" s="52">
        <f t="shared" si="11"/>
        <v>0</v>
      </c>
      <c r="O115" s="52">
        <f t="shared" si="11"/>
        <v>0</v>
      </c>
      <c r="P115" s="52">
        <f t="shared" si="11"/>
        <v>0</v>
      </c>
      <c r="Q115" s="52">
        <f t="shared" si="11"/>
        <v>0</v>
      </c>
      <c r="R115" s="52">
        <f t="shared" si="11"/>
        <v>0</v>
      </c>
      <c r="S115" s="52">
        <f t="shared" si="11"/>
        <v>0</v>
      </c>
      <c r="T115" s="52">
        <f t="shared" si="11"/>
        <v>0</v>
      </c>
      <c r="U115" s="52">
        <f t="shared" si="11"/>
        <v>0</v>
      </c>
      <c r="V115" s="52">
        <f t="shared" si="11"/>
        <v>0</v>
      </c>
      <c r="W115" s="52">
        <f t="shared" si="11"/>
        <v>0</v>
      </c>
      <c r="X115" s="52">
        <f t="shared" si="11"/>
        <v>0</v>
      </c>
      <c r="Y115" s="52">
        <f t="shared" si="11"/>
        <v>0</v>
      </c>
      <c r="Z115" s="52">
        <f t="shared" si="11"/>
        <v>0</v>
      </c>
      <c r="AA115" s="52">
        <f t="shared" si="11"/>
        <v>0</v>
      </c>
      <c r="AB115" s="52">
        <f t="shared" si="11"/>
        <v>0</v>
      </c>
      <c r="AC115" s="52">
        <f t="shared" si="11"/>
        <v>0</v>
      </c>
      <c r="AD115" s="52">
        <f t="shared" si="11"/>
        <v>0</v>
      </c>
      <c r="AE115" s="52">
        <f t="shared" si="11"/>
        <v>0</v>
      </c>
      <c r="AF115" s="52">
        <f t="shared" si="11"/>
        <v>0</v>
      </c>
      <c r="AG115" s="52">
        <f t="shared" si="11"/>
        <v>0</v>
      </c>
      <c r="AH115" s="52">
        <f t="shared" si="11"/>
        <v>0</v>
      </c>
      <c r="AI115" s="52">
        <f t="shared" si="11"/>
        <v>0</v>
      </c>
      <c r="AJ115" s="52">
        <f t="shared" si="11"/>
        <v>0</v>
      </c>
      <c r="AK115" s="52">
        <f t="shared" si="11"/>
        <v>0</v>
      </c>
      <c r="AL115" s="52">
        <f t="shared" si="11"/>
        <v>0</v>
      </c>
      <c r="AM115" s="52">
        <f t="shared" si="11"/>
        <v>0</v>
      </c>
      <c r="AN115" s="52">
        <f t="shared" si="11"/>
        <v>0</v>
      </c>
      <c r="AO115" s="52">
        <f t="shared" si="11"/>
        <v>0</v>
      </c>
      <c r="AP115" s="52">
        <f t="shared" si="11"/>
        <v>0</v>
      </c>
      <c r="AQ115" s="52">
        <f t="shared" si="11"/>
        <v>0</v>
      </c>
      <c r="AR115" s="52">
        <f t="shared" si="11"/>
        <v>0</v>
      </c>
      <c r="AS115" s="52">
        <f t="shared" si="11"/>
        <v>0</v>
      </c>
      <c r="AT115" s="52">
        <f t="shared" si="11"/>
        <v>0</v>
      </c>
      <c r="AU115" s="52">
        <f t="shared" si="11"/>
        <v>0</v>
      </c>
      <c r="AV115" s="52">
        <f t="shared" si="11"/>
        <v>0</v>
      </c>
      <c r="AW115" s="52">
        <f t="shared" si="11"/>
        <v>0</v>
      </c>
      <c r="AX115" s="52">
        <f t="shared" si="11"/>
        <v>0</v>
      </c>
      <c r="AY115" s="52">
        <f t="shared" si="11"/>
        <v>0</v>
      </c>
      <c r="AZ115" s="52">
        <f t="shared" si="11"/>
        <v>0</v>
      </c>
      <c r="BA115" s="52">
        <f t="shared" si="11"/>
        <v>0</v>
      </c>
      <c r="BB115" s="52">
        <f t="shared" si="11"/>
        <v>0</v>
      </c>
      <c r="BC115" s="52">
        <f t="shared" si="11"/>
        <v>0</v>
      </c>
      <c r="BD115" s="52">
        <f t="shared" si="11"/>
        <v>0</v>
      </c>
      <c r="BE115" s="52">
        <f t="shared" si="11"/>
        <v>0</v>
      </c>
      <c r="BF115" s="52">
        <f t="shared" si="11"/>
        <v>0</v>
      </c>
      <c r="BG115" s="52">
        <f t="shared" si="11"/>
        <v>0</v>
      </c>
      <c r="BH115" s="52">
        <f t="shared" si="11"/>
        <v>0</v>
      </c>
      <c r="BJ115" s="22">
        <f>SUM(B115:BI115)</f>
        <v>0</v>
      </c>
      <c r="BL115" s="22"/>
    </row>
    <row r="116" spans="1:64" s="45" customFormat="1" ht="24" customHeight="1" x14ac:dyDescent="0.25">
      <c r="A116" s="47" t="s">
        <v>287</v>
      </c>
      <c r="B116" s="49">
        <f>+B109+B111+B113+B115</f>
        <v>3859.4293272054797</v>
      </c>
      <c r="C116" s="49">
        <f t="shared" ref="C116:BH116" si="12">+C109+C111+C113+C115</f>
        <v>3877.0042698316715</v>
      </c>
      <c r="D116" s="49">
        <f t="shared" si="12"/>
        <v>3884.8396017578007</v>
      </c>
      <c r="E116" s="49">
        <f t="shared" si="12"/>
        <v>3885.8960367045288</v>
      </c>
      <c r="F116" s="49">
        <f t="shared" si="12"/>
        <v>3886.2131332254871</v>
      </c>
      <c r="G116" s="49">
        <f t="shared" si="12"/>
        <v>3886.5303460878522</v>
      </c>
      <c r="H116" s="49">
        <f t="shared" si="12"/>
        <v>3886.8476753343093</v>
      </c>
      <c r="I116" s="49">
        <f t="shared" si="12"/>
        <v>3887.1651210075588</v>
      </c>
      <c r="J116" s="49">
        <f t="shared" si="12"/>
        <v>3887.4826831503174</v>
      </c>
      <c r="K116" s="49">
        <f t="shared" si="12"/>
        <v>3887.8003618053172</v>
      </c>
      <c r="L116" s="49">
        <f t="shared" si="12"/>
        <v>3888.1181570153062</v>
      </c>
      <c r="M116" s="49">
        <f t="shared" si="12"/>
        <v>3917.2031918230482</v>
      </c>
      <c r="N116" s="49">
        <f t="shared" si="12"/>
        <v>3925.7403983535132</v>
      </c>
      <c r="O116" s="49">
        <f t="shared" si="12"/>
        <v>3926.0615590676757</v>
      </c>
      <c r="P116" s="49">
        <f t="shared" si="12"/>
        <v>3926.3828376143802</v>
      </c>
      <c r="Q116" s="49">
        <f t="shared" si="12"/>
        <v>3926.7042340368594</v>
      </c>
      <c r="R116" s="49">
        <f t="shared" si="12"/>
        <v>3927.0257483783612</v>
      </c>
      <c r="S116" s="49">
        <f t="shared" si="12"/>
        <v>3927.3473806821494</v>
      </c>
      <c r="T116" s="49">
        <f t="shared" si="12"/>
        <v>3927.6691309915045</v>
      </c>
      <c r="U116" s="49">
        <f t="shared" si="12"/>
        <v>3927.9909993497222</v>
      </c>
      <c r="V116" s="49">
        <f t="shared" si="12"/>
        <v>3928.3129858001139</v>
      </c>
      <c r="W116" s="49">
        <f t="shared" si="12"/>
        <v>3928.6350903860066</v>
      </c>
      <c r="X116" s="49">
        <f t="shared" si="12"/>
        <v>3928.9573131507445</v>
      </c>
      <c r="Y116" s="49">
        <f t="shared" si="12"/>
        <v>3929.279654137687</v>
      </c>
      <c r="Z116" s="49">
        <f t="shared" si="12"/>
        <v>3929.6021133902086</v>
      </c>
      <c r="AA116" s="49">
        <f t="shared" si="12"/>
        <v>3929.924690951701</v>
      </c>
      <c r="AB116" s="49">
        <f t="shared" si="12"/>
        <v>3930.2473868655707</v>
      </c>
      <c r="AC116" s="49">
        <f t="shared" si="12"/>
        <v>3930.5702011752419</v>
      </c>
      <c r="AD116" s="49">
        <f t="shared" si="12"/>
        <v>3930.8931339241526</v>
      </c>
      <c r="AE116" s="49">
        <f t="shared" si="12"/>
        <v>3931.2161851557576</v>
      </c>
      <c r="AF116" s="49">
        <f t="shared" si="12"/>
        <v>3931.5393549135279</v>
      </c>
      <c r="AG116" s="49">
        <f t="shared" si="12"/>
        <v>3931.862643240951</v>
      </c>
      <c r="AH116" s="49">
        <f t="shared" si="12"/>
        <v>3932.1860501815286</v>
      </c>
      <c r="AI116" s="49">
        <f t="shared" si="12"/>
        <v>3932.5095757787794</v>
      </c>
      <c r="AJ116" s="49">
        <f t="shared" si="12"/>
        <v>3932.8332200762388</v>
      </c>
      <c r="AK116" s="49">
        <f t="shared" si="12"/>
        <v>3933.1569831174565</v>
      </c>
      <c r="AL116" s="49">
        <f t="shared" si="12"/>
        <v>3933.4808649460001</v>
      </c>
      <c r="AM116" s="49">
        <f t="shared" si="12"/>
        <v>3933.8048656054511</v>
      </c>
      <c r="AN116" s="49">
        <f t="shared" si="12"/>
        <v>3934.1289851394095</v>
      </c>
      <c r="AO116" s="49">
        <f t="shared" si="12"/>
        <v>3934.4532235914885</v>
      </c>
      <c r="AP116" s="49">
        <f t="shared" si="12"/>
        <v>3934.777581005319</v>
      </c>
      <c r="AQ116" s="49">
        <f t="shared" si="12"/>
        <v>3935.1020574245472</v>
      </c>
      <c r="AR116" s="49">
        <f t="shared" si="12"/>
        <v>3935.426652892837</v>
      </c>
      <c r="AS116" s="49">
        <f t="shared" si="12"/>
        <v>3935.7513674538659</v>
      </c>
      <c r="AT116" s="49">
        <f t="shared" si="12"/>
        <v>3936.0762011513293</v>
      </c>
      <c r="AU116" s="49">
        <f t="shared" si="12"/>
        <v>3936.4011540289375</v>
      </c>
      <c r="AV116" s="49">
        <f t="shared" si="12"/>
        <v>3936.7262261304163</v>
      </c>
      <c r="AW116" s="49">
        <f t="shared" si="12"/>
        <v>3937.0514174995101</v>
      </c>
      <c r="AX116" s="49">
        <f t="shared" si="12"/>
        <v>3937.3767281799769</v>
      </c>
      <c r="AY116" s="49">
        <f t="shared" si="12"/>
        <v>3937.7021582155912</v>
      </c>
      <c r="AZ116" s="49">
        <f t="shared" si="12"/>
        <v>3938.0277076501443</v>
      </c>
      <c r="BA116" s="49">
        <f t="shared" si="12"/>
        <v>3938.3533765274433</v>
      </c>
      <c r="BB116" s="49">
        <f t="shared" si="12"/>
        <v>3938.6791648913108</v>
      </c>
      <c r="BC116" s="49">
        <f t="shared" si="12"/>
        <v>3939.005072785586</v>
      </c>
      <c r="BD116" s="49">
        <f t="shared" si="12"/>
        <v>3939.331100254125</v>
      </c>
      <c r="BE116" s="49">
        <f t="shared" si="12"/>
        <v>3939.6572473407978</v>
      </c>
      <c r="BF116" s="49">
        <f t="shared" si="12"/>
        <v>3939.9835140894925</v>
      </c>
      <c r="BG116" s="49">
        <f t="shared" si="12"/>
        <v>3940.3099005441131</v>
      </c>
      <c r="BH116" s="49">
        <f t="shared" si="12"/>
        <v>3940.6364067485779</v>
      </c>
      <c r="BJ116" s="22">
        <f>SUM(B116:BI116)</f>
        <v>231493.42174976485</v>
      </c>
      <c r="BL116" s="22"/>
    </row>
    <row r="117" spans="1:64" ht="21" customHeight="1" x14ac:dyDescent="0.25">
      <c r="A117" s="36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</row>
    <row r="118" spans="1:64" ht="24" customHeight="1" x14ac:dyDescent="0.25">
      <c r="A118" s="38" t="s">
        <v>106</v>
      </c>
      <c r="B118" s="39">
        <f>+B$59+B$67</f>
        <v>10438582.608285332</v>
      </c>
      <c r="C118" s="39">
        <f t="shared" ref="C118:BJ118" si="13">+C$59+C$67</f>
        <v>10502412.481219897</v>
      </c>
      <c r="D118" s="39">
        <f t="shared" si="13"/>
        <v>10515265.773071757</v>
      </c>
      <c r="E118" s="39">
        <f t="shared" si="13"/>
        <v>10519123.78074342</v>
      </c>
      <c r="F118" s="39">
        <f t="shared" si="13"/>
        <v>10522983.203902196</v>
      </c>
      <c r="G118" s="39">
        <f t="shared" si="13"/>
        <v>10526844.043067422</v>
      </c>
      <c r="H118" s="39">
        <f t="shared" si="13"/>
        <v>10530706.298758624</v>
      </c>
      <c r="I118" s="39">
        <f t="shared" si="13"/>
        <v>10534569.97149552</v>
      </c>
      <c r="J118" s="39">
        <f t="shared" si="13"/>
        <v>10538435.061798019</v>
      </c>
      <c r="K118" s="39">
        <f t="shared" si="13"/>
        <v>10542301.57018622</v>
      </c>
      <c r="L118" s="39">
        <f t="shared" si="13"/>
        <v>10546169.497180412</v>
      </c>
      <c r="M118" s="39">
        <f t="shared" si="13"/>
        <v>10650038.843301075</v>
      </c>
      <c r="N118" s="39">
        <f t="shared" si="13"/>
        <v>10653946.298656715</v>
      </c>
      <c r="O118" s="39">
        <f t="shared" si="13"/>
        <v>10657855.187641619</v>
      </c>
      <c r="P118" s="39">
        <f t="shared" si="13"/>
        <v>10661765.51078178</v>
      </c>
      <c r="Q118" s="39">
        <f t="shared" si="13"/>
        <v>10665677.268603384</v>
      </c>
      <c r="R118" s="39">
        <f t="shared" si="13"/>
        <v>10669590.461632811</v>
      </c>
      <c r="S118" s="39">
        <f t="shared" si="13"/>
        <v>10673505.090396632</v>
      </c>
      <c r="T118" s="39">
        <f t="shared" si="13"/>
        <v>10677421.155421611</v>
      </c>
      <c r="U118" s="39">
        <f t="shared" si="13"/>
        <v>10681338.657234706</v>
      </c>
      <c r="V118" s="39">
        <f t="shared" si="13"/>
        <v>10685257.596363071</v>
      </c>
      <c r="W118" s="39">
        <f t="shared" si="13"/>
        <v>10689177.97333405</v>
      </c>
      <c r="X118" s="39">
        <f t="shared" si="13"/>
        <v>10693099.78867518</v>
      </c>
      <c r="Y118" s="39">
        <f t="shared" si="13"/>
        <v>10697023.042914195</v>
      </c>
      <c r="Z118" s="39">
        <f t="shared" si="13"/>
        <v>10700947.73657902</v>
      </c>
      <c r="AA118" s="39">
        <f t="shared" si="13"/>
        <v>10704873.870197773</v>
      </c>
      <c r="AB118" s="39">
        <f t="shared" si="13"/>
        <v>10708801.444298768</v>
      </c>
      <c r="AC118" s="39">
        <f t="shared" si="13"/>
        <v>10712730.459410515</v>
      </c>
      <c r="AD118" s="39">
        <f t="shared" si="13"/>
        <v>10716660.916061711</v>
      </c>
      <c r="AE118" s="39">
        <f t="shared" si="13"/>
        <v>10720592.814781252</v>
      </c>
      <c r="AF118" s="39">
        <f t="shared" si="13"/>
        <v>10724526.156098228</v>
      </c>
      <c r="AG118" s="39">
        <f t="shared" si="13"/>
        <v>10728460.940541921</v>
      </c>
      <c r="AH118" s="39">
        <f t="shared" si="13"/>
        <v>10732397.168641809</v>
      </c>
      <c r="AI118" s="39">
        <f t="shared" si="13"/>
        <v>10736334.840927564</v>
      </c>
      <c r="AJ118" s="39">
        <f t="shared" si="13"/>
        <v>10740273.957929049</v>
      </c>
      <c r="AK118" s="39">
        <f t="shared" si="13"/>
        <v>10744214.520176327</v>
      </c>
      <c r="AL118" s="39">
        <f t="shared" si="13"/>
        <v>10748156.52819965</v>
      </c>
      <c r="AM118" s="39">
        <f t="shared" si="13"/>
        <v>10752099.982529471</v>
      </c>
      <c r="AN118" s="39">
        <f t="shared" si="13"/>
        <v>10756044.883696431</v>
      </c>
      <c r="AO118" s="39">
        <f t="shared" si="13"/>
        <v>10759991.232231369</v>
      </c>
      <c r="AP118" s="39">
        <f t="shared" si="13"/>
        <v>10763939.028665319</v>
      </c>
      <c r="AQ118" s="39">
        <f t="shared" si="13"/>
        <v>10767888.273529509</v>
      </c>
      <c r="AR118" s="39">
        <f t="shared" si="13"/>
        <v>10771838.967355363</v>
      </c>
      <c r="AS118" s="39">
        <f t="shared" si="13"/>
        <v>10775791.110674499</v>
      </c>
      <c r="AT118" s="39">
        <f t="shared" si="13"/>
        <v>10779744.704018729</v>
      </c>
      <c r="AU118" s="39">
        <f t="shared" si="13"/>
        <v>10783699.747920061</v>
      </c>
      <c r="AV118" s="39">
        <f t="shared" si="13"/>
        <v>10787656.242910698</v>
      </c>
      <c r="AW118" s="39">
        <f t="shared" si="13"/>
        <v>10791614.189523041</v>
      </c>
      <c r="AX118" s="39">
        <f t="shared" si="13"/>
        <v>10795573.588289684</v>
      </c>
      <c r="AY118" s="39">
        <f t="shared" si="13"/>
        <v>10799534.439743413</v>
      </c>
      <c r="AZ118" s="39">
        <f t="shared" si="13"/>
        <v>10803496.744417215</v>
      </c>
      <c r="BA118" s="39">
        <f t="shared" si="13"/>
        <v>10807460.50284427</v>
      </c>
      <c r="BB118" s="39">
        <f t="shared" si="13"/>
        <v>10811425.715557955</v>
      </c>
      <c r="BC118" s="39">
        <f t="shared" si="13"/>
        <v>10815392.383091843</v>
      </c>
      <c r="BD118" s="39">
        <f t="shared" si="13"/>
        <v>10819360.505979698</v>
      </c>
      <c r="BE118" s="39">
        <f t="shared" si="13"/>
        <v>10823330.084755486</v>
      </c>
      <c r="BF118" s="39">
        <f t="shared" si="13"/>
        <v>10827301.119953366</v>
      </c>
      <c r="BG118" s="39">
        <f t="shared" si="13"/>
        <v>10831273.612107692</v>
      </c>
      <c r="BH118" s="39">
        <f t="shared" si="13"/>
        <v>10835247.561753018</v>
      </c>
    </row>
    <row r="119" spans="1:64" ht="24" customHeight="1" x14ac:dyDescent="0.25">
      <c r="A119" s="19" t="s">
        <v>107</v>
      </c>
      <c r="B119" s="20">
        <f>+B118/B62</f>
        <v>1.0003676762506084</v>
      </c>
      <c r="C119" s="20">
        <f t="shared" ref="C119:BH119" si="14">+C118/C62</f>
        <v>1.0007326997787267</v>
      </c>
      <c r="D119" s="20">
        <f t="shared" si="14"/>
        <v>1.0010995892379189</v>
      </c>
      <c r="E119" s="20">
        <f t="shared" si="14"/>
        <v>1.0014668885510061</v>
      </c>
      <c r="F119" s="20">
        <f t="shared" si="14"/>
        <v>1.0018343226246975</v>
      </c>
      <c r="G119" s="20">
        <f t="shared" si="14"/>
        <v>1.0022018915084359</v>
      </c>
      <c r="H119" s="20">
        <f t="shared" si="14"/>
        <v>1.0025695952516827</v>
      </c>
      <c r="I119" s="20">
        <f t="shared" si="14"/>
        <v>1.0029374339039174</v>
      </c>
      <c r="J119" s="20">
        <f t="shared" si="14"/>
        <v>1.0033054075146377</v>
      </c>
      <c r="K119" s="20">
        <f t="shared" si="14"/>
        <v>1.003673516133359</v>
      </c>
      <c r="L119" s="20">
        <f t="shared" si="14"/>
        <v>1.0040417598096152</v>
      </c>
      <c r="M119" s="20">
        <f>+M118/M62</f>
        <v>1.0044067211164165</v>
      </c>
      <c r="N119" s="20">
        <f t="shared" si="14"/>
        <v>1.0047752338025591</v>
      </c>
      <c r="O119" s="20">
        <f t="shared" si="14"/>
        <v>1.0051438816944873</v>
      </c>
      <c r="P119" s="20">
        <f t="shared" si="14"/>
        <v>1.0055126648418073</v>
      </c>
      <c r="Q119" s="20">
        <f t="shared" si="14"/>
        <v>1.0058815832941443</v>
      </c>
      <c r="R119" s="20">
        <f t="shared" si="14"/>
        <v>1.006250637101141</v>
      </c>
      <c r="S119" s="20">
        <f t="shared" si="14"/>
        <v>1.0066198263124584</v>
      </c>
      <c r="T119" s="20">
        <f t="shared" si="14"/>
        <v>1.0069891509777755</v>
      </c>
      <c r="U119" s="20">
        <f t="shared" si="14"/>
        <v>1.0073586111467903</v>
      </c>
      <c r="V119" s="20">
        <f t="shared" si="14"/>
        <v>1.0077282068692182</v>
      </c>
      <c r="W119" s="20">
        <f t="shared" si="14"/>
        <v>1.0080979381947934</v>
      </c>
      <c r="X119" s="20">
        <f t="shared" si="14"/>
        <v>1.0084678051732681</v>
      </c>
      <c r="Y119" s="20">
        <f t="shared" si="14"/>
        <v>1.0088378078544127</v>
      </c>
      <c r="Z119" s="20">
        <f t="shared" si="14"/>
        <v>1.0092079462880157</v>
      </c>
      <c r="AA119" s="20">
        <f t="shared" si="14"/>
        <v>1.0095782205238846</v>
      </c>
      <c r="AB119" s="20">
        <f t="shared" si="14"/>
        <v>1.0099486306118444</v>
      </c>
      <c r="AC119" s="20">
        <f t="shared" si="14"/>
        <v>1.010319176601739</v>
      </c>
      <c r="AD119" s="20">
        <f t="shared" si="14"/>
        <v>1.0106898585434299</v>
      </c>
      <c r="AE119" s="20">
        <f t="shared" si="14"/>
        <v>1.0110606764867973</v>
      </c>
      <c r="AF119" s="20">
        <f t="shared" si="14"/>
        <v>1.0114316304817399</v>
      </c>
      <c r="AG119" s="20">
        <f t="shared" si="14"/>
        <v>1.0118027205781741</v>
      </c>
      <c r="AH119" s="20">
        <f t="shared" si="14"/>
        <v>1.0121739468260353</v>
      </c>
      <c r="AI119" s="20">
        <f t="shared" si="14"/>
        <v>1.0125453092752768</v>
      </c>
      <c r="AJ119" s="20">
        <f t="shared" si="14"/>
        <v>1.0129168079758701</v>
      </c>
      <c r="AK119" s="20">
        <f t="shared" si="14"/>
        <v>1.0132884429778057</v>
      </c>
      <c r="AL119" s="20">
        <f t="shared" si="14"/>
        <v>1.0136602143310915</v>
      </c>
      <c r="AM119" s="20">
        <f t="shared" si="14"/>
        <v>1.0140321220857549</v>
      </c>
      <c r="AN119" s="20">
        <f t="shared" si="14"/>
        <v>1.0144041662918402</v>
      </c>
      <c r="AO119" s="20">
        <f t="shared" si="14"/>
        <v>1.0147763469994113</v>
      </c>
      <c r="AP119" s="20">
        <f t="shared" si="14"/>
        <v>1.0151486642585501</v>
      </c>
      <c r="AQ119" s="20">
        <f t="shared" si="14"/>
        <v>1.0155211181193566</v>
      </c>
      <c r="AR119" s="20">
        <f t="shared" si="14"/>
        <v>1.0158937086319495</v>
      </c>
      <c r="AS119" s="20">
        <f t="shared" si="14"/>
        <v>1.0162664358464659</v>
      </c>
      <c r="AT119" s="20">
        <f t="shared" si="14"/>
        <v>1.0166392998130611</v>
      </c>
      <c r="AU119" s="20">
        <f t="shared" si="14"/>
        <v>1.0170123005819087</v>
      </c>
      <c r="AV119" s="20">
        <f t="shared" si="14"/>
        <v>1.017385438203201</v>
      </c>
      <c r="AW119" s="20">
        <f t="shared" si="14"/>
        <v>1.0177587127271488</v>
      </c>
      <c r="AX119" s="20">
        <f t="shared" si="14"/>
        <v>1.0181321242039807</v>
      </c>
      <c r="AY119" s="20">
        <f t="shared" si="14"/>
        <v>1.0185056726839443</v>
      </c>
      <c r="AZ119" s="20">
        <f t="shared" si="14"/>
        <v>1.0188793582173057</v>
      </c>
      <c r="BA119" s="20">
        <f t="shared" si="14"/>
        <v>1.019253180854349</v>
      </c>
      <c r="BB119" s="20">
        <f t="shared" si="14"/>
        <v>1.0196271406453772</v>
      </c>
      <c r="BC119" s="20">
        <f t="shared" si="14"/>
        <v>1.0200012376407113</v>
      </c>
      <c r="BD119" s="20">
        <f t="shared" si="14"/>
        <v>1.020375471890691</v>
      </c>
      <c r="BE119" s="20">
        <f t="shared" si="14"/>
        <v>1.0207498434456745</v>
      </c>
      <c r="BF119" s="20">
        <f t="shared" si="14"/>
        <v>1.0211243523560387</v>
      </c>
      <c r="BG119" s="20">
        <f t="shared" si="14"/>
        <v>1.0214989986721785</v>
      </c>
      <c r="BH119" s="20">
        <f t="shared" si="14"/>
        <v>1.0218737824445074</v>
      </c>
    </row>
    <row r="121" spans="1:64" x14ac:dyDescent="0.25">
      <c r="B121" s="55">
        <f>+B$119-B$63</f>
        <v>3.6767625060840636E-4</v>
      </c>
      <c r="C121" s="55">
        <f t="shared" ref="C121:BH121" si="15">+C$119-C$63</f>
        <v>3.650235281182912E-4</v>
      </c>
      <c r="D121" s="55">
        <f t="shared" si="15"/>
        <v>3.6688945919216565E-4</v>
      </c>
      <c r="E121" s="55">
        <f t="shared" si="15"/>
        <v>3.6729931308721042E-4</v>
      </c>
      <c r="F121" s="55">
        <f t="shared" si="15"/>
        <v>3.6743407369144165E-4</v>
      </c>
      <c r="G121" s="55">
        <f t="shared" si="15"/>
        <v>3.6756888373834506E-4</v>
      </c>
      <c r="H121" s="55">
        <f t="shared" si="15"/>
        <v>3.6770374324679445E-4</v>
      </c>
      <c r="I121" s="55">
        <f t="shared" si="15"/>
        <v>3.6783865223477541E-4</v>
      </c>
      <c r="J121" s="55">
        <f t="shared" si="15"/>
        <v>3.6797361072027357E-4</v>
      </c>
      <c r="K121" s="55">
        <f t="shared" si="15"/>
        <v>3.6810861872127454E-4</v>
      </c>
      <c r="L121" s="55">
        <f t="shared" si="15"/>
        <v>3.6824367625620802E-4</v>
      </c>
      <c r="M121" s="55">
        <f t="shared" si="15"/>
        <v>3.6496130680130356E-4</v>
      </c>
      <c r="N121" s="55">
        <f t="shared" si="15"/>
        <v>3.6851268614257471E-4</v>
      </c>
      <c r="O121" s="55">
        <f t="shared" si="15"/>
        <v>3.686478919282532E-4</v>
      </c>
      <c r="P121" s="55">
        <f t="shared" si="15"/>
        <v>3.687831473200287E-4</v>
      </c>
      <c r="Q121" s="55">
        <f t="shared" si="15"/>
        <v>3.6891845233699705E-4</v>
      </c>
      <c r="R121" s="55">
        <f t="shared" si="15"/>
        <v>3.6905380699669976E-4</v>
      </c>
      <c r="S121" s="55">
        <f t="shared" si="15"/>
        <v>3.691892113173445E-4</v>
      </c>
      <c r="T121" s="55">
        <f t="shared" si="15"/>
        <v>3.6932466531713892E-4</v>
      </c>
      <c r="U121" s="55">
        <f t="shared" si="15"/>
        <v>3.6946016901473477E-4</v>
      </c>
      <c r="V121" s="55">
        <f t="shared" si="15"/>
        <v>3.6959572242789562E-4</v>
      </c>
      <c r="W121" s="55">
        <f t="shared" si="15"/>
        <v>3.6973132557527322E-4</v>
      </c>
      <c r="X121" s="55">
        <f t="shared" si="15"/>
        <v>3.6986697847463113E-4</v>
      </c>
      <c r="Y121" s="55">
        <f t="shared" si="15"/>
        <v>3.7000268114462109E-4</v>
      </c>
      <c r="Z121" s="55">
        <f t="shared" si="15"/>
        <v>3.7013843360300669E-4</v>
      </c>
      <c r="AA121" s="55">
        <f t="shared" si="15"/>
        <v>3.7027423586888375E-4</v>
      </c>
      <c r="AB121" s="55">
        <f t="shared" si="15"/>
        <v>3.704100879597938E-4</v>
      </c>
      <c r="AC121" s="55">
        <f t="shared" si="15"/>
        <v>3.7054598989461063E-4</v>
      </c>
      <c r="AD121" s="55">
        <f t="shared" si="15"/>
        <v>3.7068194169087576E-4</v>
      </c>
      <c r="AE121" s="55">
        <f t="shared" si="15"/>
        <v>3.7081794336746299E-4</v>
      </c>
      <c r="AF121" s="55">
        <f t="shared" si="15"/>
        <v>3.7095399494257997E-4</v>
      </c>
      <c r="AG121" s="55">
        <f t="shared" si="15"/>
        <v>3.7109009643421231E-4</v>
      </c>
      <c r="AH121" s="55">
        <f t="shared" si="15"/>
        <v>3.7122624786123382E-4</v>
      </c>
      <c r="AI121" s="55">
        <f t="shared" si="15"/>
        <v>3.7136244924140804E-4</v>
      </c>
      <c r="AJ121" s="55">
        <f t="shared" si="15"/>
        <v>3.7149870059338674E-4</v>
      </c>
      <c r="AK121" s="55">
        <f t="shared" si="15"/>
        <v>3.7163500193559962E-4</v>
      </c>
      <c r="AL121" s="55">
        <f t="shared" si="15"/>
        <v>3.7177135328581024E-4</v>
      </c>
      <c r="AM121" s="55">
        <f t="shared" si="15"/>
        <v>3.7190775466333648E-4</v>
      </c>
      <c r="AN121" s="55">
        <f t="shared" si="15"/>
        <v>3.7204420608527577E-4</v>
      </c>
      <c r="AO121" s="55">
        <f t="shared" si="15"/>
        <v>3.7218070757116806E-4</v>
      </c>
      <c r="AP121" s="55">
        <f t="shared" si="15"/>
        <v>3.7231725913877689E-4</v>
      </c>
      <c r="AQ121" s="55">
        <f t="shared" si="15"/>
        <v>3.7245386080653198E-4</v>
      </c>
      <c r="AR121" s="55">
        <f t="shared" si="15"/>
        <v>3.7259051259286302E-4</v>
      </c>
      <c r="AS121" s="55">
        <f t="shared" si="15"/>
        <v>3.7272721451642177E-4</v>
      </c>
      <c r="AT121" s="55">
        <f t="shared" si="15"/>
        <v>3.7286396659519383E-4</v>
      </c>
      <c r="AU121" s="55">
        <f t="shared" si="15"/>
        <v>3.7300076884760891E-4</v>
      </c>
      <c r="AV121" s="55">
        <f t="shared" si="15"/>
        <v>3.7313762129231876E-4</v>
      </c>
      <c r="AW121" s="55">
        <f t="shared" si="15"/>
        <v>3.7327452394775307E-4</v>
      </c>
      <c r="AX121" s="55">
        <f t="shared" si="15"/>
        <v>3.7341147683189746E-4</v>
      </c>
      <c r="AY121" s="55">
        <f t="shared" si="15"/>
        <v>3.7354847996362572E-4</v>
      </c>
      <c r="AZ121" s="55">
        <f t="shared" si="15"/>
        <v>3.7368553336136756E-4</v>
      </c>
      <c r="BA121" s="55">
        <f t="shared" si="15"/>
        <v>3.7382263704333063E-4</v>
      </c>
      <c r="BB121" s="55">
        <f t="shared" si="15"/>
        <v>3.7395979102816668E-4</v>
      </c>
      <c r="BC121" s="55">
        <f t="shared" si="15"/>
        <v>3.7409699533408336E-4</v>
      </c>
      <c r="BD121" s="55">
        <f t="shared" si="15"/>
        <v>3.7423424997973243E-4</v>
      </c>
      <c r="BE121" s="55">
        <f t="shared" si="15"/>
        <v>3.7437155498354358E-4</v>
      </c>
      <c r="BF121" s="55">
        <f t="shared" si="15"/>
        <v>3.7450891036416856E-4</v>
      </c>
      <c r="BG121" s="55">
        <f t="shared" si="15"/>
        <v>3.7464631613981503E-4</v>
      </c>
      <c r="BH121" s="55">
        <f t="shared" si="15"/>
        <v>3.7478377232891269E-4</v>
      </c>
      <c r="BJ121" s="22">
        <f>SUM(B121:BI121)</f>
        <v>2.1873782444507439E-2</v>
      </c>
    </row>
    <row r="123" spans="1:64" x14ac:dyDescent="0.25">
      <c r="B123" s="53">
        <v>1.0173330454976703</v>
      </c>
    </row>
    <row r="124" spans="1:64" x14ac:dyDescent="0.25">
      <c r="B124" s="53">
        <v>1</v>
      </c>
    </row>
    <row r="125" spans="1:64" x14ac:dyDescent="0.25">
      <c r="B125" s="53">
        <f>+B123-B124</f>
        <v>1.7333045497670341E-2</v>
      </c>
    </row>
    <row r="126" spans="1:64" x14ac:dyDescent="0.25">
      <c r="B126" s="54">
        <f>+B125/59</f>
        <v>2.9378043216390411E-4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O103"/>
  <sheetViews>
    <sheetView showGridLines="0" workbookViewId="0">
      <pane xSplit="1" ySplit="1" topLeftCell="B90" activePane="bottomRight" state="frozen"/>
      <selection pane="topRight"/>
      <selection pane="bottomLeft"/>
      <selection pane="bottomRight" activeCell="A46" sqref="A46:XFD103"/>
    </sheetView>
  </sheetViews>
  <sheetFormatPr baseColWidth="10" defaultColWidth="9.140625" defaultRowHeight="15" outlineLevelRow="1" outlineLevelCol="1" x14ac:dyDescent="0.25"/>
  <cols>
    <col min="1" max="1" width="40" style="25" customWidth="1"/>
    <col min="2" max="2" width="15" style="25" customWidth="1"/>
    <col min="3" max="59" width="15" style="25" customWidth="1" outlineLevel="1"/>
    <col min="60" max="60" width="15" style="25" customWidth="1"/>
    <col min="61" max="61" width="9.140625" style="25"/>
    <col min="62" max="62" width="15.7109375" style="25" customWidth="1"/>
    <col min="63" max="63" width="9.140625" style="25"/>
    <col min="64" max="64" width="15.7109375" style="25" customWidth="1"/>
    <col min="65" max="16384" width="9.140625" style="25"/>
  </cols>
  <sheetData>
    <row r="1" spans="1:60" ht="27.95" customHeigh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</row>
    <row r="2" spans="1:60" ht="21" customHeight="1" x14ac:dyDescent="0.25">
      <c r="A2" s="26" t="s">
        <v>108</v>
      </c>
      <c r="B2" s="27">
        <v>65.603175555555566</v>
      </c>
      <c r="C2" s="27">
        <v>65.603175555555566</v>
      </c>
      <c r="D2" s="27">
        <v>65.603175555555566</v>
      </c>
      <c r="E2" s="27">
        <v>65.603175555555566</v>
      </c>
      <c r="F2" s="27">
        <v>65.603175555555566</v>
      </c>
      <c r="G2" s="27">
        <v>65.603175555555566</v>
      </c>
      <c r="H2" s="27">
        <v>65.603175555555566</v>
      </c>
      <c r="I2" s="27">
        <v>65.603175555555566</v>
      </c>
      <c r="J2" s="27">
        <v>65.603175555555566</v>
      </c>
      <c r="K2" s="27">
        <v>65.603175555555566</v>
      </c>
      <c r="L2" s="27">
        <v>65.603175555555566</v>
      </c>
      <c r="M2" s="27">
        <v>65.603175555555566</v>
      </c>
      <c r="N2" s="27">
        <v>65.603175555555566</v>
      </c>
      <c r="O2" s="27">
        <v>65.603175555555566</v>
      </c>
      <c r="P2" s="27">
        <v>65.603175555555566</v>
      </c>
      <c r="Q2" s="27">
        <v>65.603175555555566</v>
      </c>
      <c r="R2" s="27">
        <v>65.603175555555566</v>
      </c>
      <c r="S2" s="27">
        <v>65.603175555555566</v>
      </c>
      <c r="T2" s="27">
        <v>65.603175555555566</v>
      </c>
      <c r="U2" s="27">
        <v>65.603175555555566</v>
      </c>
      <c r="V2" s="27">
        <v>65.603175555555566</v>
      </c>
      <c r="W2" s="27">
        <v>65.603175555555566</v>
      </c>
      <c r="X2" s="27">
        <v>65.603175555555566</v>
      </c>
      <c r="Y2" s="27">
        <v>65.603175555555566</v>
      </c>
      <c r="Z2" s="27">
        <v>65.603175555555566</v>
      </c>
      <c r="AA2" s="27">
        <v>65.603175555555566</v>
      </c>
      <c r="AB2" s="27">
        <v>65.603175555555566</v>
      </c>
      <c r="AC2" s="27">
        <v>65.603175555555566</v>
      </c>
      <c r="AD2" s="27">
        <v>65.603175555555566</v>
      </c>
      <c r="AE2" s="27">
        <v>65.603175555555566</v>
      </c>
      <c r="AF2" s="27">
        <v>65.603175555555566</v>
      </c>
      <c r="AG2" s="27">
        <v>65.603175555555566</v>
      </c>
      <c r="AH2" s="27">
        <v>65.603175555555566</v>
      </c>
      <c r="AI2" s="27">
        <v>65.603175555555566</v>
      </c>
      <c r="AJ2" s="27">
        <v>65.603175555555566</v>
      </c>
      <c r="AK2" s="27">
        <v>65.603175555555566</v>
      </c>
      <c r="AL2" s="27">
        <v>65.603175555555566</v>
      </c>
      <c r="AM2" s="27">
        <v>65.603175555555566</v>
      </c>
      <c r="AN2" s="27">
        <v>65.603175555555566</v>
      </c>
      <c r="AO2" s="27">
        <v>65.603175555555566</v>
      </c>
      <c r="AP2" s="27">
        <v>65.603175555555566</v>
      </c>
      <c r="AQ2" s="27">
        <v>65.603175555555566</v>
      </c>
      <c r="AR2" s="27">
        <v>65.603175555555566</v>
      </c>
      <c r="AS2" s="27">
        <v>65.603175555555566</v>
      </c>
      <c r="AT2" s="27">
        <v>65.603175555555566</v>
      </c>
      <c r="AU2" s="27">
        <v>65.603175555555566</v>
      </c>
      <c r="AV2" s="27">
        <v>65.603175555555566</v>
      </c>
      <c r="AW2" s="27">
        <v>65.603175555555566</v>
      </c>
      <c r="AX2" s="27">
        <v>65.603175555555566</v>
      </c>
      <c r="AY2" s="27">
        <v>65.603175555555566</v>
      </c>
      <c r="AZ2" s="27">
        <v>65.603175555555566</v>
      </c>
      <c r="BA2" s="27">
        <v>65.603175555555566</v>
      </c>
      <c r="BB2" s="27">
        <v>65.603175555555566</v>
      </c>
      <c r="BC2" s="27">
        <v>65.603175555555566</v>
      </c>
      <c r="BD2" s="27">
        <v>65.603175555555566</v>
      </c>
      <c r="BE2" s="27">
        <v>65.603175555555566</v>
      </c>
      <c r="BF2" s="27">
        <v>65.603175555555566</v>
      </c>
      <c r="BG2" s="27">
        <v>65.603175555555566</v>
      </c>
      <c r="BH2" s="27">
        <v>65.603175555555566</v>
      </c>
    </row>
    <row r="3" spans="1:60" ht="21" customHeight="1" x14ac:dyDescent="0.25">
      <c r="A3" s="26" t="s">
        <v>109</v>
      </c>
      <c r="B3" s="27">
        <v>71.944444444444457</v>
      </c>
      <c r="C3" s="27">
        <v>71.944444444444457</v>
      </c>
      <c r="D3" s="27">
        <v>71.944444444444457</v>
      </c>
      <c r="E3" s="27">
        <v>71.944444444444457</v>
      </c>
      <c r="F3" s="27">
        <v>71.944444444444457</v>
      </c>
      <c r="G3" s="27">
        <v>71.944444444444457</v>
      </c>
      <c r="H3" s="27">
        <v>71.944444444444457</v>
      </c>
      <c r="I3" s="27">
        <v>71.944444444444457</v>
      </c>
      <c r="J3" s="27">
        <v>71.944444444444457</v>
      </c>
      <c r="K3" s="27">
        <v>71.944444444444457</v>
      </c>
      <c r="L3" s="27">
        <v>71.944444444444457</v>
      </c>
      <c r="M3" s="27">
        <v>71.944444444444457</v>
      </c>
      <c r="N3" s="27">
        <v>71.944444444444457</v>
      </c>
      <c r="O3" s="27">
        <v>71.944444444444457</v>
      </c>
      <c r="P3" s="27">
        <v>71.944444444444457</v>
      </c>
      <c r="Q3" s="27">
        <v>71.944444444444457</v>
      </c>
      <c r="R3" s="27">
        <v>71.944444444444457</v>
      </c>
      <c r="S3" s="27">
        <v>71.944444444444457</v>
      </c>
      <c r="T3" s="27">
        <v>71.944444444444457</v>
      </c>
      <c r="U3" s="27">
        <v>71.944444444444457</v>
      </c>
      <c r="V3" s="27">
        <v>71.944444444444457</v>
      </c>
      <c r="W3" s="27">
        <v>71.944444444444457</v>
      </c>
      <c r="X3" s="27">
        <v>71.944444444444457</v>
      </c>
      <c r="Y3" s="27">
        <v>71.944444444444457</v>
      </c>
      <c r="Z3" s="27">
        <v>71.944444444444457</v>
      </c>
      <c r="AA3" s="27">
        <v>71.944444444444457</v>
      </c>
      <c r="AB3" s="27">
        <v>71.944444444444457</v>
      </c>
      <c r="AC3" s="27">
        <v>71.944444444444457</v>
      </c>
      <c r="AD3" s="27">
        <v>71.944444444444457</v>
      </c>
      <c r="AE3" s="27">
        <v>71.944444444444457</v>
      </c>
      <c r="AF3" s="27">
        <v>71.944444444444457</v>
      </c>
      <c r="AG3" s="27">
        <v>71.944444444444457</v>
      </c>
      <c r="AH3" s="27">
        <v>71.944444444444457</v>
      </c>
      <c r="AI3" s="27">
        <v>71.944444444444457</v>
      </c>
      <c r="AJ3" s="27">
        <v>71.944444444444457</v>
      </c>
      <c r="AK3" s="27">
        <v>71.944444444444457</v>
      </c>
      <c r="AL3" s="27">
        <v>71.944444444444457</v>
      </c>
      <c r="AM3" s="27">
        <v>71.944444444444457</v>
      </c>
      <c r="AN3" s="27">
        <v>71.944444444444457</v>
      </c>
      <c r="AO3" s="27">
        <v>71.944444444444457</v>
      </c>
      <c r="AP3" s="27">
        <v>71.944444444444457</v>
      </c>
      <c r="AQ3" s="27">
        <v>71.944444444444457</v>
      </c>
      <c r="AR3" s="27">
        <v>71.944444444444457</v>
      </c>
      <c r="AS3" s="27">
        <v>71.944444444444457</v>
      </c>
      <c r="AT3" s="27">
        <v>71.944444444444457</v>
      </c>
      <c r="AU3" s="27">
        <v>71.944444444444457</v>
      </c>
      <c r="AV3" s="27">
        <v>71.944444444444457</v>
      </c>
      <c r="AW3" s="27">
        <v>71.944444444444457</v>
      </c>
      <c r="AX3" s="27">
        <v>71.944444444444457</v>
      </c>
      <c r="AY3" s="27">
        <v>71.944444444444457</v>
      </c>
      <c r="AZ3" s="27">
        <v>71.944444444444457</v>
      </c>
      <c r="BA3" s="27">
        <v>71.944444444444457</v>
      </c>
      <c r="BB3" s="27">
        <v>71.944444444444457</v>
      </c>
      <c r="BC3" s="27">
        <v>71.944444444444457</v>
      </c>
      <c r="BD3" s="27">
        <v>71.944444444444457</v>
      </c>
      <c r="BE3" s="27">
        <v>71.944444444444457</v>
      </c>
      <c r="BF3" s="27">
        <v>71.944444444444457</v>
      </c>
      <c r="BG3" s="27">
        <v>71.944444444444457</v>
      </c>
      <c r="BH3" s="27">
        <v>71.944444444444457</v>
      </c>
    </row>
    <row r="4" spans="1:60" ht="21" hidden="1" customHeight="1" outlineLevel="1" x14ac:dyDescent="0.25">
      <c r="A4" s="26" t="s">
        <v>110</v>
      </c>
      <c r="B4" s="27">
        <v>350.00000000000006</v>
      </c>
      <c r="C4" s="27">
        <v>350.00000000000006</v>
      </c>
      <c r="D4" s="27">
        <v>350.00000000000006</v>
      </c>
      <c r="E4" s="27">
        <v>350.00000000000006</v>
      </c>
      <c r="F4" s="27">
        <v>350.00000000000006</v>
      </c>
      <c r="G4" s="27">
        <v>350.00000000000006</v>
      </c>
      <c r="H4" s="27">
        <v>350.00000000000006</v>
      </c>
      <c r="I4" s="27">
        <v>350.00000000000006</v>
      </c>
      <c r="J4" s="27">
        <v>350.00000000000006</v>
      </c>
      <c r="K4" s="27">
        <v>350.00000000000006</v>
      </c>
      <c r="L4" s="27">
        <v>350.00000000000006</v>
      </c>
      <c r="M4" s="27">
        <v>350.00000000000006</v>
      </c>
      <c r="N4" s="27">
        <v>350.00000000000006</v>
      </c>
      <c r="O4" s="27">
        <v>350.00000000000006</v>
      </c>
      <c r="P4" s="27">
        <v>350.00000000000006</v>
      </c>
      <c r="Q4" s="27">
        <v>350.00000000000006</v>
      </c>
      <c r="R4" s="27">
        <v>350.00000000000006</v>
      </c>
      <c r="S4" s="27">
        <v>350.00000000000006</v>
      </c>
      <c r="T4" s="27">
        <v>350.00000000000006</v>
      </c>
      <c r="U4" s="27">
        <v>350.00000000000006</v>
      </c>
      <c r="V4" s="27">
        <v>350.00000000000006</v>
      </c>
      <c r="W4" s="27">
        <v>350.00000000000006</v>
      </c>
      <c r="X4" s="27">
        <v>350.00000000000006</v>
      </c>
      <c r="Y4" s="27">
        <v>350.00000000000006</v>
      </c>
      <c r="Z4" s="27">
        <v>350.00000000000006</v>
      </c>
      <c r="AA4" s="27">
        <v>350.00000000000006</v>
      </c>
      <c r="AB4" s="27">
        <v>350.00000000000006</v>
      </c>
      <c r="AC4" s="27">
        <v>350.00000000000006</v>
      </c>
      <c r="AD4" s="27">
        <v>350.00000000000006</v>
      </c>
      <c r="AE4" s="27">
        <v>350.00000000000006</v>
      </c>
      <c r="AF4" s="27">
        <v>350.00000000000006</v>
      </c>
      <c r="AG4" s="27">
        <v>350.00000000000006</v>
      </c>
      <c r="AH4" s="27">
        <v>350.00000000000006</v>
      </c>
      <c r="AI4" s="27">
        <v>350.00000000000006</v>
      </c>
      <c r="AJ4" s="27">
        <v>350.00000000000006</v>
      </c>
      <c r="AK4" s="27">
        <v>350.00000000000006</v>
      </c>
      <c r="AL4" s="27">
        <v>350.00000000000006</v>
      </c>
      <c r="AM4" s="27">
        <v>350.00000000000006</v>
      </c>
      <c r="AN4" s="27">
        <v>350.00000000000006</v>
      </c>
      <c r="AO4" s="27">
        <v>350.00000000000006</v>
      </c>
      <c r="AP4" s="27">
        <v>350.00000000000006</v>
      </c>
      <c r="AQ4" s="27">
        <v>350.00000000000006</v>
      </c>
      <c r="AR4" s="27">
        <v>350.00000000000006</v>
      </c>
      <c r="AS4" s="27">
        <v>350.00000000000006</v>
      </c>
      <c r="AT4" s="27">
        <v>350.00000000000006</v>
      </c>
      <c r="AU4" s="27">
        <v>350.00000000000006</v>
      </c>
      <c r="AV4" s="27">
        <v>350.00000000000006</v>
      </c>
      <c r="AW4" s="27">
        <v>350.00000000000006</v>
      </c>
      <c r="AX4" s="27">
        <v>350.00000000000006</v>
      </c>
      <c r="AY4" s="27">
        <v>350.00000000000006</v>
      </c>
      <c r="AZ4" s="27">
        <v>350.00000000000006</v>
      </c>
      <c r="BA4" s="27">
        <v>350.00000000000006</v>
      </c>
      <c r="BB4" s="27">
        <v>350.00000000000006</v>
      </c>
      <c r="BC4" s="27">
        <v>350.00000000000006</v>
      </c>
      <c r="BD4" s="27">
        <v>350.00000000000006</v>
      </c>
      <c r="BE4" s="27">
        <v>350.00000000000006</v>
      </c>
      <c r="BF4" s="27">
        <v>350.00000000000006</v>
      </c>
      <c r="BG4" s="27">
        <v>350.00000000000006</v>
      </c>
      <c r="BH4" s="27">
        <v>350.00000000000006</v>
      </c>
    </row>
    <row r="5" spans="1:60" ht="21" hidden="1" customHeight="1" outlineLevel="1" x14ac:dyDescent="0.25">
      <c r="A5" s="26" t="s">
        <v>111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  <c r="BA5" s="27">
        <v>0</v>
      </c>
      <c r="BB5" s="27">
        <v>0</v>
      </c>
      <c r="BC5" s="27">
        <v>0</v>
      </c>
      <c r="BD5" s="27">
        <v>0</v>
      </c>
      <c r="BE5" s="27">
        <v>0</v>
      </c>
      <c r="BF5" s="27">
        <v>0</v>
      </c>
      <c r="BG5" s="27">
        <v>0</v>
      </c>
      <c r="BH5" s="27">
        <v>0</v>
      </c>
    </row>
    <row r="6" spans="1:60" ht="21" hidden="1" customHeight="1" outlineLevel="1" x14ac:dyDescent="0.25">
      <c r="A6" s="26" t="s">
        <v>112</v>
      </c>
      <c r="B6" s="27">
        <v>38.888888888888893</v>
      </c>
      <c r="C6" s="27">
        <v>38.888888888888893</v>
      </c>
      <c r="D6" s="27">
        <v>38.888888888888893</v>
      </c>
      <c r="E6" s="27">
        <v>38.888888888888893</v>
      </c>
      <c r="F6" s="27">
        <v>38.888888888888893</v>
      </c>
      <c r="G6" s="27">
        <v>38.888888888888893</v>
      </c>
      <c r="H6" s="27">
        <v>38.888888888888893</v>
      </c>
      <c r="I6" s="27">
        <v>38.888888888888893</v>
      </c>
      <c r="J6" s="27">
        <v>38.888888888888893</v>
      </c>
      <c r="K6" s="27">
        <v>38.888888888888893</v>
      </c>
      <c r="L6" s="27">
        <v>38.888888888888893</v>
      </c>
      <c r="M6" s="27">
        <v>38.888888888888893</v>
      </c>
      <c r="N6" s="27">
        <v>38.888888888888893</v>
      </c>
      <c r="O6" s="27">
        <v>38.888888888888893</v>
      </c>
      <c r="P6" s="27">
        <v>38.888888888888893</v>
      </c>
      <c r="Q6" s="27">
        <v>38.888888888888893</v>
      </c>
      <c r="R6" s="27">
        <v>38.888888888888893</v>
      </c>
      <c r="S6" s="27">
        <v>38.888888888888893</v>
      </c>
      <c r="T6" s="27">
        <v>38.888888888888893</v>
      </c>
      <c r="U6" s="27">
        <v>38.888888888888893</v>
      </c>
      <c r="V6" s="27">
        <v>38.888888888888893</v>
      </c>
      <c r="W6" s="27">
        <v>38.888888888888893</v>
      </c>
      <c r="X6" s="27">
        <v>38.888888888888893</v>
      </c>
      <c r="Y6" s="27">
        <v>38.888888888888893</v>
      </c>
      <c r="Z6" s="27">
        <v>38.888888888888893</v>
      </c>
      <c r="AA6" s="27">
        <v>38.888888888888893</v>
      </c>
      <c r="AB6" s="27">
        <v>38.888888888888893</v>
      </c>
      <c r="AC6" s="27">
        <v>38.888888888888893</v>
      </c>
      <c r="AD6" s="27">
        <v>38.888888888888893</v>
      </c>
      <c r="AE6" s="27">
        <v>38.888888888888893</v>
      </c>
      <c r="AF6" s="27">
        <v>38.888888888888893</v>
      </c>
      <c r="AG6" s="27">
        <v>38.888888888888893</v>
      </c>
      <c r="AH6" s="27">
        <v>38.888888888888893</v>
      </c>
      <c r="AI6" s="27">
        <v>38.888888888888893</v>
      </c>
      <c r="AJ6" s="27">
        <v>38.888888888888893</v>
      </c>
      <c r="AK6" s="27">
        <v>38.888888888888893</v>
      </c>
      <c r="AL6" s="27">
        <v>38.888888888888893</v>
      </c>
      <c r="AM6" s="27">
        <v>38.888888888888893</v>
      </c>
      <c r="AN6" s="27">
        <v>38.888888888888893</v>
      </c>
      <c r="AO6" s="27">
        <v>38.888888888888893</v>
      </c>
      <c r="AP6" s="27">
        <v>38.888888888888893</v>
      </c>
      <c r="AQ6" s="27">
        <v>38.888888888888893</v>
      </c>
      <c r="AR6" s="27">
        <v>38.888888888888893</v>
      </c>
      <c r="AS6" s="27">
        <v>38.888888888888893</v>
      </c>
      <c r="AT6" s="27">
        <v>38.888888888888893</v>
      </c>
      <c r="AU6" s="27">
        <v>38.888888888888893</v>
      </c>
      <c r="AV6" s="27">
        <v>38.888888888888893</v>
      </c>
      <c r="AW6" s="27">
        <v>38.888888888888893</v>
      </c>
      <c r="AX6" s="27">
        <v>38.888888888888893</v>
      </c>
      <c r="AY6" s="27">
        <v>38.888888888888893</v>
      </c>
      <c r="AZ6" s="27">
        <v>38.888888888888893</v>
      </c>
      <c r="BA6" s="27">
        <v>38.888888888888893</v>
      </c>
      <c r="BB6" s="27">
        <v>38.888888888888893</v>
      </c>
      <c r="BC6" s="27">
        <v>38.888888888888893</v>
      </c>
      <c r="BD6" s="27">
        <v>38.888888888888893</v>
      </c>
      <c r="BE6" s="27">
        <v>38.888888888888893</v>
      </c>
      <c r="BF6" s="27">
        <v>38.888888888888893</v>
      </c>
      <c r="BG6" s="27">
        <v>38.888888888888893</v>
      </c>
      <c r="BH6" s="27">
        <v>38.888888888888893</v>
      </c>
    </row>
    <row r="7" spans="1:60" ht="21" hidden="1" customHeight="1" outlineLevel="1" x14ac:dyDescent="0.25">
      <c r="A7" s="26" t="s">
        <v>113</v>
      </c>
      <c r="B7" s="27">
        <v>38.888888888888893</v>
      </c>
      <c r="C7" s="27">
        <v>38.888888888888893</v>
      </c>
      <c r="D7" s="27">
        <v>38.888888888888893</v>
      </c>
      <c r="E7" s="27">
        <v>38.888888888888893</v>
      </c>
      <c r="F7" s="27">
        <v>38.888888888888893</v>
      </c>
      <c r="G7" s="27">
        <v>38.888888888888893</v>
      </c>
      <c r="H7" s="27">
        <v>38.888888888888893</v>
      </c>
      <c r="I7" s="27">
        <v>38.888888888888893</v>
      </c>
      <c r="J7" s="27">
        <v>38.888888888888893</v>
      </c>
      <c r="K7" s="27">
        <v>38.888888888888893</v>
      </c>
      <c r="L7" s="27">
        <v>38.888888888888893</v>
      </c>
      <c r="M7" s="27">
        <v>38.888888888888893</v>
      </c>
      <c r="N7" s="27">
        <v>38.888888888888893</v>
      </c>
      <c r="O7" s="27">
        <v>38.888888888888893</v>
      </c>
      <c r="P7" s="27">
        <v>38.888888888888893</v>
      </c>
      <c r="Q7" s="27">
        <v>38.888888888888893</v>
      </c>
      <c r="R7" s="27">
        <v>38.888888888888893</v>
      </c>
      <c r="S7" s="27">
        <v>38.888888888888893</v>
      </c>
      <c r="T7" s="27">
        <v>38.888888888888893</v>
      </c>
      <c r="U7" s="27">
        <v>38.888888888888893</v>
      </c>
      <c r="V7" s="27">
        <v>38.888888888888893</v>
      </c>
      <c r="W7" s="27">
        <v>38.888888888888893</v>
      </c>
      <c r="X7" s="27">
        <v>38.888888888888893</v>
      </c>
      <c r="Y7" s="27">
        <v>38.888888888888893</v>
      </c>
      <c r="Z7" s="27">
        <v>38.888888888888893</v>
      </c>
      <c r="AA7" s="27">
        <v>38.888888888888893</v>
      </c>
      <c r="AB7" s="27">
        <v>38.888888888888893</v>
      </c>
      <c r="AC7" s="27">
        <v>38.888888888888893</v>
      </c>
      <c r="AD7" s="27">
        <v>38.888888888888893</v>
      </c>
      <c r="AE7" s="27">
        <v>38.888888888888893</v>
      </c>
      <c r="AF7" s="27">
        <v>38.888888888888893</v>
      </c>
      <c r="AG7" s="27">
        <v>38.888888888888893</v>
      </c>
      <c r="AH7" s="27">
        <v>38.888888888888893</v>
      </c>
      <c r="AI7" s="27">
        <v>38.888888888888893</v>
      </c>
      <c r="AJ7" s="27">
        <v>38.888888888888893</v>
      </c>
      <c r="AK7" s="27">
        <v>38.888888888888893</v>
      </c>
      <c r="AL7" s="27">
        <v>38.888888888888893</v>
      </c>
      <c r="AM7" s="27">
        <v>38.888888888888893</v>
      </c>
      <c r="AN7" s="27">
        <v>38.888888888888893</v>
      </c>
      <c r="AO7" s="27">
        <v>38.888888888888893</v>
      </c>
      <c r="AP7" s="27">
        <v>38.888888888888893</v>
      </c>
      <c r="AQ7" s="27">
        <v>38.888888888888893</v>
      </c>
      <c r="AR7" s="27">
        <v>38.888888888888893</v>
      </c>
      <c r="AS7" s="27">
        <v>38.888888888888893</v>
      </c>
      <c r="AT7" s="27">
        <v>38.888888888888893</v>
      </c>
      <c r="AU7" s="27">
        <v>38.888888888888893</v>
      </c>
      <c r="AV7" s="27">
        <v>38.888888888888893</v>
      </c>
      <c r="AW7" s="27">
        <v>38.888888888888893</v>
      </c>
      <c r="AX7" s="27">
        <v>38.888888888888893</v>
      </c>
      <c r="AY7" s="27">
        <v>38.888888888888893</v>
      </c>
      <c r="AZ7" s="27">
        <v>38.888888888888893</v>
      </c>
      <c r="BA7" s="27">
        <v>38.888888888888893</v>
      </c>
      <c r="BB7" s="27">
        <v>38.888888888888893</v>
      </c>
      <c r="BC7" s="27">
        <v>38.888888888888893</v>
      </c>
      <c r="BD7" s="27">
        <v>38.888888888888893</v>
      </c>
      <c r="BE7" s="27">
        <v>38.888888888888893</v>
      </c>
      <c r="BF7" s="27">
        <v>38.888888888888893</v>
      </c>
      <c r="BG7" s="27">
        <v>38.888888888888893</v>
      </c>
      <c r="BH7" s="27">
        <v>38.888888888888893</v>
      </c>
    </row>
    <row r="8" spans="1:60" ht="21" hidden="1" customHeight="1" outlineLevel="1" x14ac:dyDescent="0.25">
      <c r="A8" s="26" t="s">
        <v>114</v>
      </c>
      <c r="B8" s="27">
        <v>58.333333333333336</v>
      </c>
      <c r="C8" s="27">
        <v>58.333333333333336</v>
      </c>
      <c r="D8" s="27">
        <v>58.333333333333336</v>
      </c>
      <c r="E8" s="27">
        <v>58.333333333333336</v>
      </c>
      <c r="F8" s="27">
        <v>58.333333333333336</v>
      </c>
      <c r="G8" s="27">
        <v>58.333333333333336</v>
      </c>
      <c r="H8" s="27">
        <v>58.333333333333336</v>
      </c>
      <c r="I8" s="27">
        <v>58.333333333333336</v>
      </c>
      <c r="J8" s="27">
        <v>58.333333333333336</v>
      </c>
      <c r="K8" s="27">
        <v>58.333333333333336</v>
      </c>
      <c r="L8" s="27">
        <v>58.333333333333336</v>
      </c>
      <c r="M8" s="27">
        <v>58.333333333333336</v>
      </c>
      <c r="N8" s="27">
        <v>58.333333333333336</v>
      </c>
      <c r="O8" s="27">
        <v>58.333333333333336</v>
      </c>
      <c r="P8" s="27">
        <v>58.333333333333336</v>
      </c>
      <c r="Q8" s="27">
        <v>58.333333333333336</v>
      </c>
      <c r="R8" s="27">
        <v>58.333333333333336</v>
      </c>
      <c r="S8" s="27">
        <v>58.333333333333336</v>
      </c>
      <c r="T8" s="27">
        <v>58.333333333333336</v>
      </c>
      <c r="U8" s="27">
        <v>58.333333333333336</v>
      </c>
      <c r="V8" s="27">
        <v>58.333333333333336</v>
      </c>
      <c r="W8" s="27">
        <v>58.333333333333336</v>
      </c>
      <c r="X8" s="27">
        <v>58.333333333333336</v>
      </c>
      <c r="Y8" s="27">
        <v>58.333333333333336</v>
      </c>
      <c r="Z8" s="27">
        <v>58.333333333333336</v>
      </c>
      <c r="AA8" s="27">
        <v>58.333333333333336</v>
      </c>
      <c r="AB8" s="27">
        <v>58.333333333333336</v>
      </c>
      <c r="AC8" s="27">
        <v>58.333333333333336</v>
      </c>
      <c r="AD8" s="27">
        <v>58.333333333333336</v>
      </c>
      <c r="AE8" s="27">
        <v>58.333333333333336</v>
      </c>
      <c r="AF8" s="27">
        <v>58.333333333333336</v>
      </c>
      <c r="AG8" s="27">
        <v>58.333333333333336</v>
      </c>
      <c r="AH8" s="27">
        <v>58.333333333333336</v>
      </c>
      <c r="AI8" s="27">
        <v>58.333333333333336</v>
      </c>
      <c r="AJ8" s="27">
        <v>58.333333333333336</v>
      </c>
      <c r="AK8" s="27">
        <v>58.333333333333336</v>
      </c>
      <c r="AL8" s="27">
        <v>58.333333333333336</v>
      </c>
      <c r="AM8" s="27">
        <v>58.333333333333336</v>
      </c>
      <c r="AN8" s="27">
        <v>58.333333333333336</v>
      </c>
      <c r="AO8" s="27">
        <v>58.333333333333336</v>
      </c>
      <c r="AP8" s="27">
        <v>58.333333333333336</v>
      </c>
      <c r="AQ8" s="27">
        <v>58.333333333333336</v>
      </c>
      <c r="AR8" s="27">
        <v>58.333333333333336</v>
      </c>
      <c r="AS8" s="27">
        <v>58.333333333333336</v>
      </c>
      <c r="AT8" s="27">
        <v>58.333333333333336</v>
      </c>
      <c r="AU8" s="27">
        <v>58.333333333333336</v>
      </c>
      <c r="AV8" s="27">
        <v>58.333333333333336</v>
      </c>
      <c r="AW8" s="27">
        <v>58.333333333333336</v>
      </c>
      <c r="AX8" s="27">
        <v>58.333333333333336</v>
      </c>
      <c r="AY8" s="27">
        <v>58.333333333333336</v>
      </c>
      <c r="AZ8" s="27">
        <v>58.333333333333336</v>
      </c>
      <c r="BA8" s="27">
        <v>58.333333333333336</v>
      </c>
      <c r="BB8" s="27">
        <v>58.333333333333336</v>
      </c>
      <c r="BC8" s="27">
        <v>58.333333333333336</v>
      </c>
      <c r="BD8" s="27">
        <v>58.333333333333336</v>
      </c>
      <c r="BE8" s="27">
        <v>58.333333333333336</v>
      </c>
      <c r="BF8" s="27">
        <v>58.333333333333336</v>
      </c>
      <c r="BG8" s="27">
        <v>58.333333333333336</v>
      </c>
      <c r="BH8" s="27">
        <v>58.333333333333336</v>
      </c>
    </row>
    <row r="9" spans="1:60" ht="21" hidden="1" customHeight="1" outlineLevel="1" x14ac:dyDescent="0.25">
      <c r="A9" s="26" t="s">
        <v>115</v>
      </c>
      <c r="B9" s="27">
        <v>19.444444444444446</v>
      </c>
      <c r="C9" s="27">
        <v>19.444444444444446</v>
      </c>
      <c r="D9" s="27">
        <v>19.444444444444446</v>
      </c>
      <c r="E9" s="27">
        <v>19.444444444444446</v>
      </c>
      <c r="F9" s="27">
        <v>19.444444444444446</v>
      </c>
      <c r="G9" s="27">
        <v>19.444444444444446</v>
      </c>
      <c r="H9" s="27">
        <v>19.444444444444446</v>
      </c>
      <c r="I9" s="27">
        <v>19.444444444444446</v>
      </c>
      <c r="J9" s="27">
        <v>19.444444444444446</v>
      </c>
      <c r="K9" s="27">
        <v>19.444444444444446</v>
      </c>
      <c r="L9" s="27">
        <v>19.444444444444446</v>
      </c>
      <c r="M9" s="27">
        <v>19.444444444444446</v>
      </c>
      <c r="N9" s="27">
        <v>19.444444444444446</v>
      </c>
      <c r="O9" s="27">
        <v>19.444444444444446</v>
      </c>
      <c r="P9" s="27">
        <v>19.444444444444446</v>
      </c>
      <c r="Q9" s="27">
        <v>19.444444444444446</v>
      </c>
      <c r="R9" s="27">
        <v>19.444444444444446</v>
      </c>
      <c r="S9" s="27">
        <v>19.444444444444446</v>
      </c>
      <c r="T9" s="27">
        <v>19.444444444444446</v>
      </c>
      <c r="U9" s="27">
        <v>19.444444444444446</v>
      </c>
      <c r="V9" s="27">
        <v>19.444444444444446</v>
      </c>
      <c r="W9" s="27">
        <v>19.444444444444446</v>
      </c>
      <c r="X9" s="27">
        <v>19.444444444444446</v>
      </c>
      <c r="Y9" s="27">
        <v>19.444444444444446</v>
      </c>
      <c r="Z9" s="27">
        <v>19.444444444444446</v>
      </c>
      <c r="AA9" s="27">
        <v>19.444444444444446</v>
      </c>
      <c r="AB9" s="27">
        <v>19.444444444444446</v>
      </c>
      <c r="AC9" s="27">
        <v>19.444444444444446</v>
      </c>
      <c r="AD9" s="27">
        <v>19.444444444444446</v>
      </c>
      <c r="AE9" s="27">
        <v>19.444444444444446</v>
      </c>
      <c r="AF9" s="27">
        <v>19.444444444444446</v>
      </c>
      <c r="AG9" s="27">
        <v>19.444444444444446</v>
      </c>
      <c r="AH9" s="27">
        <v>19.444444444444446</v>
      </c>
      <c r="AI9" s="27">
        <v>19.444444444444446</v>
      </c>
      <c r="AJ9" s="27">
        <v>19.444444444444446</v>
      </c>
      <c r="AK9" s="27">
        <v>19.444444444444446</v>
      </c>
      <c r="AL9" s="27">
        <v>19.444444444444446</v>
      </c>
      <c r="AM9" s="27">
        <v>19.444444444444446</v>
      </c>
      <c r="AN9" s="27">
        <v>19.444444444444446</v>
      </c>
      <c r="AO9" s="27">
        <v>19.444444444444446</v>
      </c>
      <c r="AP9" s="27">
        <v>19.444444444444446</v>
      </c>
      <c r="AQ9" s="27">
        <v>19.444444444444446</v>
      </c>
      <c r="AR9" s="27">
        <v>19.444444444444446</v>
      </c>
      <c r="AS9" s="27">
        <v>19.444444444444446</v>
      </c>
      <c r="AT9" s="27">
        <v>19.444444444444446</v>
      </c>
      <c r="AU9" s="27">
        <v>19.444444444444446</v>
      </c>
      <c r="AV9" s="27">
        <v>19.444444444444446</v>
      </c>
      <c r="AW9" s="27">
        <v>19.444444444444446</v>
      </c>
      <c r="AX9" s="27">
        <v>19.444444444444446</v>
      </c>
      <c r="AY9" s="27">
        <v>19.444444444444446</v>
      </c>
      <c r="AZ9" s="27">
        <v>19.444444444444446</v>
      </c>
      <c r="BA9" s="27">
        <v>19.444444444444446</v>
      </c>
      <c r="BB9" s="27">
        <v>19.444444444444446</v>
      </c>
      <c r="BC9" s="27">
        <v>19.444444444444446</v>
      </c>
      <c r="BD9" s="27">
        <v>19.444444444444446</v>
      </c>
      <c r="BE9" s="27">
        <v>19.444444444444446</v>
      </c>
      <c r="BF9" s="27">
        <v>19.444444444444446</v>
      </c>
      <c r="BG9" s="27">
        <v>19.444444444444446</v>
      </c>
      <c r="BH9" s="27">
        <v>19.444444444444446</v>
      </c>
    </row>
    <row r="10" spans="1:60" ht="21" hidden="1" customHeight="1" outlineLevel="1" x14ac:dyDescent="0.25">
      <c r="A10" s="26" t="s">
        <v>116</v>
      </c>
      <c r="B10" s="27">
        <v>27.490886111111116</v>
      </c>
      <c r="C10" s="27">
        <v>27.490886111111116</v>
      </c>
      <c r="D10" s="27">
        <v>27.490886111111116</v>
      </c>
      <c r="E10" s="27">
        <v>27.490886111111116</v>
      </c>
      <c r="F10" s="27">
        <v>27.490886111111116</v>
      </c>
      <c r="G10" s="27">
        <v>27.490886111111116</v>
      </c>
      <c r="H10" s="27">
        <v>27.490886111111116</v>
      </c>
      <c r="I10" s="27">
        <v>27.490886111111116</v>
      </c>
      <c r="J10" s="27">
        <v>27.490886111111116</v>
      </c>
      <c r="K10" s="27">
        <v>27.490886111111116</v>
      </c>
      <c r="L10" s="27">
        <v>27.490886111111116</v>
      </c>
      <c r="M10" s="27">
        <v>27.490886111111116</v>
      </c>
      <c r="N10" s="27">
        <v>27.490886111111116</v>
      </c>
      <c r="O10" s="27">
        <v>27.490886111111116</v>
      </c>
      <c r="P10" s="27">
        <v>27.490886111111116</v>
      </c>
      <c r="Q10" s="27">
        <v>27.490886111111116</v>
      </c>
      <c r="R10" s="27">
        <v>27.490886111111116</v>
      </c>
      <c r="S10" s="27">
        <v>27.490886111111116</v>
      </c>
      <c r="T10" s="27">
        <v>27.490886111111116</v>
      </c>
      <c r="U10" s="27">
        <v>27.490886111111116</v>
      </c>
      <c r="V10" s="27">
        <v>27.490886111111116</v>
      </c>
      <c r="W10" s="27">
        <v>27.490886111111116</v>
      </c>
      <c r="X10" s="27">
        <v>27.490886111111116</v>
      </c>
      <c r="Y10" s="27">
        <v>27.490886111111116</v>
      </c>
      <c r="Z10" s="27">
        <v>27.490886111111116</v>
      </c>
      <c r="AA10" s="27">
        <v>27.490886111111116</v>
      </c>
      <c r="AB10" s="27">
        <v>27.490886111111116</v>
      </c>
      <c r="AC10" s="27">
        <v>27.490886111111116</v>
      </c>
      <c r="AD10" s="27">
        <v>27.490886111111116</v>
      </c>
      <c r="AE10" s="27">
        <v>27.490886111111116</v>
      </c>
      <c r="AF10" s="27">
        <v>27.490886111111116</v>
      </c>
      <c r="AG10" s="27">
        <v>27.490886111111116</v>
      </c>
      <c r="AH10" s="27">
        <v>27.490886111111116</v>
      </c>
      <c r="AI10" s="27">
        <v>27.490886111111116</v>
      </c>
      <c r="AJ10" s="27">
        <v>27.490886111111116</v>
      </c>
      <c r="AK10" s="27">
        <v>27.490886111111116</v>
      </c>
      <c r="AL10" s="27">
        <v>27.490886111111116</v>
      </c>
      <c r="AM10" s="27">
        <v>27.490886111111116</v>
      </c>
      <c r="AN10" s="27">
        <v>27.490886111111116</v>
      </c>
      <c r="AO10" s="27">
        <v>27.490886111111116</v>
      </c>
      <c r="AP10" s="27">
        <v>27.490886111111116</v>
      </c>
      <c r="AQ10" s="27">
        <v>27.490886111111116</v>
      </c>
      <c r="AR10" s="27">
        <v>27.490886111111116</v>
      </c>
      <c r="AS10" s="27">
        <v>27.490886111111116</v>
      </c>
      <c r="AT10" s="27">
        <v>27.490886111111116</v>
      </c>
      <c r="AU10" s="27">
        <v>27.490886111111116</v>
      </c>
      <c r="AV10" s="27">
        <v>27.490886111111116</v>
      </c>
      <c r="AW10" s="27">
        <v>27.490886111111116</v>
      </c>
      <c r="AX10" s="27">
        <v>27.490886111111116</v>
      </c>
      <c r="AY10" s="27">
        <v>27.490886111111116</v>
      </c>
      <c r="AZ10" s="27">
        <v>27.490886111111116</v>
      </c>
      <c r="BA10" s="27">
        <v>27.490886111111116</v>
      </c>
      <c r="BB10" s="27">
        <v>27.490886111111116</v>
      </c>
      <c r="BC10" s="27">
        <v>27.490886111111116</v>
      </c>
      <c r="BD10" s="27">
        <v>27.490886111111116</v>
      </c>
      <c r="BE10" s="27">
        <v>27.490886111111116</v>
      </c>
      <c r="BF10" s="27">
        <v>27.490886111111116</v>
      </c>
      <c r="BG10" s="27">
        <v>27.490886111111116</v>
      </c>
      <c r="BH10" s="27">
        <v>27.490886111111116</v>
      </c>
    </row>
    <row r="11" spans="1:60" ht="21" hidden="1" customHeight="1" outlineLevel="1" x14ac:dyDescent="0.25">
      <c r="A11" s="26" t="s">
        <v>117</v>
      </c>
      <c r="B11" s="27">
        <v>35</v>
      </c>
      <c r="C11" s="27">
        <v>35</v>
      </c>
      <c r="D11" s="27">
        <v>35</v>
      </c>
      <c r="E11" s="27">
        <v>35</v>
      </c>
      <c r="F11" s="27">
        <v>35</v>
      </c>
      <c r="G11" s="27">
        <v>35</v>
      </c>
      <c r="H11" s="27">
        <v>35</v>
      </c>
      <c r="I11" s="27">
        <v>35</v>
      </c>
      <c r="J11" s="27">
        <v>35</v>
      </c>
      <c r="K11" s="27">
        <v>35</v>
      </c>
      <c r="L11" s="27">
        <v>35</v>
      </c>
      <c r="M11" s="27">
        <v>35</v>
      </c>
      <c r="N11" s="27">
        <v>35</v>
      </c>
      <c r="O11" s="27">
        <v>35</v>
      </c>
      <c r="P11" s="27">
        <v>35</v>
      </c>
      <c r="Q11" s="27">
        <v>35</v>
      </c>
      <c r="R11" s="27">
        <v>35</v>
      </c>
      <c r="S11" s="27">
        <v>35</v>
      </c>
      <c r="T11" s="27">
        <v>35</v>
      </c>
      <c r="U11" s="27">
        <v>35</v>
      </c>
      <c r="V11" s="27">
        <v>35</v>
      </c>
      <c r="W11" s="27">
        <v>35</v>
      </c>
      <c r="X11" s="27">
        <v>35</v>
      </c>
      <c r="Y11" s="27">
        <v>35</v>
      </c>
      <c r="Z11" s="27">
        <v>35</v>
      </c>
      <c r="AA11" s="27">
        <v>35</v>
      </c>
      <c r="AB11" s="27">
        <v>35</v>
      </c>
      <c r="AC11" s="27">
        <v>35</v>
      </c>
      <c r="AD11" s="27">
        <v>35</v>
      </c>
      <c r="AE11" s="27">
        <v>35</v>
      </c>
      <c r="AF11" s="27">
        <v>35</v>
      </c>
      <c r="AG11" s="27">
        <v>35</v>
      </c>
      <c r="AH11" s="27">
        <v>35</v>
      </c>
      <c r="AI11" s="27">
        <v>35</v>
      </c>
      <c r="AJ11" s="27">
        <v>35</v>
      </c>
      <c r="AK11" s="27">
        <v>35</v>
      </c>
      <c r="AL11" s="27">
        <v>35</v>
      </c>
      <c r="AM11" s="27">
        <v>35</v>
      </c>
      <c r="AN11" s="27">
        <v>35</v>
      </c>
      <c r="AO11" s="27">
        <v>35</v>
      </c>
      <c r="AP11" s="27">
        <v>35</v>
      </c>
      <c r="AQ11" s="27">
        <v>35</v>
      </c>
      <c r="AR11" s="27">
        <v>35</v>
      </c>
      <c r="AS11" s="27">
        <v>35</v>
      </c>
      <c r="AT11" s="27">
        <v>35</v>
      </c>
      <c r="AU11" s="27">
        <v>35</v>
      </c>
      <c r="AV11" s="27">
        <v>35</v>
      </c>
      <c r="AW11" s="27">
        <v>35</v>
      </c>
      <c r="AX11" s="27">
        <v>35</v>
      </c>
      <c r="AY11" s="27">
        <v>35</v>
      </c>
      <c r="AZ11" s="27">
        <v>35</v>
      </c>
      <c r="BA11" s="27">
        <v>35</v>
      </c>
      <c r="BB11" s="27">
        <v>35</v>
      </c>
      <c r="BC11" s="27">
        <v>35</v>
      </c>
      <c r="BD11" s="27">
        <v>35</v>
      </c>
      <c r="BE11" s="27">
        <v>35</v>
      </c>
      <c r="BF11" s="27">
        <v>35</v>
      </c>
      <c r="BG11" s="27">
        <v>35</v>
      </c>
      <c r="BH11" s="27">
        <v>35</v>
      </c>
    </row>
    <row r="12" spans="1:60" ht="21" hidden="1" customHeight="1" outlineLevel="1" x14ac:dyDescent="0.25">
      <c r="A12" s="26" t="s">
        <v>118</v>
      </c>
      <c r="B12" s="27">
        <v>35</v>
      </c>
      <c r="C12" s="27">
        <v>35</v>
      </c>
      <c r="D12" s="27">
        <v>35</v>
      </c>
      <c r="E12" s="27">
        <v>35</v>
      </c>
      <c r="F12" s="27">
        <v>35</v>
      </c>
      <c r="G12" s="27">
        <v>35</v>
      </c>
      <c r="H12" s="27">
        <v>35</v>
      </c>
      <c r="I12" s="27">
        <v>35</v>
      </c>
      <c r="J12" s="27">
        <v>35</v>
      </c>
      <c r="K12" s="27">
        <v>35</v>
      </c>
      <c r="L12" s="27">
        <v>35</v>
      </c>
      <c r="M12" s="27">
        <v>35</v>
      </c>
      <c r="N12" s="27">
        <v>35</v>
      </c>
      <c r="O12" s="27">
        <v>35</v>
      </c>
      <c r="P12" s="27">
        <v>35</v>
      </c>
      <c r="Q12" s="27">
        <v>35</v>
      </c>
      <c r="R12" s="27">
        <v>35</v>
      </c>
      <c r="S12" s="27">
        <v>35</v>
      </c>
      <c r="T12" s="27">
        <v>35</v>
      </c>
      <c r="U12" s="27">
        <v>35</v>
      </c>
      <c r="V12" s="27">
        <v>35</v>
      </c>
      <c r="W12" s="27">
        <v>35</v>
      </c>
      <c r="X12" s="27">
        <v>35</v>
      </c>
      <c r="Y12" s="27">
        <v>35</v>
      </c>
      <c r="Z12" s="27">
        <v>35</v>
      </c>
      <c r="AA12" s="27">
        <v>35</v>
      </c>
      <c r="AB12" s="27">
        <v>35</v>
      </c>
      <c r="AC12" s="27">
        <v>35</v>
      </c>
      <c r="AD12" s="27">
        <v>35</v>
      </c>
      <c r="AE12" s="27">
        <v>35</v>
      </c>
      <c r="AF12" s="27">
        <v>35</v>
      </c>
      <c r="AG12" s="27">
        <v>35</v>
      </c>
      <c r="AH12" s="27">
        <v>35</v>
      </c>
      <c r="AI12" s="27">
        <v>35</v>
      </c>
      <c r="AJ12" s="27">
        <v>35</v>
      </c>
      <c r="AK12" s="27">
        <v>35</v>
      </c>
      <c r="AL12" s="27">
        <v>35</v>
      </c>
      <c r="AM12" s="27">
        <v>35</v>
      </c>
      <c r="AN12" s="27">
        <v>35</v>
      </c>
      <c r="AO12" s="27">
        <v>35</v>
      </c>
      <c r="AP12" s="27">
        <v>35</v>
      </c>
      <c r="AQ12" s="27">
        <v>35</v>
      </c>
      <c r="AR12" s="27">
        <v>35</v>
      </c>
      <c r="AS12" s="27">
        <v>35</v>
      </c>
      <c r="AT12" s="27">
        <v>35</v>
      </c>
      <c r="AU12" s="27">
        <v>35</v>
      </c>
      <c r="AV12" s="27">
        <v>35</v>
      </c>
      <c r="AW12" s="27">
        <v>35</v>
      </c>
      <c r="AX12" s="27">
        <v>35</v>
      </c>
      <c r="AY12" s="27">
        <v>35</v>
      </c>
      <c r="AZ12" s="27">
        <v>35</v>
      </c>
      <c r="BA12" s="27">
        <v>35</v>
      </c>
      <c r="BB12" s="27">
        <v>35</v>
      </c>
      <c r="BC12" s="27">
        <v>35</v>
      </c>
      <c r="BD12" s="27">
        <v>35</v>
      </c>
      <c r="BE12" s="27">
        <v>35</v>
      </c>
      <c r="BF12" s="27">
        <v>35</v>
      </c>
      <c r="BG12" s="27">
        <v>35</v>
      </c>
      <c r="BH12" s="27">
        <v>35</v>
      </c>
    </row>
    <row r="13" spans="1:60" ht="21" hidden="1" customHeight="1" outlineLevel="1" x14ac:dyDescent="0.25">
      <c r="A13" s="26" t="s">
        <v>119</v>
      </c>
      <c r="B13" s="27">
        <v>19.454707222222222</v>
      </c>
      <c r="C13" s="27">
        <v>19.454707222222222</v>
      </c>
      <c r="D13" s="27">
        <v>19.454707222222222</v>
      </c>
      <c r="E13" s="27">
        <v>19.454707222222222</v>
      </c>
      <c r="F13" s="27">
        <v>19.454707222222222</v>
      </c>
      <c r="G13" s="27">
        <v>19.454707222222222</v>
      </c>
      <c r="H13" s="27">
        <v>19.454707222222222</v>
      </c>
      <c r="I13" s="27">
        <v>19.454707222222222</v>
      </c>
      <c r="J13" s="27">
        <v>19.454707222222222</v>
      </c>
      <c r="K13" s="27">
        <v>19.454707222222222</v>
      </c>
      <c r="L13" s="27">
        <v>19.454707222222222</v>
      </c>
      <c r="M13" s="27">
        <v>19.454707222222222</v>
      </c>
      <c r="N13" s="27">
        <v>19.454707222222222</v>
      </c>
      <c r="O13" s="27">
        <v>19.454707222222222</v>
      </c>
      <c r="P13" s="27">
        <v>19.454707222222222</v>
      </c>
      <c r="Q13" s="27">
        <v>19.454707222222222</v>
      </c>
      <c r="R13" s="27">
        <v>19.454707222222222</v>
      </c>
      <c r="S13" s="27">
        <v>19.454707222222222</v>
      </c>
      <c r="T13" s="27">
        <v>19.454707222222222</v>
      </c>
      <c r="U13" s="27">
        <v>19.454707222222222</v>
      </c>
      <c r="V13" s="27">
        <v>19.454707222222222</v>
      </c>
      <c r="W13" s="27">
        <v>19.454707222222222</v>
      </c>
      <c r="X13" s="27">
        <v>19.454707222222222</v>
      </c>
      <c r="Y13" s="27">
        <v>19.454707222222222</v>
      </c>
      <c r="Z13" s="27">
        <v>19.454707222222222</v>
      </c>
      <c r="AA13" s="27">
        <v>19.454707222222222</v>
      </c>
      <c r="AB13" s="27">
        <v>19.454707222222222</v>
      </c>
      <c r="AC13" s="27">
        <v>19.454707222222222</v>
      </c>
      <c r="AD13" s="27">
        <v>19.454707222222222</v>
      </c>
      <c r="AE13" s="27">
        <v>19.454707222222222</v>
      </c>
      <c r="AF13" s="27">
        <v>19.454707222222222</v>
      </c>
      <c r="AG13" s="27">
        <v>19.454707222222222</v>
      </c>
      <c r="AH13" s="27">
        <v>19.454707222222222</v>
      </c>
      <c r="AI13" s="27">
        <v>19.454707222222222</v>
      </c>
      <c r="AJ13" s="27">
        <v>19.454707222222222</v>
      </c>
      <c r="AK13" s="27">
        <v>19.454707222222222</v>
      </c>
      <c r="AL13" s="27">
        <v>19.454707222222222</v>
      </c>
      <c r="AM13" s="27">
        <v>19.454707222222222</v>
      </c>
      <c r="AN13" s="27">
        <v>19.454707222222222</v>
      </c>
      <c r="AO13" s="27">
        <v>19.454707222222222</v>
      </c>
      <c r="AP13" s="27">
        <v>19.454707222222222</v>
      </c>
      <c r="AQ13" s="27">
        <v>19.454707222222222</v>
      </c>
      <c r="AR13" s="27">
        <v>19.454707222222222</v>
      </c>
      <c r="AS13" s="27">
        <v>19.454707222222222</v>
      </c>
      <c r="AT13" s="27">
        <v>19.454707222222222</v>
      </c>
      <c r="AU13" s="27">
        <v>19.454707222222222</v>
      </c>
      <c r="AV13" s="27">
        <v>19.454707222222222</v>
      </c>
      <c r="AW13" s="27">
        <v>19.454707222222222</v>
      </c>
      <c r="AX13" s="27">
        <v>19.454707222222222</v>
      </c>
      <c r="AY13" s="27">
        <v>19.454707222222222</v>
      </c>
      <c r="AZ13" s="27">
        <v>19.454707222222222</v>
      </c>
      <c r="BA13" s="27">
        <v>19.454707222222222</v>
      </c>
      <c r="BB13" s="27">
        <v>19.454707222222222</v>
      </c>
      <c r="BC13" s="27">
        <v>19.454707222222222</v>
      </c>
      <c r="BD13" s="27">
        <v>19.454707222222222</v>
      </c>
      <c r="BE13" s="27">
        <v>19.454707222222222</v>
      </c>
      <c r="BF13" s="27">
        <v>19.454707222222222</v>
      </c>
      <c r="BG13" s="27">
        <v>19.454707222222222</v>
      </c>
      <c r="BH13" s="27">
        <v>19.454707222222222</v>
      </c>
    </row>
    <row r="14" spans="1:60" ht="21" hidden="1" customHeight="1" outlineLevel="1" x14ac:dyDescent="0.25">
      <c r="A14" s="26" t="s">
        <v>120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</row>
    <row r="15" spans="1:60" ht="21" hidden="1" customHeight="1" outlineLevel="1" x14ac:dyDescent="0.25">
      <c r="A15" s="26" t="s">
        <v>121</v>
      </c>
      <c r="B15" s="27">
        <v>58.495535000000004</v>
      </c>
      <c r="C15" s="27">
        <v>58.495535000000004</v>
      </c>
      <c r="D15" s="27">
        <v>58.495535000000004</v>
      </c>
      <c r="E15" s="27">
        <v>58.495535000000004</v>
      </c>
      <c r="F15" s="27">
        <v>58.495535000000004</v>
      </c>
      <c r="G15" s="27">
        <v>58.495535000000004</v>
      </c>
      <c r="H15" s="27">
        <v>58.495535000000004</v>
      </c>
      <c r="I15" s="27">
        <v>58.495535000000004</v>
      </c>
      <c r="J15" s="27">
        <v>58.495535000000004</v>
      </c>
      <c r="K15" s="27">
        <v>58.495535000000004</v>
      </c>
      <c r="L15" s="27">
        <v>58.495535000000004</v>
      </c>
      <c r="M15" s="27">
        <v>58.495535000000004</v>
      </c>
      <c r="N15" s="27">
        <v>58.495535000000004</v>
      </c>
      <c r="O15" s="27">
        <v>58.495535000000004</v>
      </c>
      <c r="P15" s="27">
        <v>58.495535000000004</v>
      </c>
      <c r="Q15" s="27">
        <v>58.495535000000004</v>
      </c>
      <c r="R15" s="27">
        <v>58.495535000000004</v>
      </c>
      <c r="S15" s="27">
        <v>58.495535000000004</v>
      </c>
      <c r="T15" s="27">
        <v>58.495535000000004</v>
      </c>
      <c r="U15" s="27">
        <v>58.495535000000004</v>
      </c>
      <c r="V15" s="27">
        <v>58.495535000000004</v>
      </c>
      <c r="W15" s="27">
        <v>58.495535000000004</v>
      </c>
      <c r="X15" s="27">
        <v>58.495535000000004</v>
      </c>
      <c r="Y15" s="27">
        <v>58.495535000000004</v>
      </c>
      <c r="Z15" s="27">
        <v>58.495535000000004</v>
      </c>
      <c r="AA15" s="27">
        <v>58.495535000000004</v>
      </c>
      <c r="AB15" s="27">
        <v>58.495535000000004</v>
      </c>
      <c r="AC15" s="27">
        <v>58.495535000000004</v>
      </c>
      <c r="AD15" s="27">
        <v>58.495535000000004</v>
      </c>
      <c r="AE15" s="27">
        <v>58.495535000000004</v>
      </c>
      <c r="AF15" s="27">
        <v>58.495535000000004</v>
      </c>
      <c r="AG15" s="27">
        <v>58.495535000000004</v>
      </c>
      <c r="AH15" s="27">
        <v>58.495535000000004</v>
      </c>
      <c r="AI15" s="27">
        <v>58.495535000000004</v>
      </c>
      <c r="AJ15" s="27">
        <v>58.495535000000004</v>
      </c>
      <c r="AK15" s="27">
        <v>58.495535000000004</v>
      </c>
      <c r="AL15" s="27">
        <v>58.495535000000004</v>
      </c>
      <c r="AM15" s="27">
        <v>58.495535000000004</v>
      </c>
      <c r="AN15" s="27">
        <v>58.495535000000004</v>
      </c>
      <c r="AO15" s="27">
        <v>58.495535000000004</v>
      </c>
      <c r="AP15" s="27">
        <v>58.495535000000004</v>
      </c>
      <c r="AQ15" s="27">
        <v>58.495535000000004</v>
      </c>
      <c r="AR15" s="27">
        <v>58.495535000000004</v>
      </c>
      <c r="AS15" s="27">
        <v>58.495535000000004</v>
      </c>
      <c r="AT15" s="27">
        <v>58.495535000000004</v>
      </c>
      <c r="AU15" s="27">
        <v>58.495535000000004</v>
      </c>
      <c r="AV15" s="27">
        <v>58.495535000000004</v>
      </c>
      <c r="AW15" s="27">
        <v>58.495535000000004</v>
      </c>
      <c r="AX15" s="27">
        <v>58.495535000000004</v>
      </c>
      <c r="AY15" s="27">
        <v>58.495535000000004</v>
      </c>
      <c r="AZ15" s="27">
        <v>58.495535000000004</v>
      </c>
      <c r="BA15" s="27">
        <v>58.495535000000004</v>
      </c>
      <c r="BB15" s="27">
        <v>58.495535000000004</v>
      </c>
      <c r="BC15" s="27">
        <v>58.495535000000004</v>
      </c>
      <c r="BD15" s="27">
        <v>58.495535000000004</v>
      </c>
      <c r="BE15" s="27">
        <v>58.495535000000004</v>
      </c>
      <c r="BF15" s="27">
        <v>58.495535000000004</v>
      </c>
      <c r="BG15" s="27">
        <v>58.495535000000004</v>
      </c>
      <c r="BH15" s="27">
        <v>58.495535000000004</v>
      </c>
    </row>
    <row r="16" spans="1:60" ht="21" hidden="1" customHeight="1" outlineLevel="1" x14ac:dyDescent="0.25">
      <c r="A16" s="26" t="s">
        <v>122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</row>
    <row r="17" spans="1:60" ht="21" hidden="1" customHeight="1" outlineLevel="1" x14ac:dyDescent="0.25">
      <c r="A17" s="26" t="s">
        <v>123</v>
      </c>
      <c r="B17" s="27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</row>
    <row r="18" spans="1:60" ht="21" hidden="1" customHeight="1" outlineLevel="1" x14ac:dyDescent="0.25">
      <c r="A18" s="26" t="s">
        <v>124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</row>
    <row r="19" spans="1:60" ht="21" hidden="1" customHeight="1" outlineLevel="1" x14ac:dyDescent="0.25">
      <c r="A19" s="26" t="s">
        <v>125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</row>
    <row r="20" spans="1:60" ht="21" hidden="1" customHeight="1" outlineLevel="1" x14ac:dyDescent="0.25">
      <c r="A20" s="26" t="s">
        <v>126</v>
      </c>
      <c r="B20" s="27">
        <v>73.8888888888889</v>
      </c>
      <c r="C20" s="27">
        <v>73.8888888888889</v>
      </c>
      <c r="D20" s="27">
        <v>73.8888888888889</v>
      </c>
      <c r="E20" s="27">
        <v>73.8888888888889</v>
      </c>
      <c r="F20" s="27">
        <v>73.8888888888889</v>
      </c>
      <c r="G20" s="27">
        <v>73.8888888888889</v>
      </c>
      <c r="H20" s="27">
        <v>73.8888888888889</v>
      </c>
      <c r="I20" s="27">
        <v>73.8888888888889</v>
      </c>
      <c r="J20" s="27">
        <v>73.8888888888889</v>
      </c>
      <c r="K20" s="27">
        <v>73.8888888888889</v>
      </c>
      <c r="L20" s="27">
        <v>73.8888888888889</v>
      </c>
      <c r="M20" s="27">
        <v>73.8888888888889</v>
      </c>
      <c r="N20" s="27">
        <v>73.8888888888889</v>
      </c>
      <c r="O20" s="27">
        <v>73.8888888888889</v>
      </c>
      <c r="P20" s="27">
        <v>73.8888888888889</v>
      </c>
      <c r="Q20" s="27">
        <v>73.8888888888889</v>
      </c>
      <c r="R20" s="27">
        <v>73.8888888888889</v>
      </c>
      <c r="S20" s="27">
        <v>73.8888888888889</v>
      </c>
      <c r="T20" s="27">
        <v>73.8888888888889</v>
      </c>
      <c r="U20" s="27">
        <v>73.8888888888889</v>
      </c>
      <c r="V20" s="27">
        <v>73.8888888888889</v>
      </c>
      <c r="W20" s="27">
        <v>73.8888888888889</v>
      </c>
      <c r="X20" s="27">
        <v>73.8888888888889</v>
      </c>
      <c r="Y20" s="27">
        <v>73.8888888888889</v>
      </c>
      <c r="Z20" s="27">
        <v>73.8888888888889</v>
      </c>
      <c r="AA20" s="27">
        <v>73.8888888888889</v>
      </c>
      <c r="AB20" s="27">
        <v>73.8888888888889</v>
      </c>
      <c r="AC20" s="27">
        <v>73.8888888888889</v>
      </c>
      <c r="AD20" s="27">
        <v>73.8888888888889</v>
      </c>
      <c r="AE20" s="27">
        <v>73.8888888888889</v>
      </c>
      <c r="AF20" s="27">
        <v>73.8888888888889</v>
      </c>
      <c r="AG20" s="27">
        <v>73.8888888888889</v>
      </c>
      <c r="AH20" s="27">
        <v>73.8888888888889</v>
      </c>
      <c r="AI20" s="27">
        <v>73.8888888888889</v>
      </c>
      <c r="AJ20" s="27">
        <v>73.8888888888889</v>
      </c>
      <c r="AK20" s="27">
        <v>73.8888888888889</v>
      </c>
      <c r="AL20" s="27">
        <v>73.8888888888889</v>
      </c>
      <c r="AM20" s="27">
        <v>73.8888888888889</v>
      </c>
      <c r="AN20" s="27">
        <v>73.8888888888889</v>
      </c>
      <c r="AO20" s="27">
        <v>73.8888888888889</v>
      </c>
      <c r="AP20" s="27">
        <v>73.8888888888889</v>
      </c>
      <c r="AQ20" s="27">
        <v>73.8888888888889</v>
      </c>
      <c r="AR20" s="27">
        <v>73.8888888888889</v>
      </c>
      <c r="AS20" s="27">
        <v>73.8888888888889</v>
      </c>
      <c r="AT20" s="27">
        <v>73.8888888888889</v>
      </c>
      <c r="AU20" s="27">
        <v>73.8888888888889</v>
      </c>
      <c r="AV20" s="27">
        <v>73.8888888888889</v>
      </c>
      <c r="AW20" s="27">
        <v>73.8888888888889</v>
      </c>
      <c r="AX20" s="27">
        <v>73.8888888888889</v>
      </c>
      <c r="AY20" s="27">
        <v>73.8888888888889</v>
      </c>
      <c r="AZ20" s="27">
        <v>73.8888888888889</v>
      </c>
      <c r="BA20" s="27">
        <v>73.8888888888889</v>
      </c>
      <c r="BB20" s="27">
        <v>73.8888888888889</v>
      </c>
      <c r="BC20" s="27">
        <v>73.8888888888889</v>
      </c>
      <c r="BD20" s="27">
        <v>73.8888888888889</v>
      </c>
      <c r="BE20" s="27">
        <v>73.8888888888889</v>
      </c>
      <c r="BF20" s="27">
        <v>73.8888888888889</v>
      </c>
      <c r="BG20" s="27">
        <v>73.8888888888889</v>
      </c>
      <c r="BH20" s="27">
        <v>73.8888888888889</v>
      </c>
    </row>
    <row r="21" spans="1:60" ht="21" hidden="1" customHeight="1" outlineLevel="1" x14ac:dyDescent="0.25">
      <c r="A21" s="26" t="s">
        <v>127</v>
      </c>
      <c r="B21" s="27">
        <v>58.333333333333336</v>
      </c>
      <c r="C21" s="27">
        <v>58.333333333333336</v>
      </c>
      <c r="D21" s="27">
        <v>58.333333333333336</v>
      </c>
      <c r="E21" s="27">
        <v>58.333333333333336</v>
      </c>
      <c r="F21" s="27">
        <v>58.333333333333336</v>
      </c>
      <c r="G21" s="27">
        <v>58.333333333333336</v>
      </c>
      <c r="H21" s="27">
        <v>58.333333333333336</v>
      </c>
      <c r="I21" s="27">
        <v>58.333333333333336</v>
      </c>
      <c r="J21" s="27">
        <v>58.333333333333336</v>
      </c>
      <c r="K21" s="27">
        <v>58.333333333333336</v>
      </c>
      <c r="L21" s="27">
        <v>58.333333333333336</v>
      </c>
      <c r="M21" s="27">
        <v>58.333333333333336</v>
      </c>
      <c r="N21" s="27">
        <v>58.333333333333336</v>
      </c>
      <c r="O21" s="27">
        <v>58.333333333333336</v>
      </c>
      <c r="P21" s="27">
        <v>58.333333333333336</v>
      </c>
      <c r="Q21" s="27">
        <v>58.333333333333336</v>
      </c>
      <c r="R21" s="27">
        <v>58.333333333333336</v>
      </c>
      <c r="S21" s="27">
        <v>58.333333333333336</v>
      </c>
      <c r="T21" s="27">
        <v>58.333333333333336</v>
      </c>
      <c r="U21" s="27">
        <v>58.333333333333336</v>
      </c>
      <c r="V21" s="27">
        <v>58.333333333333336</v>
      </c>
      <c r="W21" s="27">
        <v>58.333333333333336</v>
      </c>
      <c r="X21" s="27">
        <v>58.333333333333336</v>
      </c>
      <c r="Y21" s="27">
        <v>58.333333333333336</v>
      </c>
      <c r="Z21" s="27">
        <v>58.333333333333336</v>
      </c>
      <c r="AA21" s="27">
        <v>58.333333333333336</v>
      </c>
      <c r="AB21" s="27">
        <v>58.333333333333336</v>
      </c>
      <c r="AC21" s="27">
        <v>58.333333333333336</v>
      </c>
      <c r="AD21" s="27">
        <v>58.333333333333336</v>
      </c>
      <c r="AE21" s="27">
        <v>58.333333333333336</v>
      </c>
      <c r="AF21" s="27">
        <v>58.333333333333336</v>
      </c>
      <c r="AG21" s="27">
        <v>58.333333333333336</v>
      </c>
      <c r="AH21" s="27">
        <v>58.333333333333336</v>
      </c>
      <c r="AI21" s="27">
        <v>58.333333333333336</v>
      </c>
      <c r="AJ21" s="27">
        <v>58.333333333333336</v>
      </c>
      <c r="AK21" s="27">
        <v>58.333333333333336</v>
      </c>
      <c r="AL21" s="27">
        <v>58.333333333333336</v>
      </c>
      <c r="AM21" s="27">
        <v>58.333333333333336</v>
      </c>
      <c r="AN21" s="27">
        <v>58.333333333333336</v>
      </c>
      <c r="AO21" s="27">
        <v>58.333333333333336</v>
      </c>
      <c r="AP21" s="27">
        <v>58.333333333333336</v>
      </c>
      <c r="AQ21" s="27">
        <v>58.333333333333336</v>
      </c>
      <c r="AR21" s="27">
        <v>58.333333333333336</v>
      </c>
      <c r="AS21" s="27">
        <v>58.333333333333336</v>
      </c>
      <c r="AT21" s="27">
        <v>58.333333333333336</v>
      </c>
      <c r="AU21" s="27">
        <v>58.333333333333336</v>
      </c>
      <c r="AV21" s="27">
        <v>58.333333333333336</v>
      </c>
      <c r="AW21" s="27">
        <v>58.333333333333336</v>
      </c>
      <c r="AX21" s="27">
        <v>58.333333333333336</v>
      </c>
      <c r="AY21" s="27">
        <v>58.333333333333336</v>
      </c>
      <c r="AZ21" s="27">
        <v>58.333333333333336</v>
      </c>
      <c r="BA21" s="27">
        <v>58.333333333333336</v>
      </c>
      <c r="BB21" s="27">
        <v>58.333333333333336</v>
      </c>
      <c r="BC21" s="27">
        <v>58.333333333333336</v>
      </c>
      <c r="BD21" s="27">
        <v>58.333333333333336</v>
      </c>
      <c r="BE21" s="27">
        <v>58.333333333333336</v>
      </c>
      <c r="BF21" s="27">
        <v>58.333333333333336</v>
      </c>
      <c r="BG21" s="27">
        <v>58.333333333333336</v>
      </c>
      <c r="BH21" s="27">
        <v>58.333333333333336</v>
      </c>
    </row>
    <row r="22" spans="1:60" ht="21" hidden="1" customHeight="1" outlineLevel="1" x14ac:dyDescent="0.25">
      <c r="A22" s="26" t="s">
        <v>128</v>
      </c>
      <c r="B22" s="27">
        <v>85.555555555555557</v>
      </c>
      <c r="C22" s="27">
        <v>85.555555555555557</v>
      </c>
      <c r="D22" s="27">
        <v>85.555555555555557</v>
      </c>
      <c r="E22" s="27">
        <v>85.555555555555557</v>
      </c>
      <c r="F22" s="27">
        <v>85.555555555555557</v>
      </c>
      <c r="G22" s="27">
        <v>85.555555555555557</v>
      </c>
      <c r="H22" s="27">
        <v>85.555555555555557</v>
      </c>
      <c r="I22" s="27">
        <v>85.555555555555557</v>
      </c>
      <c r="J22" s="27">
        <v>85.555555555555557</v>
      </c>
      <c r="K22" s="27">
        <v>85.555555555555557</v>
      </c>
      <c r="L22" s="27">
        <v>85.555555555555557</v>
      </c>
      <c r="M22" s="27">
        <v>85.555555555555557</v>
      </c>
      <c r="N22" s="27">
        <v>85.555555555555557</v>
      </c>
      <c r="O22" s="27">
        <v>85.555555555555557</v>
      </c>
      <c r="P22" s="27">
        <v>85.555555555555557</v>
      </c>
      <c r="Q22" s="27">
        <v>85.555555555555557</v>
      </c>
      <c r="R22" s="27">
        <v>85.555555555555557</v>
      </c>
      <c r="S22" s="27">
        <v>85.555555555555557</v>
      </c>
      <c r="T22" s="27">
        <v>85.555555555555557</v>
      </c>
      <c r="U22" s="27">
        <v>85.555555555555557</v>
      </c>
      <c r="V22" s="27">
        <v>85.555555555555557</v>
      </c>
      <c r="W22" s="27">
        <v>85.555555555555557</v>
      </c>
      <c r="X22" s="27">
        <v>85.555555555555557</v>
      </c>
      <c r="Y22" s="27">
        <v>85.555555555555557</v>
      </c>
      <c r="Z22" s="27">
        <v>85.555555555555557</v>
      </c>
      <c r="AA22" s="27">
        <v>85.555555555555557</v>
      </c>
      <c r="AB22" s="27">
        <v>85.555555555555557</v>
      </c>
      <c r="AC22" s="27">
        <v>85.555555555555557</v>
      </c>
      <c r="AD22" s="27">
        <v>85.555555555555557</v>
      </c>
      <c r="AE22" s="27">
        <v>85.555555555555557</v>
      </c>
      <c r="AF22" s="27">
        <v>85.555555555555557</v>
      </c>
      <c r="AG22" s="27">
        <v>85.555555555555557</v>
      </c>
      <c r="AH22" s="27">
        <v>85.555555555555557</v>
      </c>
      <c r="AI22" s="27">
        <v>85.555555555555557</v>
      </c>
      <c r="AJ22" s="27">
        <v>85.555555555555557</v>
      </c>
      <c r="AK22" s="27">
        <v>85.555555555555557</v>
      </c>
      <c r="AL22" s="27">
        <v>85.555555555555557</v>
      </c>
      <c r="AM22" s="27">
        <v>85.555555555555557</v>
      </c>
      <c r="AN22" s="27">
        <v>85.555555555555557</v>
      </c>
      <c r="AO22" s="27">
        <v>85.555555555555557</v>
      </c>
      <c r="AP22" s="27">
        <v>85.555555555555557</v>
      </c>
      <c r="AQ22" s="27">
        <v>85.555555555555557</v>
      </c>
      <c r="AR22" s="27">
        <v>85.555555555555557</v>
      </c>
      <c r="AS22" s="27">
        <v>85.555555555555557</v>
      </c>
      <c r="AT22" s="27">
        <v>85.555555555555557</v>
      </c>
      <c r="AU22" s="27">
        <v>85.555555555555557</v>
      </c>
      <c r="AV22" s="27">
        <v>85.555555555555557</v>
      </c>
      <c r="AW22" s="27">
        <v>85.555555555555557</v>
      </c>
      <c r="AX22" s="27">
        <v>85.555555555555557</v>
      </c>
      <c r="AY22" s="27">
        <v>85.555555555555557</v>
      </c>
      <c r="AZ22" s="27">
        <v>85.555555555555557</v>
      </c>
      <c r="BA22" s="27">
        <v>85.555555555555557</v>
      </c>
      <c r="BB22" s="27">
        <v>85.555555555555557</v>
      </c>
      <c r="BC22" s="27">
        <v>85.555555555555557</v>
      </c>
      <c r="BD22" s="27">
        <v>85.555555555555557</v>
      </c>
      <c r="BE22" s="27">
        <v>85.555555555555557</v>
      </c>
      <c r="BF22" s="27">
        <v>85.555555555555557</v>
      </c>
      <c r="BG22" s="27">
        <v>85.555555555555557</v>
      </c>
      <c r="BH22" s="27">
        <v>85.555555555555557</v>
      </c>
    </row>
    <row r="23" spans="1:60" ht="21" hidden="1" customHeight="1" outlineLevel="1" x14ac:dyDescent="0.25">
      <c r="A23" s="26" t="s">
        <v>129</v>
      </c>
      <c r="B23" s="27">
        <v>34.431156666666666</v>
      </c>
      <c r="C23" s="27">
        <v>34.431156666666666</v>
      </c>
      <c r="D23" s="27">
        <v>34.431156666666666</v>
      </c>
      <c r="E23" s="27">
        <v>34.431156666666666</v>
      </c>
      <c r="F23" s="27">
        <v>34.431156666666666</v>
      </c>
      <c r="G23" s="27">
        <v>34.431156666666666</v>
      </c>
      <c r="H23" s="27">
        <v>34.431156666666666</v>
      </c>
      <c r="I23" s="27">
        <v>34.431156666666666</v>
      </c>
      <c r="J23" s="27">
        <v>34.431156666666666</v>
      </c>
      <c r="K23" s="27">
        <v>34.431156666666666</v>
      </c>
      <c r="L23" s="27">
        <v>34.431156666666666</v>
      </c>
      <c r="M23" s="27">
        <v>34.431156666666666</v>
      </c>
      <c r="N23" s="27">
        <v>34.431156666666666</v>
      </c>
      <c r="O23" s="27">
        <v>34.431156666666666</v>
      </c>
      <c r="P23" s="27">
        <v>34.431156666666666</v>
      </c>
      <c r="Q23" s="27">
        <v>34.431156666666666</v>
      </c>
      <c r="R23" s="27">
        <v>34.431156666666666</v>
      </c>
      <c r="S23" s="27">
        <v>34.431156666666666</v>
      </c>
      <c r="T23" s="27">
        <v>34.431156666666666</v>
      </c>
      <c r="U23" s="27">
        <v>34.431156666666666</v>
      </c>
      <c r="V23" s="27">
        <v>34.431156666666666</v>
      </c>
      <c r="W23" s="27">
        <v>34.431156666666666</v>
      </c>
      <c r="X23" s="27">
        <v>34.431156666666666</v>
      </c>
      <c r="Y23" s="27">
        <v>34.431156666666666</v>
      </c>
      <c r="Z23" s="27">
        <v>34.431156666666666</v>
      </c>
      <c r="AA23" s="27">
        <v>34.431156666666666</v>
      </c>
      <c r="AB23" s="27">
        <v>34.431156666666666</v>
      </c>
      <c r="AC23" s="27">
        <v>34.431156666666666</v>
      </c>
      <c r="AD23" s="27">
        <v>34.431156666666666</v>
      </c>
      <c r="AE23" s="27">
        <v>34.431156666666666</v>
      </c>
      <c r="AF23" s="27">
        <v>34.431156666666666</v>
      </c>
      <c r="AG23" s="27">
        <v>34.431156666666666</v>
      </c>
      <c r="AH23" s="27">
        <v>34.431156666666666</v>
      </c>
      <c r="AI23" s="27">
        <v>34.431156666666666</v>
      </c>
      <c r="AJ23" s="27">
        <v>34.431156666666666</v>
      </c>
      <c r="AK23" s="27">
        <v>34.431156666666666</v>
      </c>
      <c r="AL23" s="27">
        <v>34.431156666666666</v>
      </c>
      <c r="AM23" s="27">
        <v>34.431156666666666</v>
      </c>
      <c r="AN23" s="27">
        <v>34.431156666666666</v>
      </c>
      <c r="AO23" s="27">
        <v>34.431156666666666</v>
      </c>
      <c r="AP23" s="27">
        <v>34.431156666666666</v>
      </c>
      <c r="AQ23" s="27">
        <v>34.431156666666666</v>
      </c>
      <c r="AR23" s="27">
        <v>34.431156666666666</v>
      </c>
      <c r="AS23" s="27">
        <v>34.431156666666666</v>
      </c>
      <c r="AT23" s="27">
        <v>34.431156666666666</v>
      </c>
      <c r="AU23" s="27">
        <v>34.431156666666666</v>
      </c>
      <c r="AV23" s="27">
        <v>34.431156666666666</v>
      </c>
      <c r="AW23" s="27">
        <v>34.431156666666666</v>
      </c>
      <c r="AX23" s="27">
        <v>34.431156666666666</v>
      </c>
      <c r="AY23" s="27">
        <v>34.431156666666666</v>
      </c>
      <c r="AZ23" s="27">
        <v>34.431156666666666</v>
      </c>
      <c r="BA23" s="27">
        <v>34.431156666666666</v>
      </c>
      <c r="BB23" s="27">
        <v>34.431156666666666</v>
      </c>
      <c r="BC23" s="27">
        <v>34.431156666666666</v>
      </c>
      <c r="BD23" s="27">
        <v>34.431156666666666</v>
      </c>
      <c r="BE23" s="27">
        <v>34.431156666666666</v>
      </c>
      <c r="BF23" s="27">
        <v>34.431156666666666</v>
      </c>
      <c r="BG23" s="27">
        <v>34.431156666666666</v>
      </c>
      <c r="BH23" s="27">
        <v>34.431156666666666</v>
      </c>
    </row>
    <row r="24" spans="1:60" ht="21" hidden="1" customHeight="1" outlineLevel="1" x14ac:dyDescent="0.25">
      <c r="A24" s="26" t="s">
        <v>130</v>
      </c>
      <c r="B24" s="27">
        <v>38.888888888888893</v>
      </c>
      <c r="C24" s="27">
        <v>38.888888888888893</v>
      </c>
      <c r="D24" s="27">
        <v>38.888888888888893</v>
      </c>
      <c r="E24" s="27">
        <v>38.888888888888893</v>
      </c>
      <c r="F24" s="27">
        <v>38.888888888888893</v>
      </c>
      <c r="G24" s="27">
        <v>38.888888888888893</v>
      </c>
      <c r="H24" s="27">
        <v>38.888888888888893</v>
      </c>
      <c r="I24" s="27">
        <v>38.888888888888893</v>
      </c>
      <c r="J24" s="27">
        <v>38.888888888888893</v>
      </c>
      <c r="K24" s="27">
        <v>38.888888888888893</v>
      </c>
      <c r="L24" s="27">
        <v>38.888888888888893</v>
      </c>
      <c r="M24" s="27">
        <v>38.888888888888893</v>
      </c>
      <c r="N24" s="27">
        <v>38.888888888888893</v>
      </c>
      <c r="O24" s="27">
        <v>38.888888888888893</v>
      </c>
      <c r="P24" s="27">
        <v>38.888888888888893</v>
      </c>
      <c r="Q24" s="27">
        <v>38.888888888888893</v>
      </c>
      <c r="R24" s="27">
        <v>38.888888888888893</v>
      </c>
      <c r="S24" s="27">
        <v>38.888888888888893</v>
      </c>
      <c r="T24" s="27">
        <v>38.888888888888893</v>
      </c>
      <c r="U24" s="27">
        <v>38.888888888888893</v>
      </c>
      <c r="V24" s="27">
        <v>38.888888888888893</v>
      </c>
      <c r="W24" s="27">
        <v>38.888888888888893</v>
      </c>
      <c r="X24" s="27">
        <v>38.888888888888893</v>
      </c>
      <c r="Y24" s="27">
        <v>38.888888888888893</v>
      </c>
      <c r="Z24" s="27">
        <v>38.888888888888893</v>
      </c>
      <c r="AA24" s="27">
        <v>38.888888888888893</v>
      </c>
      <c r="AB24" s="27">
        <v>38.888888888888893</v>
      </c>
      <c r="AC24" s="27">
        <v>38.888888888888893</v>
      </c>
      <c r="AD24" s="27">
        <v>38.888888888888893</v>
      </c>
      <c r="AE24" s="27">
        <v>38.888888888888893</v>
      </c>
      <c r="AF24" s="27">
        <v>38.888888888888893</v>
      </c>
      <c r="AG24" s="27">
        <v>38.888888888888893</v>
      </c>
      <c r="AH24" s="27">
        <v>38.888888888888893</v>
      </c>
      <c r="AI24" s="27">
        <v>38.888888888888893</v>
      </c>
      <c r="AJ24" s="27">
        <v>38.888888888888893</v>
      </c>
      <c r="AK24" s="27">
        <v>38.888888888888893</v>
      </c>
      <c r="AL24" s="27">
        <v>38.888888888888893</v>
      </c>
      <c r="AM24" s="27">
        <v>38.888888888888893</v>
      </c>
      <c r="AN24" s="27">
        <v>38.888888888888893</v>
      </c>
      <c r="AO24" s="27">
        <v>38.888888888888893</v>
      </c>
      <c r="AP24" s="27">
        <v>38.888888888888893</v>
      </c>
      <c r="AQ24" s="27">
        <v>38.888888888888893</v>
      </c>
      <c r="AR24" s="27">
        <v>38.888888888888893</v>
      </c>
      <c r="AS24" s="27">
        <v>38.888888888888893</v>
      </c>
      <c r="AT24" s="27">
        <v>38.888888888888893</v>
      </c>
      <c r="AU24" s="27">
        <v>38.888888888888893</v>
      </c>
      <c r="AV24" s="27">
        <v>38.888888888888893</v>
      </c>
      <c r="AW24" s="27">
        <v>38.888888888888893</v>
      </c>
      <c r="AX24" s="27">
        <v>38.888888888888893</v>
      </c>
      <c r="AY24" s="27">
        <v>38.888888888888893</v>
      </c>
      <c r="AZ24" s="27">
        <v>38.888888888888893</v>
      </c>
      <c r="BA24" s="27">
        <v>38.888888888888893</v>
      </c>
      <c r="BB24" s="27">
        <v>38.888888888888893</v>
      </c>
      <c r="BC24" s="27">
        <v>38.888888888888893</v>
      </c>
      <c r="BD24" s="27">
        <v>38.888888888888893</v>
      </c>
      <c r="BE24" s="27">
        <v>38.888888888888893</v>
      </c>
      <c r="BF24" s="27">
        <v>38.888888888888893</v>
      </c>
      <c r="BG24" s="27">
        <v>38.888888888888893</v>
      </c>
      <c r="BH24" s="27">
        <v>38.888888888888893</v>
      </c>
    </row>
    <row r="25" spans="1:60" ht="21" hidden="1" customHeight="1" outlineLevel="1" x14ac:dyDescent="0.25">
      <c r="A25" s="26" t="s">
        <v>131</v>
      </c>
      <c r="B25" s="27">
        <v>19.444444444444446</v>
      </c>
      <c r="C25" s="27">
        <v>19.444444444444446</v>
      </c>
      <c r="D25" s="27">
        <v>19.444444444444446</v>
      </c>
      <c r="E25" s="27">
        <v>19.444444444444446</v>
      </c>
      <c r="F25" s="27">
        <v>19.444444444444446</v>
      </c>
      <c r="G25" s="27">
        <v>19.444444444444446</v>
      </c>
      <c r="H25" s="27">
        <v>19.444444444444446</v>
      </c>
      <c r="I25" s="27">
        <v>19.444444444444446</v>
      </c>
      <c r="J25" s="27">
        <v>19.444444444444446</v>
      </c>
      <c r="K25" s="27">
        <v>19.444444444444446</v>
      </c>
      <c r="L25" s="27">
        <v>19.444444444444446</v>
      </c>
      <c r="M25" s="27">
        <v>19.444444444444446</v>
      </c>
      <c r="N25" s="27">
        <v>19.444444444444446</v>
      </c>
      <c r="O25" s="27">
        <v>19.444444444444446</v>
      </c>
      <c r="P25" s="27">
        <v>19.444444444444446</v>
      </c>
      <c r="Q25" s="27">
        <v>19.444444444444446</v>
      </c>
      <c r="R25" s="27">
        <v>19.444444444444446</v>
      </c>
      <c r="S25" s="27">
        <v>19.444444444444446</v>
      </c>
      <c r="T25" s="27">
        <v>19.444444444444446</v>
      </c>
      <c r="U25" s="27">
        <v>19.444444444444446</v>
      </c>
      <c r="V25" s="27">
        <v>19.444444444444446</v>
      </c>
      <c r="W25" s="27">
        <v>19.444444444444446</v>
      </c>
      <c r="X25" s="27">
        <v>19.444444444444446</v>
      </c>
      <c r="Y25" s="27">
        <v>19.444444444444446</v>
      </c>
      <c r="Z25" s="27">
        <v>19.444444444444446</v>
      </c>
      <c r="AA25" s="27">
        <v>19.444444444444446</v>
      </c>
      <c r="AB25" s="27">
        <v>19.444444444444446</v>
      </c>
      <c r="AC25" s="27">
        <v>19.444444444444446</v>
      </c>
      <c r="AD25" s="27">
        <v>19.444444444444446</v>
      </c>
      <c r="AE25" s="27">
        <v>19.444444444444446</v>
      </c>
      <c r="AF25" s="27">
        <v>19.444444444444446</v>
      </c>
      <c r="AG25" s="27">
        <v>19.444444444444446</v>
      </c>
      <c r="AH25" s="27">
        <v>19.444444444444446</v>
      </c>
      <c r="AI25" s="27">
        <v>19.444444444444446</v>
      </c>
      <c r="AJ25" s="27">
        <v>19.444444444444446</v>
      </c>
      <c r="AK25" s="27">
        <v>19.444444444444446</v>
      </c>
      <c r="AL25" s="27">
        <v>19.444444444444446</v>
      </c>
      <c r="AM25" s="27">
        <v>19.444444444444446</v>
      </c>
      <c r="AN25" s="27">
        <v>19.444444444444446</v>
      </c>
      <c r="AO25" s="27">
        <v>19.444444444444446</v>
      </c>
      <c r="AP25" s="27">
        <v>19.444444444444446</v>
      </c>
      <c r="AQ25" s="27">
        <v>19.444444444444446</v>
      </c>
      <c r="AR25" s="27">
        <v>19.444444444444446</v>
      </c>
      <c r="AS25" s="27">
        <v>19.444444444444446</v>
      </c>
      <c r="AT25" s="27">
        <v>19.444444444444446</v>
      </c>
      <c r="AU25" s="27">
        <v>19.444444444444446</v>
      </c>
      <c r="AV25" s="27">
        <v>19.444444444444446</v>
      </c>
      <c r="AW25" s="27">
        <v>19.444444444444446</v>
      </c>
      <c r="AX25" s="27">
        <v>19.444444444444446</v>
      </c>
      <c r="AY25" s="27">
        <v>19.444444444444446</v>
      </c>
      <c r="AZ25" s="27">
        <v>19.444444444444446</v>
      </c>
      <c r="BA25" s="27">
        <v>19.444444444444446</v>
      </c>
      <c r="BB25" s="27">
        <v>19.444444444444446</v>
      </c>
      <c r="BC25" s="27">
        <v>19.444444444444446</v>
      </c>
      <c r="BD25" s="27">
        <v>19.444444444444446</v>
      </c>
      <c r="BE25" s="27">
        <v>19.444444444444446</v>
      </c>
      <c r="BF25" s="27">
        <v>19.444444444444446</v>
      </c>
      <c r="BG25" s="27">
        <v>19.444444444444446</v>
      </c>
      <c r="BH25" s="27">
        <v>19.444444444444446</v>
      </c>
    </row>
    <row r="26" spans="1:60" ht="21" hidden="1" customHeight="1" outlineLevel="1" x14ac:dyDescent="0.25">
      <c r="A26" s="26" t="s">
        <v>132</v>
      </c>
      <c r="B26" s="27">
        <v>31.111111111111114</v>
      </c>
      <c r="C26" s="27">
        <v>31.111111111111114</v>
      </c>
      <c r="D26" s="27">
        <v>31.111111111111114</v>
      </c>
      <c r="E26" s="27">
        <v>31.111111111111114</v>
      </c>
      <c r="F26" s="27">
        <v>31.111111111111114</v>
      </c>
      <c r="G26" s="27">
        <v>31.111111111111114</v>
      </c>
      <c r="H26" s="27">
        <v>31.111111111111114</v>
      </c>
      <c r="I26" s="27">
        <v>31.111111111111114</v>
      </c>
      <c r="J26" s="27">
        <v>31.111111111111114</v>
      </c>
      <c r="K26" s="27">
        <v>31.111111111111114</v>
      </c>
      <c r="L26" s="27">
        <v>31.111111111111114</v>
      </c>
      <c r="M26" s="27">
        <v>31.111111111111114</v>
      </c>
      <c r="N26" s="27">
        <v>31.111111111111114</v>
      </c>
      <c r="O26" s="27">
        <v>31.111111111111114</v>
      </c>
      <c r="P26" s="27">
        <v>31.111111111111114</v>
      </c>
      <c r="Q26" s="27">
        <v>31.111111111111114</v>
      </c>
      <c r="R26" s="27">
        <v>31.111111111111114</v>
      </c>
      <c r="S26" s="27">
        <v>31.111111111111114</v>
      </c>
      <c r="T26" s="27">
        <v>31.111111111111114</v>
      </c>
      <c r="U26" s="27">
        <v>31.111111111111114</v>
      </c>
      <c r="V26" s="27">
        <v>31.111111111111114</v>
      </c>
      <c r="W26" s="27">
        <v>31.111111111111114</v>
      </c>
      <c r="X26" s="27">
        <v>31.111111111111114</v>
      </c>
      <c r="Y26" s="27">
        <v>31.111111111111114</v>
      </c>
      <c r="Z26" s="27">
        <v>31.111111111111114</v>
      </c>
      <c r="AA26" s="27">
        <v>31.111111111111114</v>
      </c>
      <c r="AB26" s="27">
        <v>31.111111111111114</v>
      </c>
      <c r="AC26" s="27">
        <v>31.111111111111114</v>
      </c>
      <c r="AD26" s="27">
        <v>31.111111111111114</v>
      </c>
      <c r="AE26" s="27">
        <v>31.111111111111114</v>
      </c>
      <c r="AF26" s="27">
        <v>31.111111111111114</v>
      </c>
      <c r="AG26" s="27">
        <v>31.111111111111114</v>
      </c>
      <c r="AH26" s="27">
        <v>31.111111111111114</v>
      </c>
      <c r="AI26" s="27">
        <v>31.111111111111114</v>
      </c>
      <c r="AJ26" s="27">
        <v>31.111111111111114</v>
      </c>
      <c r="AK26" s="27">
        <v>31.111111111111114</v>
      </c>
      <c r="AL26" s="27">
        <v>31.111111111111114</v>
      </c>
      <c r="AM26" s="27">
        <v>31.111111111111114</v>
      </c>
      <c r="AN26" s="27">
        <v>31.111111111111114</v>
      </c>
      <c r="AO26" s="27">
        <v>31.111111111111114</v>
      </c>
      <c r="AP26" s="27">
        <v>31.111111111111114</v>
      </c>
      <c r="AQ26" s="27">
        <v>31.111111111111114</v>
      </c>
      <c r="AR26" s="27">
        <v>31.111111111111114</v>
      </c>
      <c r="AS26" s="27">
        <v>31.111111111111114</v>
      </c>
      <c r="AT26" s="27">
        <v>31.111111111111114</v>
      </c>
      <c r="AU26" s="27">
        <v>31.111111111111114</v>
      </c>
      <c r="AV26" s="27">
        <v>31.111111111111114</v>
      </c>
      <c r="AW26" s="27">
        <v>31.111111111111114</v>
      </c>
      <c r="AX26" s="27">
        <v>31.111111111111114</v>
      </c>
      <c r="AY26" s="27">
        <v>31.111111111111114</v>
      </c>
      <c r="AZ26" s="27">
        <v>31.111111111111114</v>
      </c>
      <c r="BA26" s="27">
        <v>31.111111111111114</v>
      </c>
      <c r="BB26" s="27">
        <v>31.111111111111114</v>
      </c>
      <c r="BC26" s="27">
        <v>31.111111111111114</v>
      </c>
      <c r="BD26" s="27">
        <v>31.111111111111114</v>
      </c>
      <c r="BE26" s="27">
        <v>31.111111111111114</v>
      </c>
      <c r="BF26" s="27">
        <v>31.111111111111114</v>
      </c>
      <c r="BG26" s="27">
        <v>31.111111111111114</v>
      </c>
      <c r="BH26" s="27">
        <v>31.111111111111114</v>
      </c>
    </row>
    <row r="27" spans="1:60" ht="21" hidden="1" customHeight="1" outlineLevel="1" x14ac:dyDescent="0.25">
      <c r="A27" s="26" t="s">
        <v>133</v>
      </c>
      <c r="B27" s="27">
        <v>19.444444444444446</v>
      </c>
      <c r="C27" s="27">
        <v>19.444444444444446</v>
      </c>
      <c r="D27" s="27">
        <v>19.444444444444446</v>
      </c>
      <c r="E27" s="27">
        <v>19.444444444444446</v>
      </c>
      <c r="F27" s="27">
        <v>19.444444444444446</v>
      </c>
      <c r="G27" s="27">
        <v>19.444444444444446</v>
      </c>
      <c r="H27" s="27">
        <v>19.444444444444446</v>
      </c>
      <c r="I27" s="27">
        <v>19.444444444444446</v>
      </c>
      <c r="J27" s="27">
        <v>19.444444444444446</v>
      </c>
      <c r="K27" s="27">
        <v>19.444444444444446</v>
      </c>
      <c r="L27" s="27">
        <v>19.444444444444446</v>
      </c>
      <c r="M27" s="27">
        <v>19.444444444444446</v>
      </c>
      <c r="N27" s="27">
        <v>19.444444444444446</v>
      </c>
      <c r="O27" s="27">
        <v>19.444444444444446</v>
      </c>
      <c r="P27" s="27">
        <v>19.444444444444446</v>
      </c>
      <c r="Q27" s="27">
        <v>19.444444444444446</v>
      </c>
      <c r="R27" s="27">
        <v>19.444444444444446</v>
      </c>
      <c r="S27" s="27">
        <v>19.444444444444446</v>
      </c>
      <c r="T27" s="27">
        <v>19.444444444444446</v>
      </c>
      <c r="U27" s="27">
        <v>19.444444444444446</v>
      </c>
      <c r="V27" s="27">
        <v>19.444444444444446</v>
      </c>
      <c r="W27" s="27">
        <v>19.444444444444446</v>
      </c>
      <c r="X27" s="27">
        <v>19.444444444444446</v>
      </c>
      <c r="Y27" s="27">
        <v>19.444444444444446</v>
      </c>
      <c r="Z27" s="27">
        <v>19.444444444444446</v>
      </c>
      <c r="AA27" s="27">
        <v>19.444444444444446</v>
      </c>
      <c r="AB27" s="27">
        <v>19.444444444444446</v>
      </c>
      <c r="AC27" s="27">
        <v>19.444444444444446</v>
      </c>
      <c r="AD27" s="27">
        <v>19.444444444444446</v>
      </c>
      <c r="AE27" s="27">
        <v>19.444444444444446</v>
      </c>
      <c r="AF27" s="27">
        <v>19.444444444444446</v>
      </c>
      <c r="AG27" s="27">
        <v>19.444444444444446</v>
      </c>
      <c r="AH27" s="27">
        <v>19.444444444444446</v>
      </c>
      <c r="AI27" s="27">
        <v>19.444444444444446</v>
      </c>
      <c r="AJ27" s="27">
        <v>19.444444444444446</v>
      </c>
      <c r="AK27" s="27">
        <v>19.444444444444446</v>
      </c>
      <c r="AL27" s="27">
        <v>19.444444444444446</v>
      </c>
      <c r="AM27" s="27">
        <v>19.444444444444446</v>
      </c>
      <c r="AN27" s="27">
        <v>19.444444444444446</v>
      </c>
      <c r="AO27" s="27">
        <v>19.444444444444446</v>
      </c>
      <c r="AP27" s="27">
        <v>19.444444444444446</v>
      </c>
      <c r="AQ27" s="27">
        <v>19.444444444444446</v>
      </c>
      <c r="AR27" s="27">
        <v>19.444444444444446</v>
      </c>
      <c r="AS27" s="27">
        <v>19.444444444444446</v>
      </c>
      <c r="AT27" s="27">
        <v>19.444444444444446</v>
      </c>
      <c r="AU27" s="27">
        <v>19.444444444444446</v>
      </c>
      <c r="AV27" s="27">
        <v>19.444444444444446</v>
      </c>
      <c r="AW27" s="27">
        <v>19.444444444444446</v>
      </c>
      <c r="AX27" s="27">
        <v>19.444444444444446</v>
      </c>
      <c r="AY27" s="27">
        <v>19.444444444444446</v>
      </c>
      <c r="AZ27" s="27">
        <v>19.444444444444446</v>
      </c>
      <c r="BA27" s="27">
        <v>19.444444444444446</v>
      </c>
      <c r="BB27" s="27">
        <v>19.444444444444446</v>
      </c>
      <c r="BC27" s="27">
        <v>19.444444444444446</v>
      </c>
      <c r="BD27" s="27">
        <v>19.444444444444446</v>
      </c>
      <c r="BE27" s="27">
        <v>19.444444444444446</v>
      </c>
      <c r="BF27" s="27">
        <v>19.444444444444446</v>
      </c>
      <c r="BG27" s="27">
        <v>19.444444444444446</v>
      </c>
      <c r="BH27" s="27">
        <v>19.444444444444446</v>
      </c>
    </row>
    <row r="28" spans="1:60" ht="21" hidden="1" customHeight="1" outlineLevel="1" x14ac:dyDescent="0.25">
      <c r="A28" s="26" t="s">
        <v>134</v>
      </c>
      <c r="B28" s="27">
        <v>78.166666666666671</v>
      </c>
      <c r="C28" s="27">
        <v>78.166666666666671</v>
      </c>
      <c r="D28" s="27">
        <v>78.166666666666671</v>
      </c>
      <c r="E28" s="27">
        <v>78.166666666666671</v>
      </c>
      <c r="F28" s="27">
        <v>78.166666666666671</v>
      </c>
      <c r="G28" s="27">
        <v>78.166666666666671</v>
      </c>
      <c r="H28" s="27">
        <v>78.166666666666671</v>
      </c>
      <c r="I28" s="27">
        <v>78.166666666666671</v>
      </c>
      <c r="J28" s="27">
        <v>78.166666666666671</v>
      </c>
      <c r="K28" s="27">
        <v>78.166666666666671</v>
      </c>
      <c r="L28" s="27">
        <v>78.166666666666671</v>
      </c>
      <c r="M28" s="27">
        <v>78.166666666666671</v>
      </c>
      <c r="N28" s="27">
        <v>78.166666666666671</v>
      </c>
      <c r="O28" s="27">
        <v>78.166666666666671</v>
      </c>
      <c r="P28" s="27">
        <v>78.166666666666671</v>
      </c>
      <c r="Q28" s="27">
        <v>78.166666666666671</v>
      </c>
      <c r="R28" s="27">
        <v>78.166666666666671</v>
      </c>
      <c r="S28" s="27">
        <v>78.166666666666671</v>
      </c>
      <c r="T28" s="27">
        <v>78.166666666666671</v>
      </c>
      <c r="U28" s="27">
        <v>78.166666666666671</v>
      </c>
      <c r="V28" s="27">
        <v>78.166666666666671</v>
      </c>
      <c r="W28" s="27">
        <v>78.166666666666671</v>
      </c>
      <c r="X28" s="27">
        <v>78.166666666666671</v>
      </c>
      <c r="Y28" s="27">
        <v>78.166666666666671</v>
      </c>
      <c r="Z28" s="27">
        <v>78.166666666666671</v>
      </c>
      <c r="AA28" s="27">
        <v>78.166666666666671</v>
      </c>
      <c r="AB28" s="27">
        <v>78.166666666666671</v>
      </c>
      <c r="AC28" s="27">
        <v>78.166666666666671</v>
      </c>
      <c r="AD28" s="27">
        <v>78.166666666666671</v>
      </c>
      <c r="AE28" s="27">
        <v>78.166666666666671</v>
      </c>
      <c r="AF28" s="27">
        <v>78.166666666666671</v>
      </c>
      <c r="AG28" s="27">
        <v>78.166666666666671</v>
      </c>
      <c r="AH28" s="27">
        <v>78.166666666666671</v>
      </c>
      <c r="AI28" s="27">
        <v>78.166666666666671</v>
      </c>
      <c r="AJ28" s="27">
        <v>78.166666666666671</v>
      </c>
      <c r="AK28" s="27">
        <v>78.166666666666671</v>
      </c>
      <c r="AL28" s="27">
        <v>78.166666666666671</v>
      </c>
      <c r="AM28" s="27">
        <v>78.166666666666671</v>
      </c>
      <c r="AN28" s="27">
        <v>78.166666666666671</v>
      </c>
      <c r="AO28" s="27">
        <v>78.166666666666671</v>
      </c>
      <c r="AP28" s="27">
        <v>78.166666666666671</v>
      </c>
      <c r="AQ28" s="27">
        <v>78.166666666666671</v>
      </c>
      <c r="AR28" s="27">
        <v>78.166666666666671</v>
      </c>
      <c r="AS28" s="27">
        <v>78.166666666666671</v>
      </c>
      <c r="AT28" s="27">
        <v>78.166666666666671</v>
      </c>
      <c r="AU28" s="27">
        <v>78.166666666666671</v>
      </c>
      <c r="AV28" s="27">
        <v>78.166666666666671</v>
      </c>
      <c r="AW28" s="27">
        <v>78.166666666666671</v>
      </c>
      <c r="AX28" s="27">
        <v>78.166666666666671</v>
      </c>
      <c r="AY28" s="27">
        <v>78.166666666666671</v>
      </c>
      <c r="AZ28" s="27">
        <v>78.166666666666671</v>
      </c>
      <c r="BA28" s="27">
        <v>78.166666666666671</v>
      </c>
      <c r="BB28" s="27">
        <v>78.166666666666671</v>
      </c>
      <c r="BC28" s="27">
        <v>78.166666666666671</v>
      </c>
      <c r="BD28" s="27">
        <v>78.166666666666671</v>
      </c>
      <c r="BE28" s="27">
        <v>78.166666666666671</v>
      </c>
      <c r="BF28" s="27">
        <v>78.166666666666671</v>
      </c>
      <c r="BG28" s="27">
        <v>78.166666666666671</v>
      </c>
      <c r="BH28" s="27">
        <v>78.166666666666671</v>
      </c>
    </row>
    <row r="29" spans="1:60" ht="21" customHeight="1" collapsed="1" x14ac:dyDescent="0.25">
      <c r="A29" s="26" t="s">
        <v>135</v>
      </c>
      <c r="B29" s="27">
        <v>85.530763888888899</v>
      </c>
      <c r="C29" s="27">
        <v>85.530763888888899</v>
      </c>
      <c r="D29" s="27">
        <v>85.530763888888899</v>
      </c>
      <c r="E29" s="27">
        <v>85.530763888888899</v>
      </c>
      <c r="F29" s="27">
        <v>85.530763888888899</v>
      </c>
      <c r="G29" s="27">
        <v>85.530763888888899</v>
      </c>
      <c r="H29" s="27">
        <v>85.530763888888899</v>
      </c>
      <c r="I29" s="27">
        <v>85.530763888888899</v>
      </c>
      <c r="J29" s="27">
        <v>85.530763888888899</v>
      </c>
      <c r="K29" s="27">
        <v>85.530763888888899</v>
      </c>
      <c r="L29" s="27">
        <v>85.530763888888899</v>
      </c>
      <c r="M29" s="27">
        <v>85.530763888888899</v>
      </c>
      <c r="N29" s="27">
        <v>85.530763888888899</v>
      </c>
      <c r="O29" s="27">
        <v>85.530763888888899</v>
      </c>
      <c r="P29" s="27">
        <v>85.530763888888899</v>
      </c>
      <c r="Q29" s="27">
        <v>85.530763888888899</v>
      </c>
      <c r="R29" s="27">
        <v>85.530763888888899</v>
      </c>
      <c r="S29" s="27">
        <v>85.530763888888899</v>
      </c>
      <c r="T29" s="27">
        <v>85.530763888888899</v>
      </c>
      <c r="U29" s="27">
        <v>85.530763888888899</v>
      </c>
      <c r="V29" s="27">
        <v>85.530763888888899</v>
      </c>
      <c r="W29" s="27">
        <v>85.530763888888899</v>
      </c>
      <c r="X29" s="27">
        <v>85.530763888888899</v>
      </c>
      <c r="Y29" s="27">
        <v>85.530763888888899</v>
      </c>
      <c r="Z29" s="27">
        <v>85.530763888888899</v>
      </c>
      <c r="AA29" s="27">
        <v>85.530763888888899</v>
      </c>
      <c r="AB29" s="27">
        <v>85.530763888888899</v>
      </c>
      <c r="AC29" s="27">
        <v>85.530763888888899</v>
      </c>
      <c r="AD29" s="27">
        <v>85.530763888888899</v>
      </c>
      <c r="AE29" s="27">
        <v>85.530763888888899</v>
      </c>
      <c r="AF29" s="27">
        <v>85.530763888888899</v>
      </c>
      <c r="AG29" s="27">
        <v>85.530763888888899</v>
      </c>
      <c r="AH29" s="27">
        <v>85.530763888888899</v>
      </c>
      <c r="AI29" s="27">
        <v>85.530763888888899</v>
      </c>
      <c r="AJ29" s="27">
        <v>85.530763888888899</v>
      </c>
      <c r="AK29" s="27">
        <v>85.530763888888899</v>
      </c>
      <c r="AL29" s="27">
        <v>85.530763888888899</v>
      </c>
      <c r="AM29" s="27">
        <v>85.530763888888899</v>
      </c>
      <c r="AN29" s="27">
        <v>85.530763888888899</v>
      </c>
      <c r="AO29" s="27">
        <v>85.530763888888899</v>
      </c>
      <c r="AP29" s="27">
        <v>85.530763888888899</v>
      </c>
      <c r="AQ29" s="27">
        <v>85.530763888888899</v>
      </c>
      <c r="AR29" s="27">
        <v>85.530763888888899</v>
      </c>
      <c r="AS29" s="27">
        <v>85.530763888888899</v>
      </c>
      <c r="AT29" s="27">
        <v>85.530763888888899</v>
      </c>
      <c r="AU29" s="27">
        <v>85.530763888888899</v>
      </c>
      <c r="AV29" s="27">
        <v>85.530763888888899</v>
      </c>
      <c r="AW29" s="27">
        <v>85.530763888888899</v>
      </c>
      <c r="AX29" s="27">
        <v>85.530763888888899</v>
      </c>
      <c r="AY29" s="27">
        <v>85.530763888888899</v>
      </c>
      <c r="AZ29" s="27">
        <v>85.530763888888899</v>
      </c>
      <c r="BA29" s="27">
        <v>85.530763888888899</v>
      </c>
      <c r="BB29" s="27">
        <v>85.530763888888899</v>
      </c>
      <c r="BC29" s="27">
        <v>85.530763888888899</v>
      </c>
      <c r="BD29" s="27">
        <v>85.530763888888899</v>
      </c>
      <c r="BE29" s="27">
        <v>85.530763888888899</v>
      </c>
      <c r="BF29" s="27">
        <v>85.530763888888899</v>
      </c>
      <c r="BG29" s="27">
        <v>85.530763888888899</v>
      </c>
      <c r="BH29" s="27">
        <v>85.530763888888899</v>
      </c>
    </row>
    <row r="30" spans="1:60" ht="21" customHeight="1" x14ac:dyDescent="0.25">
      <c r="A30" s="26" t="s">
        <v>136</v>
      </c>
      <c r="B30" s="27">
        <v>119.42518388888891</v>
      </c>
      <c r="C30" s="27">
        <v>119.42518388888891</v>
      </c>
      <c r="D30" s="27">
        <v>119.42518388888891</v>
      </c>
      <c r="E30" s="27">
        <v>119.42518388888891</v>
      </c>
      <c r="F30" s="27">
        <v>119.42518388888891</v>
      </c>
      <c r="G30" s="27">
        <v>119.42518388888891</v>
      </c>
      <c r="H30" s="27">
        <v>119.42518388888891</v>
      </c>
      <c r="I30" s="27">
        <v>119.42518388888891</v>
      </c>
      <c r="J30" s="27">
        <v>119.42518388888891</v>
      </c>
      <c r="K30" s="27">
        <v>119.42518388888891</v>
      </c>
      <c r="L30" s="27">
        <v>119.42518388888891</v>
      </c>
      <c r="M30" s="27">
        <v>119.42518388888891</v>
      </c>
      <c r="N30" s="27">
        <v>119.42518388888891</v>
      </c>
      <c r="O30" s="27">
        <v>119.42518388888891</v>
      </c>
      <c r="P30" s="27">
        <v>119.42518388888891</v>
      </c>
      <c r="Q30" s="27">
        <v>119.42518388888891</v>
      </c>
      <c r="R30" s="27">
        <v>119.42518388888891</v>
      </c>
      <c r="S30" s="27">
        <v>119.42518388888891</v>
      </c>
      <c r="T30" s="27">
        <v>119.42518388888891</v>
      </c>
      <c r="U30" s="27">
        <v>119.42518388888891</v>
      </c>
      <c r="V30" s="27">
        <v>119.42518388888891</v>
      </c>
      <c r="W30" s="27">
        <v>119.42518388888891</v>
      </c>
      <c r="X30" s="27">
        <v>119.42518388888891</v>
      </c>
      <c r="Y30" s="27">
        <v>119.42518388888891</v>
      </c>
      <c r="Z30" s="27">
        <v>119.42518388888891</v>
      </c>
      <c r="AA30" s="27">
        <v>119.42518388888891</v>
      </c>
      <c r="AB30" s="27">
        <v>119.42518388888891</v>
      </c>
      <c r="AC30" s="27">
        <v>119.42518388888891</v>
      </c>
      <c r="AD30" s="27">
        <v>119.42518388888891</v>
      </c>
      <c r="AE30" s="27">
        <v>119.42518388888891</v>
      </c>
      <c r="AF30" s="27">
        <v>119.42518388888891</v>
      </c>
      <c r="AG30" s="27">
        <v>119.42518388888891</v>
      </c>
      <c r="AH30" s="27">
        <v>119.42518388888891</v>
      </c>
      <c r="AI30" s="27">
        <v>119.42518388888891</v>
      </c>
      <c r="AJ30" s="27">
        <v>119.42518388888891</v>
      </c>
      <c r="AK30" s="27">
        <v>119.42518388888891</v>
      </c>
      <c r="AL30" s="27">
        <v>119.42518388888891</v>
      </c>
      <c r="AM30" s="27">
        <v>119.42518388888891</v>
      </c>
      <c r="AN30" s="27">
        <v>119.42518388888891</v>
      </c>
      <c r="AO30" s="27">
        <v>119.42518388888891</v>
      </c>
      <c r="AP30" s="27">
        <v>119.42518388888891</v>
      </c>
      <c r="AQ30" s="27">
        <v>119.42518388888891</v>
      </c>
      <c r="AR30" s="27">
        <v>119.42518388888891</v>
      </c>
      <c r="AS30" s="27">
        <v>119.42518388888891</v>
      </c>
      <c r="AT30" s="27">
        <v>119.42518388888891</v>
      </c>
      <c r="AU30" s="27">
        <v>119.42518388888891</v>
      </c>
      <c r="AV30" s="27">
        <v>119.42518388888891</v>
      </c>
      <c r="AW30" s="27">
        <v>119.42518388888891</v>
      </c>
      <c r="AX30" s="27">
        <v>119.42518388888891</v>
      </c>
      <c r="AY30" s="27">
        <v>119.42518388888891</v>
      </c>
      <c r="AZ30" s="27">
        <v>119.42518388888891</v>
      </c>
      <c r="BA30" s="27">
        <v>119.42518388888891</v>
      </c>
      <c r="BB30" s="27">
        <v>119.42518388888891</v>
      </c>
      <c r="BC30" s="27">
        <v>119.42518388888891</v>
      </c>
      <c r="BD30" s="27">
        <v>119.42518388888891</v>
      </c>
      <c r="BE30" s="27">
        <v>119.42518388888891</v>
      </c>
      <c r="BF30" s="27">
        <v>119.42518388888891</v>
      </c>
      <c r="BG30" s="27">
        <v>119.42518388888891</v>
      </c>
      <c r="BH30" s="27">
        <v>119.42518388888891</v>
      </c>
    </row>
    <row r="31" spans="1:60" ht="21" customHeight="1" x14ac:dyDescent="0.25">
      <c r="A31" s="28" t="s">
        <v>93</v>
      </c>
      <c r="B31" s="29">
        <v>4211395.05</v>
      </c>
      <c r="C31" s="29">
        <v>4212686.6726827621</v>
      </c>
      <c r="D31" s="29">
        <v>4213978.6915024659</v>
      </c>
      <c r="E31" s="29">
        <v>4215271.1065806057</v>
      </c>
      <c r="F31" s="29">
        <v>4216563.9180387119</v>
      </c>
      <c r="G31" s="29">
        <v>4217857.1259983536</v>
      </c>
      <c r="H31" s="29">
        <v>4219150.7305811374</v>
      </c>
      <c r="I31" s="29">
        <v>4220444.7319087051</v>
      </c>
      <c r="J31" s="29">
        <v>4221739.1301027378</v>
      </c>
      <c r="K31" s="29">
        <v>4223033.9252849538</v>
      </c>
      <c r="L31" s="29">
        <v>4224329.1175771076</v>
      </c>
      <c r="M31" s="29">
        <v>4225624.7071009912</v>
      </c>
      <c r="N31" s="29">
        <v>4226920.6939784354</v>
      </c>
      <c r="O31" s="29">
        <v>4228217.0783313066</v>
      </c>
      <c r="P31" s="29">
        <v>4229513.8602815103</v>
      </c>
      <c r="Q31" s="29">
        <v>4230811.0399509873</v>
      </c>
      <c r="R31" s="29">
        <v>4232108.6174617177</v>
      </c>
      <c r="S31" s="29">
        <v>4233406.5929357186</v>
      </c>
      <c r="T31" s="29">
        <v>4234704.9664950436</v>
      </c>
      <c r="U31" s="29">
        <v>4236003.7382617844</v>
      </c>
      <c r="V31" s="29">
        <v>4237302.9083580701</v>
      </c>
      <c r="W31" s="29">
        <v>4238602.4769060677</v>
      </c>
      <c r="X31" s="29">
        <v>4239902.4440279799</v>
      </c>
      <c r="Y31" s="29">
        <v>4241202.8098460492</v>
      </c>
      <c r="Z31" s="29">
        <v>4242503.5744825546</v>
      </c>
      <c r="AA31" s="29">
        <v>4243804.7380598122</v>
      </c>
      <c r="AB31" s="29">
        <v>4245106.3007001765</v>
      </c>
      <c r="AC31" s="29">
        <v>4246408.2625260381</v>
      </c>
      <c r="AD31" s="29">
        <v>4247710.6236598268</v>
      </c>
      <c r="AE31" s="29">
        <v>4249013.3842240088</v>
      </c>
      <c r="AF31" s="29">
        <v>4250316.5443410883</v>
      </c>
      <c r="AG31" s="29">
        <v>4251620.1041336069</v>
      </c>
      <c r="AH31" s="29">
        <v>4252924.0637241444</v>
      </c>
      <c r="AI31" s="29">
        <v>4254228.4232353168</v>
      </c>
      <c r="AJ31" s="29">
        <v>4255533.1827897793</v>
      </c>
      <c r="AK31" s="29">
        <v>4256838.3425102243</v>
      </c>
      <c r="AL31" s="29">
        <v>4258143.9025193807</v>
      </c>
      <c r="AM31" s="29">
        <v>4259449.8629400162</v>
      </c>
      <c r="AN31" s="29">
        <v>4260756.223894936</v>
      </c>
      <c r="AO31" s="29">
        <v>4262062.9855069825</v>
      </c>
      <c r="AP31" s="29">
        <v>4263370.1478990372</v>
      </c>
      <c r="AQ31" s="29">
        <v>4264677.711194017</v>
      </c>
      <c r="AR31" s="29">
        <v>4265985.6755148778</v>
      </c>
      <c r="AS31" s="29">
        <v>4267294.0409846129</v>
      </c>
      <c r="AT31" s="29">
        <v>4268602.8077262547</v>
      </c>
      <c r="AU31" s="29">
        <v>4269911.9758628709</v>
      </c>
      <c r="AV31" s="29">
        <v>4271221.5455175685</v>
      </c>
      <c r="AW31" s="29">
        <v>4272531.5168134924</v>
      </c>
      <c r="AX31" s="29">
        <v>4273841.8898738241</v>
      </c>
      <c r="AY31" s="29">
        <v>4275152.664821784</v>
      </c>
      <c r="AZ31" s="29">
        <v>4276463.8417806299</v>
      </c>
      <c r="BA31" s="29">
        <v>4277775.4208736569</v>
      </c>
      <c r="BB31" s="29">
        <v>4279087.4022241989</v>
      </c>
      <c r="BC31" s="29">
        <v>4280399.7859556265</v>
      </c>
      <c r="BD31" s="29">
        <v>4281712.5721913492</v>
      </c>
      <c r="BE31" s="29">
        <v>4283025.7610548139</v>
      </c>
      <c r="BF31" s="29">
        <v>4284339.3526695054</v>
      </c>
      <c r="BG31" s="29">
        <v>4285653.347158947</v>
      </c>
      <c r="BH31" s="29">
        <v>4286967.7446466982</v>
      </c>
    </row>
    <row r="32" spans="1:60" ht="21" customHeight="1" x14ac:dyDescent="0.25">
      <c r="A32" s="30" t="s">
        <v>94</v>
      </c>
      <c r="B32" s="31">
        <v>0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1">
        <v>0</v>
      </c>
      <c r="BA32" s="31">
        <v>0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</row>
    <row r="33" spans="1:60" ht="21" customHeight="1" x14ac:dyDescent="0.25">
      <c r="A33" s="32" t="s">
        <v>95</v>
      </c>
      <c r="B33" s="33">
        <v>4211395.05</v>
      </c>
      <c r="C33" s="33">
        <v>4211395.05</v>
      </c>
      <c r="D33" s="33">
        <v>4211395.05</v>
      </c>
      <c r="E33" s="33">
        <v>4211395.05</v>
      </c>
      <c r="F33" s="33">
        <v>4211395.05</v>
      </c>
      <c r="G33" s="33">
        <v>4211395.05</v>
      </c>
      <c r="H33" s="33">
        <v>4211395.05</v>
      </c>
      <c r="I33" s="33">
        <v>4211395.05</v>
      </c>
      <c r="J33" s="33">
        <v>4211395.05</v>
      </c>
      <c r="K33" s="33">
        <v>4211395.05</v>
      </c>
      <c r="L33" s="33">
        <v>4211395.05</v>
      </c>
      <c r="M33" s="33">
        <v>4211395.05</v>
      </c>
      <c r="N33" s="33">
        <v>4211395.05</v>
      </c>
      <c r="O33" s="33">
        <v>4211395.05</v>
      </c>
      <c r="P33" s="33">
        <v>4211395.05</v>
      </c>
      <c r="Q33" s="33">
        <v>4211395.05</v>
      </c>
      <c r="R33" s="33">
        <v>4211395.05</v>
      </c>
      <c r="S33" s="33">
        <v>4211395.05</v>
      </c>
      <c r="T33" s="33">
        <v>4211395.05</v>
      </c>
      <c r="U33" s="33">
        <v>4211395.05</v>
      </c>
      <c r="V33" s="33">
        <v>4211395.05</v>
      </c>
      <c r="W33" s="33">
        <v>4211395.05</v>
      </c>
      <c r="X33" s="33">
        <v>4211395.05</v>
      </c>
      <c r="Y33" s="33">
        <v>4211395.05</v>
      </c>
      <c r="Z33" s="33">
        <v>4211395.05</v>
      </c>
      <c r="AA33" s="33">
        <v>4211395.05</v>
      </c>
      <c r="AB33" s="33">
        <v>4211395.05</v>
      </c>
      <c r="AC33" s="33">
        <v>4211395.05</v>
      </c>
      <c r="AD33" s="33">
        <v>4211395.05</v>
      </c>
      <c r="AE33" s="33">
        <v>4211395.05</v>
      </c>
      <c r="AF33" s="33">
        <v>4211395.05</v>
      </c>
      <c r="AG33" s="33">
        <v>4211395.05</v>
      </c>
      <c r="AH33" s="33">
        <v>4211395.05</v>
      </c>
      <c r="AI33" s="33">
        <v>4211395.05</v>
      </c>
      <c r="AJ33" s="33">
        <v>4211395.05</v>
      </c>
      <c r="AK33" s="33">
        <v>4211395.05</v>
      </c>
      <c r="AL33" s="33">
        <v>4211395.05</v>
      </c>
      <c r="AM33" s="33">
        <v>4211395.05</v>
      </c>
      <c r="AN33" s="33">
        <v>4211395.05</v>
      </c>
      <c r="AO33" s="33">
        <v>4211395.05</v>
      </c>
      <c r="AP33" s="33">
        <v>4211395.05</v>
      </c>
      <c r="AQ33" s="33">
        <v>4211395.05</v>
      </c>
      <c r="AR33" s="33">
        <v>4211395.05</v>
      </c>
      <c r="AS33" s="33">
        <v>4211395.05</v>
      </c>
      <c r="AT33" s="33">
        <v>4211395.05</v>
      </c>
      <c r="AU33" s="33">
        <v>4211395.05</v>
      </c>
      <c r="AV33" s="33">
        <v>4211395.05</v>
      </c>
      <c r="AW33" s="33">
        <v>4211395.05</v>
      </c>
      <c r="AX33" s="33">
        <v>4211395.05</v>
      </c>
      <c r="AY33" s="33">
        <v>4211395.05</v>
      </c>
      <c r="AZ33" s="33">
        <v>4211395.05</v>
      </c>
      <c r="BA33" s="33">
        <v>4211395.05</v>
      </c>
      <c r="BB33" s="33">
        <v>4211395.05</v>
      </c>
      <c r="BC33" s="33">
        <v>4211395.05</v>
      </c>
      <c r="BD33" s="33">
        <v>4211395.05</v>
      </c>
      <c r="BE33" s="33">
        <v>4211395.05</v>
      </c>
      <c r="BF33" s="33">
        <v>4211395.05</v>
      </c>
      <c r="BG33" s="33">
        <v>4211395.05</v>
      </c>
      <c r="BH33" s="33">
        <v>4211395.05</v>
      </c>
    </row>
    <row r="34" spans="1:60" ht="21" customHeight="1" x14ac:dyDescent="0.25">
      <c r="A34" s="32" t="s">
        <v>96</v>
      </c>
      <c r="B34" s="33">
        <v>4211395.05</v>
      </c>
      <c r="C34" s="33">
        <v>4211395.05</v>
      </c>
      <c r="D34" s="33">
        <v>4211395.05</v>
      </c>
      <c r="E34" s="33">
        <v>4211395.05</v>
      </c>
      <c r="F34" s="33">
        <v>4211395.05</v>
      </c>
      <c r="G34" s="33">
        <v>4211395.05</v>
      </c>
      <c r="H34" s="33">
        <v>4211395.05</v>
      </c>
      <c r="I34" s="33">
        <v>4211395.05</v>
      </c>
      <c r="J34" s="33">
        <v>4211395.05</v>
      </c>
      <c r="K34" s="33">
        <v>4211395.05</v>
      </c>
      <c r="L34" s="33">
        <v>4211395.05</v>
      </c>
      <c r="M34" s="33">
        <v>4211395.05</v>
      </c>
      <c r="N34" s="33">
        <v>4211395.05</v>
      </c>
      <c r="O34" s="33">
        <v>4211395.05</v>
      </c>
      <c r="P34" s="33">
        <v>4211395.05</v>
      </c>
      <c r="Q34" s="33">
        <v>4211395.05</v>
      </c>
      <c r="R34" s="33">
        <v>4211395.05</v>
      </c>
      <c r="S34" s="33">
        <v>4211395.05</v>
      </c>
      <c r="T34" s="33">
        <v>4211395.05</v>
      </c>
      <c r="U34" s="33">
        <v>4211395.05</v>
      </c>
      <c r="V34" s="33">
        <v>4211395.05</v>
      </c>
      <c r="W34" s="33">
        <v>4211395.05</v>
      </c>
      <c r="X34" s="33">
        <v>4211395.05</v>
      </c>
      <c r="Y34" s="33">
        <v>4211395.05</v>
      </c>
      <c r="Z34" s="33">
        <v>4211395.05</v>
      </c>
      <c r="AA34" s="33">
        <v>4211395.05</v>
      </c>
      <c r="AB34" s="33">
        <v>4211395.05</v>
      </c>
      <c r="AC34" s="33">
        <v>4211395.05</v>
      </c>
      <c r="AD34" s="33">
        <v>4211395.05</v>
      </c>
      <c r="AE34" s="33">
        <v>4211395.05</v>
      </c>
      <c r="AF34" s="33">
        <v>4211395.05</v>
      </c>
      <c r="AG34" s="33">
        <v>4211395.05</v>
      </c>
      <c r="AH34" s="33">
        <v>4211395.05</v>
      </c>
      <c r="AI34" s="33">
        <v>4211395.05</v>
      </c>
      <c r="AJ34" s="33">
        <v>4211395.05</v>
      </c>
      <c r="AK34" s="33">
        <v>4211395.05</v>
      </c>
      <c r="AL34" s="33">
        <v>4211395.05</v>
      </c>
      <c r="AM34" s="33">
        <v>4211395.05</v>
      </c>
      <c r="AN34" s="33">
        <v>4211395.05</v>
      </c>
      <c r="AO34" s="33">
        <v>4211395.05</v>
      </c>
      <c r="AP34" s="33">
        <v>4211395.05</v>
      </c>
      <c r="AQ34" s="33">
        <v>4211395.05</v>
      </c>
      <c r="AR34" s="33">
        <v>4211395.05</v>
      </c>
      <c r="AS34" s="33">
        <v>4211395.05</v>
      </c>
      <c r="AT34" s="33">
        <v>4211395.05</v>
      </c>
      <c r="AU34" s="33">
        <v>4211395.05</v>
      </c>
      <c r="AV34" s="33">
        <v>4211395.05</v>
      </c>
      <c r="AW34" s="33">
        <v>4211395.05</v>
      </c>
      <c r="AX34" s="33">
        <v>4211395.05</v>
      </c>
      <c r="AY34" s="33">
        <v>4211395.05</v>
      </c>
      <c r="AZ34" s="33">
        <v>4211395.05</v>
      </c>
      <c r="BA34" s="33">
        <v>4211395.05</v>
      </c>
      <c r="BB34" s="33">
        <v>4211395.05</v>
      </c>
      <c r="BC34" s="33">
        <v>4211395.05</v>
      </c>
      <c r="BD34" s="33">
        <v>4211395.05</v>
      </c>
      <c r="BE34" s="33">
        <v>4211395.05</v>
      </c>
      <c r="BF34" s="33">
        <v>4211395.05</v>
      </c>
      <c r="BG34" s="33">
        <v>4211395.05</v>
      </c>
      <c r="BH34" s="33">
        <v>4211395.05</v>
      </c>
    </row>
    <row r="35" spans="1:60" ht="21" customHeight="1" x14ac:dyDescent="0.25">
      <c r="A35" s="30" t="s">
        <v>97</v>
      </c>
      <c r="B35" s="31">
        <v>0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</row>
    <row r="36" spans="1:60" ht="21" customHeight="1" x14ac:dyDescent="0.25">
      <c r="A36" s="32" t="s">
        <v>98</v>
      </c>
      <c r="B36" s="33">
        <v>4211395.05</v>
      </c>
      <c r="C36" s="33">
        <v>4211395.05</v>
      </c>
      <c r="D36" s="33">
        <v>4211395.05</v>
      </c>
      <c r="E36" s="33">
        <v>4211395.05</v>
      </c>
      <c r="F36" s="33">
        <v>4211395.05</v>
      </c>
      <c r="G36" s="33">
        <v>4211395.05</v>
      </c>
      <c r="H36" s="33">
        <v>4211395.05</v>
      </c>
      <c r="I36" s="33">
        <v>4211395.05</v>
      </c>
      <c r="J36" s="33">
        <v>4211395.05</v>
      </c>
      <c r="K36" s="33">
        <v>4211395.05</v>
      </c>
      <c r="L36" s="33">
        <v>4211395.05</v>
      </c>
      <c r="M36" s="33">
        <v>4211395.05</v>
      </c>
      <c r="N36" s="33">
        <v>4211395.05</v>
      </c>
      <c r="O36" s="33">
        <v>4211395.05</v>
      </c>
      <c r="P36" s="33">
        <v>4211395.05</v>
      </c>
      <c r="Q36" s="33">
        <v>4211395.05</v>
      </c>
      <c r="R36" s="33">
        <v>4211395.05</v>
      </c>
      <c r="S36" s="33">
        <v>4211395.05</v>
      </c>
      <c r="T36" s="33">
        <v>4211395.05</v>
      </c>
      <c r="U36" s="33">
        <v>4211395.05</v>
      </c>
      <c r="V36" s="33">
        <v>4211395.05</v>
      </c>
      <c r="W36" s="33">
        <v>4211395.05</v>
      </c>
      <c r="X36" s="33">
        <v>4211395.05</v>
      </c>
      <c r="Y36" s="33">
        <v>4211395.05</v>
      </c>
      <c r="Z36" s="33">
        <v>4211395.05</v>
      </c>
      <c r="AA36" s="33">
        <v>4211395.05</v>
      </c>
      <c r="AB36" s="33">
        <v>4211395.05</v>
      </c>
      <c r="AC36" s="33">
        <v>4211395.05</v>
      </c>
      <c r="AD36" s="33">
        <v>4211395.05</v>
      </c>
      <c r="AE36" s="33">
        <v>4211395.05</v>
      </c>
      <c r="AF36" s="33">
        <v>4211395.05</v>
      </c>
      <c r="AG36" s="33">
        <v>4211395.05</v>
      </c>
      <c r="AH36" s="33">
        <v>4211395.05</v>
      </c>
      <c r="AI36" s="33">
        <v>4211395.05</v>
      </c>
      <c r="AJ36" s="33">
        <v>4211395.05</v>
      </c>
      <c r="AK36" s="33">
        <v>4211395.05</v>
      </c>
      <c r="AL36" s="33">
        <v>4211395.05</v>
      </c>
      <c r="AM36" s="33">
        <v>4211395.05</v>
      </c>
      <c r="AN36" s="33">
        <v>4211395.05</v>
      </c>
      <c r="AO36" s="33">
        <v>4211395.05</v>
      </c>
      <c r="AP36" s="33">
        <v>4211395.05</v>
      </c>
      <c r="AQ36" s="33">
        <v>4211395.05</v>
      </c>
      <c r="AR36" s="33">
        <v>4211395.05</v>
      </c>
      <c r="AS36" s="33">
        <v>4211395.05</v>
      </c>
      <c r="AT36" s="33">
        <v>4211395.05</v>
      </c>
      <c r="AU36" s="33">
        <v>4211395.05</v>
      </c>
      <c r="AV36" s="33">
        <v>4211395.05</v>
      </c>
      <c r="AW36" s="33">
        <v>4211395.05</v>
      </c>
      <c r="AX36" s="33">
        <v>4211395.05</v>
      </c>
      <c r="AY36" s="33">
        <v>4211395.05</v>
      </c>
      <c r="AZ36" s="33">
        <v>4211395.05</v>
      </c>
      <c r="BA36" s="33">
        <v>4211395.05</v>
      </c>
      <c r="BB36" s="33">
        <v>4211395.05</v>
      </c>
      <c r="BC36" s="33">
        <v>4211395.05</v>
      </c>
      <c r="BD36" s="33">
        <v>4211395.05</v>
      </c>
      <c r="BE36" s="33">
        <v>4211395.05</v>
      </c>
      <c r="BF36" s="33">
        <v>4211395.05</v>
      </c>
      <c r="BG36" s="33">
        <v>4211395.05</v>
      </c>
      <c r="BH36" s="33">
        <v>4211395.05</v>
      </c>
    </row>
    <row r="37" spans="1:60" ht="24" customHeight="1" x14ac:dyDescent="0.25">
      <c r="A37" s="19" t="s">
        <v>99</v>
      </c>
      <c r="B37" s="20">
        <v>1</v>
      </c>
      <c r="C37" s="20">
        <v>1.000306697108067</v>
      </c>
      <c r="D37" s="20">
        <v>1.0006134882792499</v>
      </c>
      <c r="E37" s="20">
        <v>1.0009203735423979</v>
      </c>
      <c r="F37" s="20">
        <v>1.0012273529263687</v>
      </c>
      <c r="G37" s="20">
        <v>1.0015344264600288</v>
      </c>
      <c r="H37" s="20">
        <v>1.0018415941722536</v>
      </c>
      <c r="I37" s="20">
        <v>1.0021488560919274</v>
      </c>
      <c r="J37" s="20">
        <v>1.0024562122479435</v>
      </c>
      <c r="K37" s="20">
        <v>1.0027636626692036</v>
      </c>
      <c r="L37" s="20">
        <v>1.0030712073846191</v>
      </c>
      <c r="M37" s="20">
        <v>1.003378846423109</v>
      </c>
      <c r="N37" s="20">
        <v>1.0036865798136025</v>
      </c>
      <c r="O37" s="20">
        <v>1.0039944075850369</v>
      </c>
      <c r="P37" s="20">
        <v>1.0043023297663587</v>
      </c>
      <c r="Q37" s="20">
        <v>1.0046103463865228</v>
      </c>
      <c r="R37" s="20">
        <v>1.0049184574744936</v>
      </c>
      <c r="S37" s="20">
        <v>1.0052266630592441</v>
      </c>
      <c r="T37" s="20">
        <v>1.0055349631697563</v>
      </c>
      <c r="U37" s="20">
        <v>1.0058433578350205</v>
      </c>
      <c r="V37" s="20">
        <v>1.0061518470840369</v>
      </c>
      <c r="W37" s="20">
        <v>1.0064604309458141</v>
      </c>
      <c r="X37" s="20">
        <v>1.0067691094493687</v>
      </c>
      <c r="Y37" s="20">
        <v>1.0070778826237281</v>
      </c>
      <c r="Z37" s="20">
        <v>1.007386750497927</v>
      </c>
      <c r="AA37" s="20">
        <v>1.0076957131010098</v>
      </c>
      <c r="AB37" s="20">
        <v>1.0080047704620294</v>
      </c>
      <c r="AC37" s="20">
        <v>1.0083139226100477</v>
      </c>
      <c r="AD37" s="20">
        <v>1.0086231695741361</v>
      </c>
      <c r="AE37" s="20">
        <v>1.0089325113833738</v>
      </c>
      <c r="AF37" s="20">
        <v>1.0092419480668497</v>
      </c>
      <c r="AG37" s="20">
        <v>1.0095514796536618</v>
      </c>
      <c r="AH37" s="20">
        <v>1.0098611061729164</v>
      </c>
      <c r="AI37" s="20">
        <v>1.0101708276537289</v>
      </c>
      <c r="AJ37" s="20">
        <v>1.0104806441252239</v>
      </c>
      <c r="AK37" s="20">
        <v>1.0107905556165349</v>
      </c>
      <c r="AL37" s="20">
        <v>1.0111005621568039</v>
      </c>
      <c r="AM37" s="20">
        <v>1.0114106637751821</v>
      </c>
      <c r="AN37" s="20">
        <v>1.0117208605008301</v>
      </c>
      <c r="AO37" s="20">
        <v>1.0120311523629166</v>
      </c>
      <c r="AP37" s="20">
        <v>1.0123415393906201</v>
      </c>
      <c r="AQ37" s="20">
        <v>1.0126520216131272</v>
      </c>
      <c r="AR37" s="20">
        <v>1.0129625990596343</v>
      </c>
      <c r="AS37" s="20">
        <v>1.0132732717593456</v>
      </c>
      <c r="AT37" s="20">
        <v>1.0135840397414759</v>
      </c>
      <c r="AU37" s="20">
        <v>1.0138949030352475</v>
      </c>
      <c r="AV37" s="20">
        <v>1.0142058616698921</v>
      </c>
      <c r="AW37" s="20">
        <v>1.014516915674651</v>
      </c>
      <c r="AX37" s="20">
        <v>1.0148280650787733</v>
      </c>
      <c r="AY37" s="20">
        <v>1.0151393099115182</v>
      </c>
      <c r="AZ37" s="20">
        <v>1.0154506502021534</v>
      </c>
      <c r="BA37" s="20">
        <v>1.015762085979955</v>
      </c>
      <c r="BB37" s="20">
        <v>1.0160736172742093</v>
      </c>
      <c r="BC37" s="20">
        <v>1.0163852441142103</v>
      </c>
      <c r="BD37" s="20">
        <v>1.016696966529262</v>
      </c>
      <c r="BE37" s="20">
        <v>1.0170087845486768</v>
      </c>
      <c r="BF37" s="20">
        <v>1.0173206982017766</v>
      </c>
      <c r="BG37" s="20">
        <v>1.0176327075178917</v>
      </c>
      <c r="BH37" s="20">
        <v>1.0179448125263619</v>
      </c>
    </row>
    <row r="38" spans="1:60" ht="21" customHeight="1" x14ac:dyDescent="0.25">
      <c r="A38" s="32" t="s">
        <v>100</v>
      </c>
      <c r="B38" s="33">
        <v>1637.7647416666666</v>
      </c>
      <c r="C38" s="33">
        <v>1638.2670393766298</v>
      </c>
      <c r="D38" s="33">
        <v>1638.769491139848</v>
      </c>
      <c r="E38" s="33">
        <v>1639.2720970035691</v>
      </c>
      <c r="F38" s="33">
        <v>1639.7748570150547</v>
      </c>
      <c r="G38" s="33">
        <v>1640.277771221582</v>
      </c>
      <c r="H38" s="33">
        <v>1640.7808396704424</v>
      </c>
      <c r="I38" s="33">
        <v>1641.2840624089411</v>
      </c>
      <c r="J38" s="33">
        <v>1641.7874394843982</v>
      </c>
      <c r="K38" s="33">
        <v>1642.2909709441487</v>
      </c>
      <c r="L38" s="33">
        <v>1642.7946568355419</v>
      </c>
      <c r="M38" s="33">
        <v>1643.2984972059412</v>
      </c>
      <c r="N38" s="33">
        <v>1643.802492102725</v>
      </c>
      <c r="O38" s="33">
        <v>1644.306641573286</v>
      </c>
      <c r="P38" s="33">
        <v>1644.810945665032</v>
      </c>
      <c r="Q38" s="33">
        <v>1645.315404425384</v>
      </c>
      <c r="R38" s="33">
        <v>1645.8200179017792</v>
      </c>
      <c r="S38" s="33">
        <v>1646.3247861416685</v>
      </c>
      <c r="T38" s="33">
        <v>1646.8297091925172</v>
      </c>
      <c r="U38" s="33">
        <v>1647.3347871018052</v>
      </c>
      <c r="V38" s="33">
        <v>1647.8400199170273</v>
      </c>
      <c r="W38" s="33">
        <v>1648.3454076856931</v>
      </c>
      <c r="X38" s="33">
        <v>1648.8509504553256</v>
      </c>
      <c r="Y38" s="33">
        <v>1649.3566482734636</v>
      </c>
      <c r="Z38" s="33">
        <v>1649.8625011876602</v>
      </c>
      <c r="AA38" s="33">
        <v>1650.3685092454828</v>
      </c>
      <c r="AB38" s="33">
        <v>1650.8746724945133</v>
      </c>
      <c r="AC38" s="33">
        <v>1651.3809909823483</v>
      </c>
      <c r="AD38" s="33">
        <v>1651.8874647565995</v>
      </c>
      <c r="AE38" s="33">
        <v>1652.3940938648925</v>
      </c>
      <c r="AF38" s="33">
        <v>1652.9008783548677</v>
      </c>
      <c r="AG38" s="33">
        <v>1653.4078182741805</v>
      </c>
      <c r="AH38" s="33">
        <v>1653.9149136705007</v>
      </c>
      <c r="AI38" s="33">
        <v>1654.4221645915122</v>
      </c>
      <c r="AJ38" s="33">
        <v>1654.9295710849142</v>
      </c>
      <c r="AK38" s="33">
        <v>1655.4371331984207</v>
      </c>
      <c r="AL38" s="33">
        <v>1655.9448509797594</v>
      </c>
      <c r="AM38" s="33">
        <v>1656.4527244766732</v>
      </c>
      <c r="AN38" s="33">
        <v>1656.9607537369197</v>
      </c>
      <c r="AO38" s="33">
        <v>1657.4689388082711</v>
      </c>
      <c r="AP38" s="33">
        <v>1657.9772797385147</v>
      </c>
      <c r="AQ38" s="33">
        <v>1658.4857765754512</v>
      </c>
      <c r="AR38" s="33">
        <v>1658.9944293668971</v>
      </c>
      <c r="AS38" s="33">
        <v>1659.5032381606829</v>
      </c>
      <c r="AT38" s="33">
        <v>1660.0122030046548</v>
      </c>
      <c r="AU38" s="33">
        <v>1660.5213239466721</v>
      </c>
      <c r="AV38" s="33">
        <v>1661.0306010346101</v>
      </c>
      <c r="AW38" s="33">
        <v>1661.5400343163583</v>
      </c>
      <c r="AX38" s="33">
        <v>1662.0496238398207</v>
      </c>
      <c r="AY38" s="33">
        <v>1662.5593696529161</v>
      </c>
      <c r="AZ38" s="33">
        <v>1663.0692718035784</v>
      </c>
      <c r="BA38" s="33">
        <v>1663.5793303397556</v>
      </c>
      <c r="BB38" s="33">
        <v>1664.0895453094108</v>
      </c>
      <c r="BC38" s="33">
        <v>1664.5999167605216</v>
      </c>
      <c r="BD38" s="33">
        <v>1665.1104447410803</v>
      </c>
      <c r="BE38" s="33">
        <v>1665.6211292990945</v>
      </c>
      <c r="BF38" s="33">
        <v>1666.1319704825855</v>
      </c>
      <c r="BG38" s="33">
        <v>1666.6429683395907</v>
      </c>
      <c r="BH38" s="33">
        <v>1667.1541229181605</v>
      </c>
    </row>
    <row r="39" spans="1:60" ht="21" customHeight="1" x14ac:dyDescent="0.25">
      <c r="A39" s="32" t="s">
        <v>101</v>
      </c>
      <c r="B39" s="33">
        <v>4212686.6726827621</v>
      </c>
      <c r="C39" s="33">
        <v>4213978.6915024659</v>
      </c>
      <c r="D39" s="33">
        <v>4215271.1065806057</v>
      </c>
      <c r="E39" s="33">
        <v>4216563.9180387119</v>
      </c>
      <c r="F39" s="33">
        <v>4217857.1259983536</v>
      </c>
      <c r="G39" s="33">
        <v>4219150.7305811374</v>
      </c>
      <c r="H39" s="33">
        <v>4220444.7319087051</v>
      </c>
      <c r="I39" s="33">
        <v>4221739.1301027378</v>
      </c>
      <c r="J39" s="33">
        <v>4223033.9252849538</v>
      </c>
      <c r="K39" s="33">
        <v>4224329.1175771076</v>
      </c>
      <c r="L39" s="33">
        <v>4225624.7071009912</v>
      </c>
      <c r="M39" s="33">
        <v>4226920.6939784354</v>
      </c>
      <c r="N39" s="33">
        <v>4228217.0783313066</v>
      </c>
      <c r="O39" s="33">
        <v>4229513.8602815103</v>
      </c>
      <c r="P39" s="33">
        <v>4230811.0399509873</v>
      </c>
      <c r="Q39" s="33">
        <v>4232108.6174617177</v>
      </c>
      <c r="R39" s="33">
        <v>4233406.5929357186</v>
      </c>
      <c r="S39" s="33">
        <v>4234704.9664950436</v>
      </c>
      <c r="T39" s="33">
        <v>4236003.7382617844</v>
      </c>
      <c r="U39" s="33">
        <v>4237302.9083580701</v>
      </c>
      <c r="V39" s="33">
        <v>4238602.4769060677</v>
      </c>
      <c r="W39" s="33">
        <v>4239902.4440279799</v>
      </c>
      <c r="X39" s="33">
        <v>4241202.8098460492</v>
      </c>
      <c r="Y39" s="33">
        <v>4242503.5744825546</v>
      </c>
      <c r="Z39" s="33">
        <v>4243804.7380598122</v>
      </c>
      <c r="AA39" s="33">
        <v>4245106.3007001765</v>
      </c>
      <c r="AB39" s="33">
        <v>4246408.2625260381</v>
      </c>
      <c r="AC39" s="33">
        <v>4247710.6236598268</v>
      </c>
      <c r="AD39" s="33">
        <v>4249013.3842240088</v>
      </c>
      <c r="AE39" s="33">
        <v>4250316.5443410883</v>
      </c>
      <c r="AF39" s="33">
        <v>4251620.1041336069</v>
      </c>
      <c r="AG39" s="33">
        <v>4252924.0637241444</v>
      </c>
      <c r="AH39" s="33">
        <v>4254228.4232353168</v>
      </c>
      <c r="AI39" s="33">
        <v>4255533.1827897793</v>
      </c>
      <c r="AJ39" s="33">
        <v>4256838.3425102243</v>
      </c>
      <c r="AK39" s="33">
        <v>4258143.9025193807</v>
      </c>
      <c r="AL39" s="33">
        <v>4259449.8629400162</v>
      </c>
      <c r="AM39" s="33">
        <v>4260756.223894936</v>
      </c>
      <c r="AN39" s="33">
        <v>4262062.9855069825</v>
      </c>
      <c r="AO39" s="33">
        <v>4263370.1478990372</v>
      </c>
      <c r="AP39" s="33">
        <v>4264677.711194017</v>
      </c>
      <c r="AQ39" s="33">
        <v>4265985.6755148778</v>
      </c>
      <c r="AR39" s="33">
        <v>4267294.0409846129</v>
      </c>
      <c r="AS39" s="33">
        <v>4268602.8077262547</v>
      </c>
      <c r="AT39" s="33">
        <v>4269911.9758628709</v>
      </c>
      <c r="AU39" s="33">
        <v>4271221.5455175685</v>
      </c>
      <c r="AV39" s="33">
        <v>4272531.5168134924</v>
      </c>
      <c r="AW39" s="33">
        <v>4273841.8898738241</v>
      </c>
      <c r="AX39" s="33">
        <v>4275152.664821784</v>
      </c>
      <c r="AY39" s="33">
        <v>4276463.8417806299</v>
      </c>
      <c r="AZ39" s="33">
        <v>4277775.4208736569</v>
      </c>
      <c r="BA39" s="33">
        <v>4279087.4022241989</v>
      </c>
      <c r="BB39" s="33">
        <v>4280399.7859556265</v>
      </c>
      <c r="BC39" s="33">
        <v>4281712.5721913492</v>
      </c>
      <c r="BD39" s="33">
        <v>4283025.7610548139</v>
      </c>
      <c r="BE39" s="33">
        <v>4284339.3526695054</v>
      </c>
      <c r="BF39" s="33">
        <v>4285653.347158947</v>
      </c>
      <c r="BG39" s="33">
        <v>4286967.7446466982</v>
      </c>
      <c r="BH39" s="33">
        <v>4288282.5452563576</v>
      </c>
    </row>
    <row r="40" spans="1:60" ht="21" customHeight="1" x14ac:dyDescent="0.25">
      <c r="A40" s="34" t="s">
        <v>102</v>
      </c>
      <c r="B40" s="35">
        <v>115.38068630136986</v>
      </c>
      <c r="C40" s="35">
        <v>115.41607322418527</v>
      </c>
      <c r="D40" s="35">
        <v>115.45147100006756</v>
      </c>
      <c r="E40" s="35">
        <v>115.48687963234536</v>
      </c>
      <c r="F40" s="35">
        <v>115.52229912434828</v>
      </c>
      <c r="G40" s="35">
        <v>115.55772947940694</v>
      </c>
      <c r="H40" s="35">
        <v>115.59317070085308</v>
      </c>
      <c r="I40" s="35">
        <v>115.62862279201931</v>
      </c>
      <c r="J40" s="35">
        <v>115.6640857562394</v>
      </c>
      <c r="K40" s="35">
        <v>115.69955959684805</v>
      </c>
      <c r="L40" s="35">
        <v>115.73504431718104</v>
      </c>
      <c r="M40" s="35">
        <v>115.7705399205751</v>
      </c>
      <c r="N40" s="35">
        <v>115.8060464103681</v>
      </c>
      <c r="O40" s="35">
        <v>115.84156378989881</v>
      </c>
      <c r="P40" s="35">
        <v>115.87709206250713</v>
      </c>
      <c r="Q40" s="35">
        <v>115.91263123153391</v>
      </c>
      <c r="R40" s="35">
        <v>115.94818130032104</v>
      </c>
      <c r="S40" s="35">
        <v>115.98374227221147</v>
      </c>
      <c r="T40" s="35">
        <v>116.01931415054915</v>
      </c>
      <c r="U40" s="35">
        <v>116.05489693867902</v>
      </c>
      <c r="V40" s="35">
        <v>116.09049063994713</v>
      </c>
      <c r="W40" s="35">
        <v>116.12609525770048</v>
      </c>
      <c r="X40" s="35">
        <v>116.16171079528712</v>
      </c>
      <c r="Y40" s="35">
        <v>116.19733725605614</v>
      </c>
      <c r="Z40" s="35">
        <v>116.23297464335766</v>
      </c>
      <c r="AA40" s="35">
        <v>116.2686229605428</v>
      </c>
      <c r="AB40" s="35">
        <v>116.30428221096375</v>
      </c>
      <c r="AC40" s="35">
        <v>116.33995239797365</v>
      </c>
      <c r="AD40" s="35">
        <v>116.37563352492677</v>
      </c>
      <c r="AE40" s="35">
        <v>116.41132559517833</v>
      </c>
      <c r="AF40" s="35">
        <v>116.44702861208461</v>
      </c>
      <c r="AG40" s="35">
        <v>116.48274257900293</v>
      </c>
      <c r="AH40" s="35">
        <v>116.51846749929163</v>
      </c>
      <c r="AI40" s="35">
        <v>116.55420337631006</v>
      </c>
      <c r="AJ40" s="35">
        <v>116.58995021341862</v>
      </c>
      <c r="AK40" s="35">
        <v>116.62570801397875</v>
      </c>
      <c r="AL40" s="35">
        <v>116.6614767813529</v>
      </c>
      <c r="AM40" s="35">
        <v>116.69725651890455</v>
      </c>
      <c r="AN40" s="35">
        <v>116.73304722999825</v>
      </c>
      <c r="AO40" s="35">
        <v>116.76884891799952</v>
      </c>
      <c r="AP40" s="35">
        <v>116.80466158627499</v>
      </c>
      <c r="AQ40" s="35">
        <v>116.84048523819224</v>
      </c>
      <c r="AR40" s="35">
        <v>116.87631987711994</v>
      </c>
      <c r="AS40" s="35">
        <v>116.91216550642775</v>
      </c>
      <c r="AT40" s="35">
        <v>116.94802212948643</v>
      </c>
      <c r="AU40" s="35">
        <v>116.9838897496677</v>
      </c>
      <c r="AV40" s="35">
        <v>117.01976837034435</v>
      </c>
      <c r="AW40" s="35">
        <v>117.05565799489021</v>
      </c>
      <c r="AX40" s="35">
        <v>117.09155862668011</v>
      </c>
      <c r="AY40" s="35">
        <v>117.12747026908998</v>
      </c>
      <c r="AZ40" s="35">
        <v>117.16339292549671</v>
      </c>
      <c r="BA40" s="35">
        <v>117.19932659927828</v>
      </c>
      <c r="BB40" s="35">
        <v>117.23527129381367</v>
      </c>
      <c r="BC40" s="35">
        <v>117.27122701248292</v>
      </c>
      <c r="BD40" s="35">
        <v>117.30719375866711</v>
      </c>
      <c r="BE40" s="35">
        <v>117.34317153574833</v>
      </c>
      <c r="BF40" s="35">
        <v>117.37916034710975</v>
      </c>
      <c r="BG40" s="35">
        <v>117.41516019613555</v>
      </c>
      <c r="BH40" s="35">
        <v>117.45117108621092</v>
      </c>
    </row>
    <row r="41" spans="1:60" ht="21" customHeight="1" x14ac:dyDescent="0.25">
      <c r="A41" s="34" t="s">
        <v>103</v>
      </c>
      <c r="B41" s="35">
        <v>230.76137260273973</v>
      </c>
      <c r="C41" s="35">
        <v>230.83214644837054</v>
      </c>
      <c r="D41" s="35">
        <v>230.90294200013511</v>
      </c>
      <c r="E41" s="35">
        <v>230.97375926469073</v>
      </c>
      <c r="F41" s="35">
        <v>231.04459824869656</v>
      </c>
      <c r="G41" s="35">
        <v>231.11545895881389</v>
      </c>
      <c r="H41" s="35">
        <v>231.18634140170616</v>
      </c>
      <c r="I41" s="35">
        <v>231.25724558403863</v>
      </c>
      <c r="J41" s="35">
        <v>231.3281715124788</v>
      </c>
      <c r="K41" s="35">
        <v>231.39911919369609</v>
      </c>
      <c r="L41" s="35">
        <v>231.47008863436207</v>
      </c>
      <c r="M41" s="35">
        <v>231.54107984115021</v>
      </c>
      <c r="N41" s="35">
        <v>231.61209282073619</v>
      </c>
      <c r="O41" s="35">
        <v>231.68312757979763</v>
      </c>
      <c r="P41" s="35">
        <v>231.75418412501426</v>
      </c>
      <c r="Q41" s="35">
        <v>231.82526246306782</v>
      </c>
      <c r="R41" s="35">
        <v>231.89636260064208</v>
      </c>
      <c r="S41" s="35">
        <v>231.96748454442294</v>
      </c>
      <c r="T41" s="35">
        <v>232.0386283010983</v>
      </c>
      <c r="U41" s="35">
        <v>232.10979387735804</v>
      </c>
      <c r="V41" s="35">
        <v>232.18098127989427</v>
      </c>
      <c r="W41" s="35">
        <v>232.25219051540097</v>
      </c>
      <c r="X41" s="35">
        <v>232.32342159057424</v>
      </c>
      <c r="Y41" s="35">
        <v>232.39467451211229</v>
      </c>
      <c r="Z41" s="35">
        <v>232.46594928671533</v>
      </c>
      <c r="AA41" s="35">
        <v>232.5372459210856</v>
      </c>
      <c r="AB41" s="35">
        <v>232.6085644219275</v>
      </c>
      <c r="AC41" s="35">
        <v>232.67990479594729</v>
      </c>
      <c r="AD41" s="35">
        <v>232.75126704985354</v>
      </c>
      <c r="AE41" s="35">
        <v>232.82265119035665</v>
      </c>
      <c r="AF41" s="35">
        <v>232.89405722416922</v>
      </c>
      <c r="AG41" s="35">
        <v>232.96548515800586</v>
      </c>
      <c r="AH41" s="35">
        <v>233.03693499858326</v>
      </c>
      <c r="AI41" s="35">
        <v>233.10840675262011</v>
      </c>
      <c r="AJ41" s="35">
        <v>233.17990042683724</v>
      </c>
      <c r="AK41" s="35">
        <v>233.2514160279575</v>
      </c>
      <c r="AL41" s="35">
        <v>233.32295356270581</v>
      </c>
      <c r="AM41" s="35">
        <v>233.39451303780911</v>
      </c>
      <c r="AN41" s="35">
        <v>233.4660944599965</v>
      </c>
      <c r="AO41" s="35">
        <v>233.53769783599904</v>
      </c>
      <c r="AP41" s="35">
        <v>233.60932317254998</v>
      </c>
      <c r="AQ41" s="35">
        <v>233.68097047638449</v>
      </c>
      <c r="AR41" s="35">
        <v>233.75263975423988</v>
      </c>
      <c r="AS41" s="35">
        <v>233.82433101285551</v>
      </c>
      <c r="AT41" s="35">
        <v>233.89604425897286</v>
      </c>
      <c r="AU41" s="35">
        <v>233.96777949933539</v>
      </c>
      <c r="AV41" s="35">
        <v>234.0395367406887</v>
      </c>
      <c r="AW41" s="35">
        <v>234.11131598978042</v>
      </c>
      <c r="AX41" s="35">
        <v>234.18311725336022</v>
      </c>
      <c r="AY41" s="35">
        <v>234.25494053817997</v>
      </c>
      <c r="AZ41" s="35">
        <v>234.32678585099342</v>
      </c>
      <c r="BA41" s="35">
        <v>234.39865319855656</v>
      </c>
      <c r="BB41" s="35">
        <v>234.47054258762734</v>
      </c>
      <c r="BC41" s="35">
        <v>234.54245402496585</v>
      </c>
      <c r="BD41" s="35">
        <v>234.61438751733422</v>
      </c>
      <c r="BE41" s="35">
        <v>234.68634307149665</v>
      </c>
      <c r="BF41" s="35">
        <v>234.75832069421949</v>
      </c>
      <c r="BG41" s="35">
        <v>234.83032039227109</v>
      </c>
      <c r="BH41" s="35">
        <v>234.90234217242184</v>
      </c>
    </row>
    <row r="42" spans="1:60" ht="21" customHeight="1" x14ac:dyDescent="0.25">
      <c r="A42" s="34" t="s">
        <v>104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5">
        <v>0</v>
      </c>
      <c r="AJ42" s="35">
        <v>0</v>
      </c>
      <c r="AK42" s="35">
        <v>0</v>
      </c>
      <c r="AL42" s="35">
        <v>0</v>
      </c>
      <c r="AM42" s="35">
        <v>0</v>
      </c>
      <c r="AN42" s="35">
        <v>0</v>
      </c>
      <c r="AO42" s="35">
        <v>0</v>
      </c>
      <c r="AP42" s="35">
        <v>0</v>
      </c>
      <c r="AQ42" s="35">
        <v>0</v>
      </c>
      <c r="AR42" s="35">
        <v>0</v>
      </c>
      <c r="AS42" s="35">
        <v>0</v>
      </c>
      <c r="AT42" s="35">
        <v>0</v>
      </c>
      <c r="AU42" s="35">
        <v>0</v>
      </c>
      <c r="AV42" s="35">
        <v>0</v>
      </c>
      <c r="AW42" s="35">
        <v>0</v>
      </c>
      <c r="AX42" s="35">
        <v>0</v>
      </c>
      <c r="AY42" s="35">
        <v>0</v>
      </c>
      <c r="AZ42" s="35">
        <v>0</v>
      </c>
      <c r="BA42" s="35">
        <v>0</v>
      </c>
      <c r="BB42" s="35">
        <v>0</v>
      </c>
      <c r="BC42" s="35">
        <v>0</v>
      </c>
      <c r="BD42" s="35">
        <v>0</v>
      </c>
      <c r="BE42" s="35">
        <v>0</v>
      </c>
      <c r="BF42" s="35">
        <v>0</v>
      </c>
      <c r="BG42" s="35">
        <v>0</v>
      </c>
      <c r="BH42" s="35">
        <v>0</v>
      </c>
    </row>
    <row r="43" spans="1:60" ht="21" customHeight="1" x14ac:dyDescent="0.25">
      <c r="A43" s="36" t="s">
        <v>105</v>
      </c>
      <c r="B43" s="37">
        <v>1291.6226827625569</v>
      </c>
      <c r="C43" s="37">
        <v>1292.0188197040738</v>
      </c>
      <c r="D43" s="37">
        <v>1292.4150781396454</v>
      </c>
      <c r="E43" s="37">
        <v>1292.8114581065329</v>
      </c>
      <c r="F43" s="37">
        <v>1293.2079596420099</v>
      </c>
      <c r="G43" s="37">
        <v>1293.6045827833611</v>
      </c>
      <c r="H43" s="37">
        <v>1294.0013275678832</v>
      </c>
      <c r="I43" s="37">
        <v>1294.3981940328831</v>
      </c>
      <c r="J43" s="37">
        <v>1294.7951822156799</v>
      </c>
      <c r="K43" s="37">
        <v>1295.1922921536047</v>
      </c>
      <c r="L43" s="37">
        <v>1295.5895238839989</v>
      </c>
      <c r="M43" s="37">
        <v>1295.9868774442159</v>
      </c>
      <c r="N43" s="37">
        <v>1296.3843528716206</v>
      </c>
      <c r="O43" s="37">
        <v>1296.7819502035895</v>
      </c>
      <c r="P43" s="37">
        <v>1297.1796694775107</v>
      </c>
      <c r="Q43" s="37">
        <v>1297.5775107307823</v>
      </c>
      <c r="R43" s="37">
        <v>1297.9754740008161</v>
      </c>
      <c r="S43" s="37">
        <v>1298.373559325034</v>
      </c>
      <c r="T43" s="37">
        <v>1298.7717667408697</v>
      </c>
      <c r="U43" s="37">
        <v>1299.1700962857681</v>
      </c>
      <c r="V43" s="37">
        <v>1299.568547997186</v>
      </c>
      <c r="W43" s="37">
        <v>1299.9671219125917</v>
      </c>
      <c r="X43" s="37">
        <v>1300.3658180694642</v>
      </c>
      <c r="Y43" s="37">
        <v>1300.7646365052951</v>
      </c>
      <c r="Z43" s="37">
        <v>1301.1635772575873</v>
      </c>
      <c r="AA43" s="37">
        <v>1301.5626403638544</v>
      </c>
      <c r="AB43" s="37">
        <v>1301.9618258616219</v>
      </c>
      <c r="AC43" s="37">
        <v>1302.3611337884274</v>
      </c>
      <c r="AD43" s="37">
        <v>1302.7605641818191</v>
      </c>
      <c r="AE43" s="37">
        <v>1303.1601170793574</v>
      </c>
      <c r="AF43" s="37">
        <v>1303.5597925186139</v>
      </c>
      <c r="AG43" s="37">
        <v>1303.9595905371716</v>
      </c>
      <c r="AH43" s="37">
        <v>1304.3595111726258</v>
      </c>
      <c r="AI43" s="37">
        <v>1304.7595544625819</v>
      </c>
      <c r="AJ43" s="37">
        <v>1305.1597204446584</v>
      </c>
      <c r="AK43" s="37">
        <v>1305.5600091564845</v>
      </c>
      <c r="AL43" s="37">
        <v>1305.9604206357008</v>
      </c>
      <c r="AM43" s="37">
        <v>1306.3609549199596</v>
      </c>
      <c r="AN43" s="37">
        <v>1306.7616120469249</v>
      </c>
      <c r="AO43" s="37">
        <v>1307.1623920542725</v>
      </c>
      <c r="AP43" s="37">
        <v>1307.5632949796895</v>
      </c>
      <c r="AQ43" s="37">
        <v>1307.9643208608745</v>
      </c>
      <c r="AR43" s="37">
        <v>1308.3654697355373</v>
      </c>
      <c r="AS43" s="37">
        <v>1308.7667416413997</v>
      </c>
      <c r="AT43" s="37">
        <v>1309.1681366161956</v>
      </c>
      <c r="AU43" s="37">
        <v>1309.569654697669</v>
      </c>
      <c r="AV43" s="37">
        <v>1309.9712959235771</v>
      </c>
      <c r="AW43" s="37">
        <v>1310.3730603316876</v>
      </c>
      <c r="AX43" s="37">
        <v>1310.7749479597803</v>
      </c>
      <c r="AY43" s="37">
        <v>1311.1769588456461</v>
      </c>
      <c r="AZ43" s="37">
        <v>1311.5790930270882</v>
      </c>
      <c r="BA43" s="37">
        <v>1311.9813505419208</v>
      </c>
      <c r="BB43" s="37">
        <v>1312.3837314279699</v>
      </c>
      <c r="BC43" s="37">
        <v>1312.7862357230729</v>
      </c>
      <c r="BD43" s="37">
        <v>1313.1888634650791</v>
      </c>
      <c r="BE43" s="37">
        <v>1313.5916146918494</v>
      </c>
      <c r="BF43" s="37">
        <v>1313.9944894412563</v>
      </c>
      <c r="BG43" s="37">
        <v>1314.3974877511841</v>
      </c>
      <c r="BH43" s="37">
        <v>1314.8006096595277</v>
      </c>
    </row>
    <row r="44" spans="1:60" ht="24" customHeight="1" x14ac:dyDescent="0.25">
      <c r="A44" s="38" t="s">
        <v>106</v>
      </c>
      <c r="B44" s="39">
        <v>4212686.6726827621</v>
      </c>
      <c r="C44" s="39">
        <v>4213978.6915024659</v>
      </c>
      <c r="D44" s="39">
        <v>4215271.1065806057</v>
      </c>
      <c r="E44" s="39">
        <v>4216563.9180387119</v>
      </c>
      <c r="F44" s="39">
        <v>4217857.1259983536</v>
      </c>
      <c r="G44" s="39">
        <v>4219150.7305811374</v>
      </c>
      <c r="H44" s="39">
        <v>4220444.7319087051</v>
      </c>
      <c r="I44" s="39">
        <v>4221739.1301027378</v>
      </c>
      <c r="J44" s="39">
        <v>4223033.9252849538</v>
      </c>
      <c r="K44" s="39">
        <v>4224329.1175771076</v>
      </c>
      <c r="L44" s="39">
        <v>4225624.7071009912</v>
      </c>
      <c r="M44" s="39">
        <v>4226920.6939784354</v>
      </c>
      <c r="N44" s="39">
        <v>4228217.0783313066</v>
      </c>
      <c r="O44" s="39">
        <v>4229513.8602815103</v>
      </c>
      <c r="P44" s="39">
        <v>4230811.0399509873</v>
      </c>
      <c r="Q44" s="39">
        <v>4232108.6174617177</v>
      </c>
      <c r="R44" s="39">
        <v>4233406.5929357186</v>
      </c>
      <c r="S44" s="39">
        <v>4234704.9664950436</v>
      </c>
      <c r="T44" s="39">
        <v>4236003.7382617844</v>
      </c>
      <c r="U44" s="39">
        <v>4237302.9083580701</v>
      </c>
      <c r="V44" s="39">
        <v>4238602.4769060677</v>
      </c>
      <c r="W44" s="39">
        <v>4239902.4440279799</v>
      </c>
      <c r="X44" s="39">
        <v>4241202.8098460492</v>
      </c>
      <c r="Y44" s="39">
        <v>4242503.5744825546</v>
      </c>
      <c r="Z44" s="39">
        <v>4243804.7380598122</v>
      </c>
      <c r="AA44" s="39">
        <v>4245106.3007001765</v>
      </c>
      <c r="AB44" s="39">
        <v>4246408.2625260381</v>
      </c>
      <c r="AC44" s="39">
        <v>4247710.6236598268</v>
      </c>
      <c r="AD44" s="39">
        <v>4249013.3842240088</v>
      </c>
      <c r="AE44" s="39">
        <v>4250316.5443410883</v>
      </c>
      <c r="AF44" s="39">
        <v>4251620.1041336069</v>
      </c>
      <c r="AG44" s="39">
        <v>4252924.0637241444</v>
      </c>
      <c r="AH44" s="39">
        <v>4254228.4232353168</v>
      </c>
      <c r="AI44" s="39">
        <v>4255533.1827897793</v>
      </c>
      <c r="AJ44" s="39">
        <v>4256838.3425102243</v>
      </c>
      <c r="AK44" s="39">
        <v>4258143.9025193807</v>
      </c>
      <c r="AL44" s="39">
        <v>4259449.8629400162</v>
      </c>
      <c r="AM44" s="39">
        <v>4260756.223894936</v>
      </c>
      <c r="AN44" s="39">
        <v>4262062.9855069825</v>
      </c>
      <c r="AO44" s="39">
        <v>4263370.1478990372</v>
      </c>
      <c r="AP44" s="39">
        <v>4264677.711194017</v>
      </c>
      <c r="AQ44" s="39">
        <v>4265985.6755148778</v>
      </c>
      <c r="AR44" s="39">
        <v>4267294.0409846129</v>
      </c>
      <c r="AS44" s="39">
        <v>4268602.8077262547</v>
      </c>
      <c r="AT44" s="39">
        <v>4269911.9758628709</v>
      </c>
      <c r="AU44" s="39">
        <v>4271221.5455175685</v>
      </c>
      <c r="AV44" s="39">
        <v>4272531.5168134924</v>
      </c>
      <c r="AW44" s="39">
        <v>4273841.8898738241</v>
      </c>
      <c r="AX44" s="39">
        <v>4275152.664821784</v>
      </c>
      <c r="AY44" s="39">
        <v>4276463.8417806299</v>
      </c>
      <c r="AZ44" s="39">
        <v>4277775.4208736569</v>
      </c>
      <c r="BA44" s="39">
        <v>4279087.4022241989</v>
      </c>
      <c r="BB44" s="39">
        <v>4280399.7859556265</v>
      </c>
      <c r="BC44" s="39">
        <v>4281712.5721913492</v>
      </c>
      <c r="BD44" s="39">
        <v>4283025.7610548139</v>
      </c>
      <c r="BE44" s="39">
        <v>4284339.3526695054</v>
      </c>
      <c r="BF44" s="39">
        <v>4285653.347158947</v>
      </c>
      <c r="BG44" s="39">
        <v>4286967.7446466982</v>
      </c>
      <c r="BH44" s="39">
        <v>4288282.5452563576</v>
      </c>
    </row>
    <row r="45" spans="1:60" ht="24" customHeight="1" x14ac:dyDescent="0.25">
      <c r="A45" s="19" t="s">
        <v>107</v>
      </c>
      <c r="B45" s="20">
        <v>1.000306697108067</v>
      </c>
      <c r="C45" s="20">
        <v>1.0006134882792499</v>
      </c>
      <c r="D45" s="20">
        <v>1.0009203735423979</v>
      </c>
      <c r="E45" s="20">
        <v>1.0012273529263687</v>
      </c>
      <c r="F45" s="20">
        <v>1.0015344264600288</v>
      </c>
      <c r="G45" s="20">
        <v>1.0018415941722536</v>
      </c>
      <c r="H45" s="20">
        <v>1.0021488560919274</v>
      </c>
      <c r="I45" s="20">
        <v>1.0024562122479435</v>
      </c>
      <c r="J45" s="20">
        <v>1.0027636626692036</v>
      </c>
      <c r="K45" s="20">
        <v>1.0030712073846191</v>
      </c>
      <c r="L45" s="20">
        <v>1.003378846423109</v>
      </c>
      <c r="M45" s="20">
        <v>1.0036865798136025</v>
      </c>
      <c r="N45" s="20">
        <v>1.0039944075850369</v>
      </c>
      <c r="O45" s="20">
        <v>1.0043023297663587</v>
      </c>
      <c r="P45" s="20">
        <v>1.0046103463865228</v>
      </c>
      <c r="Q45" s="20">
        <v>1.0049184574744936</v>
      </c>
      <c r="R45" s="20">
        <v>1.0052266630592441</v>
      </c>
      <c r="S45" s="20">
        <v>1.0055349631697563</v>
      </c>
      <c r="T45" s="20">
        <v>1.0058433578350205</v>
      </c>
      <c r="U45" s="20">
        <v>1.0061518470840369</v>
      </c>
      <c r="V45" s="20">
        <v>1.0064604309458141</v>
      </c>
      <c r="W45" s="20">
        <v>1.0067691094493687</v>
      </c>
      <c r="X45" s="20">
        <v>1.0070778826237281</v>
      </c>
      <c r="Y45" s="20">
        <v>1.007386750497927</v>
      </c>
      <c r="Z45" s="20">
        <v>1.0076957131010098</v>
      </c>
      <c r="AA45" s="20">
        <v>1.0080047704620294</v>
      </c>
      <c r="AB45" s="20">
        <v>1.0083139226100477</v>
      </c>
      <c r="AC45" s="20">
        <v>1.0086231695741361</v>
      </c>
      <c r="AD45" s="20">
        <v>1.0089325113833738</v>
      </c>
      <c r="AE45" s="20">
        <v>1.0092419480668497</v>
      </c>
      <c r="AF45" s="20">
        <v>1.0095514796536618</v>
      </c>
      <c r="AG45" s="20">
        <v>1.0098611061729164</v>
      </c>
      <c r="AH45" s="20">
        <v>1.0101708276537289</v>
      </c>
      <c r="AI45" s="20">
        <v>1.0104806441252239</v>
      </c>
      <c r="AJ45" s="20">
        <v>1.0107905556165349</v>
      </c>
      <c r="AK45" s="20">
        <v>1.0111005621568039</v>
      </c>
      <c r="AL45" s="20">
        <v>1.0114106637751821</v>
      </c>
      <c r="AM45" s="20">
        <v>1.0117208605008301</v>
      </c>
      <c r="AN45" s="20">
        <v>1.0120311523629166</v>
      </c>
      <c r="AO45" s="20">
        <v>1.0123415393906201</v>
      </c>
      <c r="AP45" s="20">
        <v>1.0126520216131272</v>
      </c>
      <c r="AQ45" s="20">
        <v>1.0129625990596343</v>
      </c>
      <c r="AR45" s="20">
        <v>1.0132732717593456</v>
      </c>
      <c r="AS45" s="20">
        <v>1.0135840397414759</v>
      </c>
      <c r="AT45" s="20">
        <v>1.0138949030352475</v>
      </c>
      <c r="AU45" s="20">
        <v>1.0142058616698921</v>
      </c>
      <c r="AV45" s="20">
        <v>1.014516915674651</v>
      </c>
      <c r="AW45" s="20">
        <v>1.0148280650787733</v>
      </c>
      <c r="AX45" s="20">
        <v>1.0151393099115182</v>
      </c>
      <c r="AY45" s="20">
        <v>1.0154506502021534</v>
      </c>
      <c r="AZ45" s="20">
        <v>1.015762085979955</v>
      </c>
      <c r="BA45" s="20">
        <v>1.0160736172742093</v>
      </c>
      <c r="BB45" s="20">
        <v>1.0163852441142103</v>
      </c>
      <c r="BC45" s="20">
        <v>1.016696966529262</v>
      </c>
      <c r="BD45" s="20">
        <v>1.0170087845486768</v>
      </c>
      <c r="BE45" s="20">
        <v>1.0173206982017766</v>
      </c>
      <c r="BF45" s="20">
        <v>1.0176327075178917</v>
      </c>
      <c r="BG45" s="20">
        <v>1.0179448125263619</v>
      </c>
      <c r="BH45" s="20">
        <v>1.0182570132565354</v>
      </c>
    </row>
    <row r="46" spans="1:60" x14ac:dyDescent="0.25">
      <c r="L46" s="55">
        <f>+L45-K45</f>
        <v>3.0763903848995966E-4</v>
      </c>
      <c r="M46" s="55">
        <f t="shared" ref="M46:N46" si="0">+M45-L45</f>
        <v>3.0773339049350312E-4</v>
      </c>
      <c r="N46" s="55">
        <f t="shared" si="0"/>
        <v>3.0782777143434359E-4</v>
      </c>
    </row>
    <row r="48" spans="1:60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</row>
    <row r="49" spans="1:64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</row>
    <row r="50" spans="1:64" x14ac:dyDescent="0.2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</row>
    <row r="53" spans="1:64" ht="21" customHeight="1" x14ac:dyDescent="0.25">
      <c r="A53" s="28" t="s">
        <v>93</v>
      </c>
      <c r="B53" s="41">
        <v>4018400.9822888179</v>
      </c>
      <c r="C53" s="22">
        <f>+B100</f>
        <v>4019789.2849010369</v>
      </c>
      <c r="D53" s="22">
        <f t="shared" ref="D53:BH53" si="1">+C100</f>
        <v>4021178.0671528317</v>
      </c>
      <c r="E53" s="22">
        <f t="shared" si="1"/>
        <v>4022567.3292099116</v>
      </c>
      <c r="F53" s="22">
        <f t="shared" si="1"/>
        <v>4023957.0712380423</v>
      </c>
      <c r="G53" s="22">
        <f t="shared" si="1"/>
        <v>4025347.2934030476</v>
      </c>
      <c r="H53" s="22">
        <f t="shared" si="1"/>
        <v>4026737.9958708081</v>
      </c>
      <c r="I53" s="22">
        <f t="shared" si="1"/>
        <v>4028129.1788072619</v>
      </c>
      <c r="J53" s="22">
        <f t="shared" si="1"/>
        <v>4029520.842378404</v>
      </c>
      <c r="K53" s="22">
        <f t="shared" si="1"/>
        <v>4030912.9867502875</v>
      </c>
      <c r="L53" s="22">
        <f t="shared" si="1"/>
        <v>4032305.6120890225</v>
      </c>
      <c r="M53" s="22">
        <f t="shared" si="1"/>
        <v>4033698.7185607762</v>
      </c>
      <c r="N53" s="22">
        <f t="shared" si="1"/>
        <v>4035092.3063317738</v>
      </c>
      <c r="O53" s="22">
        <f t="shared" si="1"/>
        <v>4036486.3755682972</v>
      </c>
      <c r="P53" s="22">
        <f t="shared" si="1"/>
        <v>4037880.9264366864</v>
      </c>
      <c r="Q53" s="22">
        <f t="shared" si="1"/>
        <v>4039275.9591033389</v>
      </c>
      <c r="R53" s="22">
        <f t="shared" si="1"/>
        <v>4040671.473734709</v>
      </c>
      <c r="S53" s="22">
        <f t="shared" si="1"/>
        <v>4042067.4704973092</v>
      </c>
      <c r="T53" s="22">
        <f t="shared" si="1"/>
        <v>4043463.949557709</v>
      </c>
      <c r="U53" s="22">
        <f t="shared" si="1"/>
        <v>4044860.911082536</v>
      </c>
      <c r="V53" s="22">
        <f t="shared" si="1"/>
        <v>4046258.3552384749</v>
      </c>
      <c r="W53" s="22">
        <f t="shared" si="1"/>
        <v>4047656.2821922679</v>
      </c>
      <c r="X53" s="22">
        <f t="shared" si="1"/>
        <v>4049054.6921107154</v>
      </c>
      <c r="Y53" s="22">
        <f t="shared" si="1"/>
        <v>4050453.585160675</v>
      </c>
      <c r="Z53" s="22">
        <f t="shared" si="1"/>
        <v>4051852.961509062</v>
      </c>
      <c r="AA53" s="22">
        <f t="shared" si="1"/>
        <v>4053252.8213228495</v>
      </c>
      <c r="AB53" s="22">
        <f t="shared" si="1"/>
        <v>4054653.1647690679</v>
      </c>
      <c r="AC53" s="22">
        <f t="shared" si="1"/>
        <v>4056053.9920148058</v>
      </c>
      <c r="AD53" s="22">
        <f t="shared" si="1"/>
        <v>4057455.3032272095</v>
      </c>
      <c r="AE53" s="22">
        <f t="shared" si="1"/>
        <v>4058857.0985734826</v>
      </c>
      <c r="AF53" s="22">
        <f t="shared" si="1"/>
        <v>4060259.3782208869</v>
      </c>
      <c r="AG53" s="22">
        <f t="shared" si="1"/>
        <v>4061662.1423367416</v>
      </c>
      <c r="AH53" s="22">
        <f t="shared" si="1"/>
        <v>4063065.3910884243</v>
      </c>
      <c r="AI53" s="22">
        <f t="shared" si="1"/>
        <v>4064469.1246433696</v>
      </c>
      <c r="AJ53" s="22">
        <f t="shared" si="1"/>
        <v>4065873.3431690708</v>
      </c>
      <c r="AK53" s="22">
        <f t="shared" si="1"/>
        <v>4067278.0468330784</v>
      </c>
      <c r="AL53" s="22">
        <f t="shared" si="1"/>
        <v>4068683.2358030011</v>
      </c>
      <c r="AM53" s="22">
        <f t="shared" si="1"/>
        <v>4070088.9102465054</v>
      </c>
      <c r="AN53" s="22">
        <f t="shared" si="1"/>
        <v>4071495.070331316</v>
      </c>
      <c r="AO53" s="22">
        <f t="shared" si="1"/>
        <v>4072901.7162252152</v>
      </c>
      <c r="AP53" s="22">
        <f t="shared" si="1"/>
        <v>4074308.8480960438</v>
      </c>
      <c r="AQ53" s="22">
        <f t="shared" si="1"/>
        <v>4075716.4661116996</v>
      </c>
      <c r="AR53" s="22">
        <f t="shared" si="1"/>
        <v>4077124.5704401392</v>
      </c>
      <c r="AS53" s="22">
        <f t="shared" si="1"/>
        <v>4078533.1612493768</v>
      </c>
      <c r="AT53" s="22">
        <f t="shared" si="1"/>
        <v>4079942.2387074851</v>
      </c>
      <c r="AU53" s="22">
        <f t="shared" si="1"/>
        <v>4081351.8029825948</v>
      </c>
      <c r="AV53" s="22">
        <f t="shared" si="1"/>
        <v>4082761.8542428943</v>
      </c>
      <c r="AW53" s="22">
        <f t="shared" si="1"/>
        <v>4084172.3926566304</v>
      </c>
      <c r="AX53" s="22">
        <f t="shared" si="1"/>
        <v>4085583.4183921078</v>
      </c>
      <c r="AY53" s="22">
        <f t="shared" si="1"/>
        <v>4086994.9316176898</v>
      </c>
      <c r="AZ53" s="22">
        <f t="shared" si="1"/>
        <v>4088406.9325017971</v>
      </c>
      <c r="BA53" s="22">
        <f t="shared" si="1"/>
        <v>4089819.4212129097</v>
      </c>
      <c r="BB53" s="22">
        <f t="shared" si="1"/>
        <v>4091232.397919565</v>
      </c>
      <c r="BC53" s="22">
        <f t="shared" si="1"/>
        <v>4092645.8627903583</v>
      </c>
      <c r="BD53" s="22">
        <f t="shared" si="1"/>
        <v>4094059.8159939437</v>
      </c>
      <c r="BE53" s="22">
        <f t="shared" si="1"/>
        <v>4095474.2576990342</v>
      </c>
      <c r="BF53" s="22">
        <f t="shared" si="1"/>
        <v>4096889.1880743997</v>
      </c>
      <c r="BG53" s="22">
        <f t="shared" si="1"/>
        <v>4098304.6072888696</v>
      </c>
      <c r="BH53" s="22">
        <f t="shared" si="1"/>
        <v>4099720.5155113307</v>
      </c>
    </row>
    <row r="54" spans="1:64" ht="21" customHeight="1" x14ac:dyDescent="0.25">
      <c r="A54" s="30" t="s">
        <v>94</v>
      </c>
      <c r="B54" s="31">
        <v>0</v>
      </c>
      <c r="C54" s="31">
        <v>0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</row>
    <row r="55" spans="1:64" ht="21" customHeight="1" x14ac:dyDescent="0.25">
      <c r="A55" s="32" t="s">
        <v>95</v>
      </c>
      <c r="B55" s="33">
        <f>+B53+B54</f>
        <v>4018400.9822888179</v>
      </c>
      <c r="C55" s="33">
        <f>+C53+C54</f>
        <v>4019789.2849010369</v>
      </c>
      <c r="D55" s="33">
        <f t="shared" ref="D55:BH55" si="2">+D53+D54</f>
        <v>4021178.0671528317</v>
      </c>
      <c r="E55" s="33">
        <f t="shared" si="2"/>
        <v>4022567.3292099116</v>
      </c>
      <c r="F55" s="33">
        <f t="shared" si="2"/>
        <v>4023957.0712380423</v>
      </c>
      <c r="G55" s="33">
        <f t="shared" si="2"/>
        <v>4025347.2934030476</v>
      </c>
      <c r="H55" s="33">
        <f t="shared" si="2"/>
        <v>4026737.9958708081</v>
      </c>
      <c r="I55" s="33">
        <f t="shared" si="2"/>
        <v>4028129.1788072619</v>
      </c>
      <c r="J55" s="33">
        <f t="shared" si="2"/>
        <v>4029520.842378404</v>
      </c>
      <c r="K55" s="33">
        <f t="shared" si="2"/>
        <v>4030912.9867502875</v>
      </c>
      <c r="L55" s="33">
        <f t="shared" si="2"/>
        <v>4032305.6120890225</v>
      </c>
      <c r="M55" s="33">
        <f t="shared" si="2"/>
        <v>4033698.7185607762</v>
      </c>
      <c r="N55" s="33">
        <f t="shared" si="2"/>
        <v>4035092.3063317738</v>
      </c>
      <c r="O55" s="33">
        <f t="shared" si="2"/>
        <v>4036486.3755682972</v>
      </c>
      <c r="P55" s="33">
        <f t="shared" si="2"/>
        <v>4037880.9264366864</v>
      </c>
      <c r="Q55" s="33">
        <f t="shared" si="2"/>
        <v>4039275.9591033389</v>
      </c>
      <c r="R55" s="33">
        <f t="shared" si="2"/>
        <v>4040671.473734709</v>
      </c>
      <c r="S55" s="33">
        <f t="shared" si="2"/>
        <v>4042067.4704973092</v>
      </c>
      <c r="T55" s="33">
        <f t="shared" si="2"/>
        <v>4043463.949557709</v>
      </c>
      <c r="U55" s="33">
        <f t="shared" si="2"/>
        <v>4044860.911082536</v>
      </c>
      <c r="V55" s="33">
        <f t="shared" si="2"/>
        <v>4046258.3552384749</v>
      </c>
      <c r="W55" s="33">
        <f t="shared" si="2"/>
        <v>4047656.2821922679</v>
      </c>
      <c r="X55" s="33">
        <f t="shared" si="2"/>
        <v>4049054.6921107154</v>
      </c>
      <c r="Y55" s="33">
        <f t="shared" si="2"/>
        <v>4050453.585160675</v>
      </c>
      <c r="Z55" s="33">
        <f t="shared" si="2"/>
        <v>4051852.961509062</v>
      </c>
      <c r="AA55" s="33">
        <f t="shared" si="2"/>
        <v>4053252.8213228495</v>
      </c>
      <c r="AB55" s="33">
        <f t="shared" si="2"/>
        <v>4054653.1647690679</v>
      </c>
      <c r="AC55" s="33">
        <f t="shared" si="2"/>
        <v>4056053.9920148058</v>
      </c>
      <c r="AD55" s="33">
        <f t="shared" si="2"/>
        <v>4057455.3032272095</v>
      </c>
      <c r="AE55" s="33">
        <f t="shared" si="2"/>
        <v>4058857.0985734826</v>
      </c>
      <c r="AF55" s="33">
        <f t="shared" si="2"/>
        <v>4060259.3782208869</v>
      </c>
      <c r="AG55" s="33">
        <f t="shared" si="2"/>
        <v>4061662.1423367416</v>
      </c>
      <c r="AH55" s="33">
        <f t="shared" si="2"/>
        <v>4063065.3910884243</v>
      </c>
      <c r="AI55" s="33">
        <f t="shared" si="2"/>
        <v>4064469.1246433696</v>
      </c>
      <c r="AJ55" s="33">
        <f t="shared" si="2"/>
        <v>4065873.3431690708</v>
      </c>
      <c r="AK55" s="33">
        <f t="shared" si="2"/>
        <v>4067278.0468330784</v>
      </c>
      <c r="AL55" s="33">
        <f t="shared" si="2"/>
        <v>4068683.2358030011</v>
      </c>
      <c r="AM55" s="33">
        <f t="shared" si="2"/>
        <v>4070088.9102465054</v>
      </c>
      <c r="AN55" s="33">
        <f t="shared" si="2"/>
        <v>4071495.070331316</v>
      </c>
      <c r="AO55" s="33">
        <f t="shared" si="2"/>
        <v>4072901.7162252152</v>
      </c>
      <c r="AP55" s="33">
        <f t="shared" si="2"/>
        <v>4074308.8480960438</v>
      </c>
      <c r="AQ55" s="33">
        <f t="shared" si="2"/>
        <v>4075716.4661116996</v>
      </c>
      <c r="AR55" s="33">
        <f t="shared" si="2"/>
        <v>4077124.5704401392</v>
      </c>
      <c r="AS55" s="33">
        <f t="shared" si="2"/>
        <v>4078533.1612493768</v>
      </c>
      <c r="AT55" s="33">
        <f t="shared" si="2"/>
        <v>4079942.2387074851</v>
      </c>
      <c r="AU55" s="33">
        <f t="shared" si="2"/>
        <v>4081351.8029825948</v>
      </c>
      <c r="AV55" s="33">
        <f t="shared" si="2"/>
        <v>4082761.8542428943</v>
      </c>
      <c r="AW55" s="33">
        <f t="shared" si="2"/>
        <v>4084172.3926566304</v>
      </c>
      <c r="AX55" s="33">
        <f t="shared" si="2"/>
        <v>4085583.4183921078</v>
      </c>
      <c r="AY55" s="33">
        <f t="shared" si="2"/>
        <v>4086994.9316176898</v>
      </c>
      <c r="AZ55" s="33">
        <f t="shared" si="2"/>
        <v>4088406.9325017971</v>
      </c>
      <c r="BA55" s="33">
        <f t="shared" si="2"/>
        <v>4089819.4212129097</v>
      </c>
      <c r="BB55" s="33">
        <f t="shared" si="2"/>
        <v>4091232.397919565</v>
      </c>
      <c r="BC55" s="33">
        <f t="shared" si="2"/>
        <v>4092645.8627903583</v>
      </c>
      <c r="BD55" s="33">
        <f t="shared" si="2"/>
        <v>4094059.8159939437</v>
      </c>
      <c r="BE55" s="33">
        <f t="shared" si="2"/>
        <v>4095474.2576990342</v>
      </c>
      <c r="BF55" s="33">
        <f t="shared" si="2"/>
        <v>4096889.1880743997</v>
      </c>
      <c r="BG55" s="33">
        <f t="shared" si="2"/>
        <v>4098304.6072888696</v>
      </c>
      <c r="BH55" s="33">
        <f t="shared" si="2"/>
        <v>4099720.5155113307</v>
      </c>
    </row>
    <row r="56" spans="1:64" ht="21" customHeight="1" x14ac:dyDescent="0.25">
      <c r="A56" s="28" t="s">
        <v>96</v>
      </c>
      <c r="B56" s="41">
        <v>4018395</v>
      </c>
      <c r="C56" s="33">
        <f>+B58</f>
        <v>4018395</v>
      </c>
      <c r="D56" s="33">
        <f t="shared" ref="D56:BH56" si="3">+C58</f>
        <v>4018395</v>
      </c>
      <c r="E56" s="33">
        <f t="shared" si="3"/>
        <v>4018395</v>
      </c>
      <c r="F56" s="33">
        <f t="shared" si="3"/>
        <v>4018395</v>
      </c>
      <c r="G56" s="33">
        <f t="shared" si="3"/>
        <v>4018395</v>
      </c>
      <c r="H56" s="33">
        <f t="shared" si="3"/>
        <v>4018395</v>
      </c>
      <c r="I56" s="33">
        <f t="shared" si="3"/>
        <v>4018395</v>
      </c>
      <c r="J56" s="33">
        <f t="shared" si="3"/>
        <v>4018395</v>
      </c>
      <c r="K56" s="33">
        <f t="shared" si="3"/>
        <v>4018395</v>
      </c>
      <c r="L56" s="33">
        <f t="shared" si="3"/>
        <v>4018395</v>
      </c>
      <c r="M56" s="33">
        <f t="shared" si="3"/>
        <v>4018395</v>
      </c>
      <c r="N56" s="33">
        <f t="shared" si="3"/>
        <v>4018395</v>
      </c>
      <c r="O56" s="33">
        <f t="shared" si="3"/>
        <v>4018395</v>
      </c>
      <c r="P56" s="33">
        <f t="shared" si="3"/>
        <v>4018395</v>
      </c>
      <c r="Q56" s="33">
        <f t="shared" si="3"/>
        <v>4018395</v>
      </c>
      <c r="R56" s="33">
        <f t="shared" si="3"/>
        <v>4018395</v>
      </c>
      <c r="S56" s="33">
        <f t="shared" si="3"/>
        <v>4018395</v>
      </c>
      <c r="T56" s="33">
        <f t="shared" si="3"/>
        <v>4018395</v>
      </c>
      <c r="U56" s="33">
        <f t="shared" si="3"/>
        <v>4018395</v>
      </c>
      <c r="V56" s="33">
        <f t="shared" si="3"/>
        <v>4018395</v>
      </c>
      <c r="W56" s="33">
        <f t="shared" si="3"/>
        <v>4018395</v>
      </c>
      <c r="X56" s="33">
        <f t="shared" si="3"/>
        <v>4018395</v>
      </c>
      <c r="Y56" s="33">
        <f t="shared" si="3"/>
        <v>4018395</v>
      </c>
      <c r="Z56" s="33">
        <f t="shared" si="3"/>
        <v>4018395</v>
      </c>
      <c r="AA56" s="33">
        <f t="shared" si="3"/>
        <v>4018395</v>
      </c>
      <c r="AB56" s="33">
        <f t="shared" si="3"/>
        <v>4018395</v>
      </c>
      <c r="AC56" s="33">
        <f t="shared" si="3"/>
        <v>4018395</v>
      </c>
      <c r="AD56" s="33">
        <f t="shared" si="3"/>
        <v>4018395</v>
      </c>
      <c r="AE56" s="33">
        <f t="shared" si="3"/>
        <v>4018395</v>
      </c>
      <c r="AF56" s="33">
        <f t="shared" si="3"/>
        <v>4018395</v>
      </c>
      <c r="AG56" s="33">
        <f t="shared" si="3"/>
        <v>4018395</v>
      </c>
      <c r="AH56" s="33">
        <f t="shared" si="3"/>
        <v>4018395</v>
      </c>
      <c r="AI56" s="33">
        <f t="shared" si="3"/>
        <v>4018395</v>
      </c>
      <c r="AJ56" s="33">
        <f t="shared" si="3"/>
        <v>4018395</v>
      </c>
      <c r="AK56" s="33">
        <f t="shared" si="3"/>
        <v>4018395</v>
      </c>
      <c r="AL56" s="33">
        <f t="shared" si="3"/>
        <v>4018395</v>
      </c>
      <c r="AM56" s="33">
        <f t="shared" si="3"/>
        <v>4018395</v>
      </c>
      <c r="AN56" s="33">
        <f t="shared" si="3"/>
        <v>4018395</v>
      </c>
      <c r="AO56" s="33">
        <f t="shared" si="3"/>
        <v>4018395</v>
      </c>
      <c r="AP56" s="33">
        <f t="shared" si="3"/>
        <v>4018395</v>
      </c>
      <c r="AQ56" s="33">
        <f t="shared" si="3"/>
        <v>4018395</v>
      </c>
      <c r="AR56" s="33">
        <f t="shared" si="3"/>
        <v>4018395</v>
      </c>
      <c r="AS56" s="33">
        <f t="shared" si="3"/>
        <v>4018395</v>
      </c>
      <c r="AT56" s="33">
        <f t="shared" si="3"/>
        <v>4018395</v>
      </c>
      <c r="AU56" s="33">
        <f t="shared" si="3"/>
        <v>4018395</v>
      </c>
      <c r="AV56" s="33">
        <f t="shared" si="3"/>
        <v>4018395</v>
      </c>
      <c r="AW56" s="33">
        <f t="shared" si="3"/>
        <v>4018395</v>
      </c>
      <c r="AX56" s="33">
        <f t="shared" si="3"/>
        <v>4018395</v>
      </c>
      <c r="AY56" s="33">
        <f t="shared" si="3"/>
        <v>4018395</v>
      </c>
      <c r="AZ56" s="33">
        <f t="shared" si="3"/>
        <v>4018395</v>
      </c>
      <c r="BA56" s="33">
        <f t="shared" si="3"/>
        <v>4018395</v>
      </c>
      <c r="BB56" s="33">
        <f t="shared" si="3"/>
        <v>4018395</v>
      </c>
      <c r="BC56" s="33">
        <f t="shared" si="3"/>
        <v>4018395</v>
      </c>
      <c r="BD56" s="33">
        <f t="shared" si="3"/>
        <v>4018395</v>
      </c>
      <c r="BE56" s="33">
        <f t="shared" si="3"/>
        <v>4018395</v>
      </c>
      <c r="BF56" s="33">
        <f t="shared" si="3"/>
        <v>4018395</v>
      </c>
      <c r="BG56" s="33">
        <f t="shared" si="3"/>
        <v>4018395</v>
      </c>
      <c r="BH56" s="33">
        <f t="shared" si="3"/>
        <v>4018395</v>
      </c>
    </row>
    <row r="57" spans="1:64" ht="21" customHeight="1" x14ac:dyDescent="0.25">
      <c r="A57" s="30" t="s">
        <v>97</v>
      </c>
      <c r="B57" s="42">
        <v>0</v>
      </c>
      <c r="C57" s="42">
        <f>INT(+C54/B$101)</f>
        <v>0</v>
      </c>
      <c r="D57" s="42">
        <f t="shared" ref="D57:BH57" si="4">INT(+D54/C$101)</f>
        <v>0</v>
      </c>
      <c r="E57" s="42">
        <f t="shared" si="4"/>
        <v>0</v>
      </c>
      <c r="F57" s="42">
        <f t="shared" si="4"/>
        <v>0</v>
      </c>
      <c r="G57" s="42">
        <f t="shared" si="4"/>
        <v>0</v>
      </c>
      <c r="H57" s="42">
        <f t="shared" si="4"/>
        <v>0</v>
      </c>
      <c r="I57" s="42">
        <f t="shared" si="4"/>
        <v>0</v>
      </c>
      <c r="J57" s="42">
        <f t="shared" si="4"/>
        <v>0</v>
      </c>
      <c r="K57" s="42">
        <f t="shared" si="4"/>
        <v>0</v>
      </c>
      <c r="L57" s="42">
        <f t="shared" si="4"/>
        <v>0</v>
      </c>
      <c r="M57" s="42">
        <f t="shared" si="4"/>
        <v>0</v>
      </c>
      <c r="N57" s="42">
        <f t="shared" si="4"/>
        <v>0</v>
      </c>
      <c r="O57" s="42">
        <f t="shared" si="4"/>
        <v>0</v>
      </c>
      <c r="P57" s="42">
        <f t="shared" si="4"/>
        <v>0</v>
      </c>
      <c r="Q57" s="42">
        <f t="shared" si="4"/>
        <v>0</v>
      </c>
      <c r="R57" s="42">
        <f t="shared" si="4"/>
        <v>0</v>
      </c>
      <c r="S57" s="42">
        <f t="shared" si="4"/>
        <v>0</v>
      </c>
      <c r="T57" s="42">
        <f t="shared" si="4"/>
        <v>0</v>
      </c>
      <c r="U57" s="42">
        <f t="shared" si="4"/>
        <v>0</v>
      </c>
      <c r="V57" s="42">
        <f t="shared" si="4"/>
        <v>0</v>
      </c>
      <c r="W57" s="42">
        <f t="shared" si="4"/>
        <v>0</v>
      </c>
      <c r="X57" s="42">
        <f t="shared" si="4"/>
        <v>0</v>
      </c>
      <c r="Y57" s="42">
        <f t="shared" si="4"/>
        <v>0</v>
      </c>
      <c r="Z57" s="42">
        <f t="shared" si="4"/>
        <v>0</v>
      </c>
      <c r="AA57" s="42">
        <f t="shared" si="4"/>
        <v>0</v>
      </c>
      <c r="AB57" s="42">
        <f t="shared" si="4"/>
        <v>0</v>
      </c>
      <c r="AC57" s="42">
        <f t="shared" si="4"/>
        <v>0</v>
      </c>
      <c r="AD57" s="42">
        <f t="shared" si="4"/>
        <v>0</v>
      </c>
      <c r="AE57" s="42">
        <f t="shared" si="4"/>
        <v>0</v>
      </c>
      <c r="AF57" s="42">
        <f t="shared" si="4"/>
        <v>0</v>
      </c>
      <c r="AG57" s="42">
        <f t="shared" si="4"/>
        <v>0</v>
      </c>
      <c r="AH57" s="42">
        <f t="shared" si="4"/>
        <v>0</v>
      </c>
      <c r="AI57" s="42">
        <f t="shared" si="4"/>
        <v>0</v>
      </c>
      <c r="AJ57" s="42">
        <f t="shared" si="4"/>
        <v>0</v>
      </c>
      <c r="AK57" s="42">
        <f t="shared" si="4"/>
        <v>0</v>
      </c>
      <c r="AL57" s="42">
        <f t="shared" si="4"/>
        <v>0</v>
      </c>
      <c r="AM57" s="42">
        <f t="shared" si="4"/>
        <v>0</v>
      </c>
      <c r="AN57" s="42">
        <f t="shared" si="4"/>
        <v>0</v>
      </c>
      <c r="AO57" s="42">
        <f t="shared" si="4"/>
        <v>0</v>
      </c>
      <c r="AP57" s="42">
        <f t="shared" si="4"/>
        <v>0</v>
      </c>
      <c r="AQ57" s="42">
        <f t="shared" si="4"/>
        <v>0</v>
      </c>
      <c r="AR57" s="42">
        <f t="shared" si="4"/>
        <v>0</v>
      </c>
      <c r="AS57" s="42">
        <f t="shared" si="4"/>
        <v>0</v>
      </c>
      <c r="AT57" s="42">
        <f t="shared" si="4"/>
        <v>0</v>
      </c>
      <c r="AU57" s="42">
        <f t="shared" si="4"/>
        <v>0</v>
      </c>
      <c r="AV57" s="42">
        <f t="shared" si="4"/>
        <v>0</v>
      </c>
      <c r="AW57" s="42">
        <f t="shared" si="4"/>
        <v>0</v>
      </c>
      <c r="AX57" s="42">
        <f t="shared" si="4"/>
        <v>0</v>
      </c>
      <c r="AY57" s="42">
        <f t="shared" si="4"/>
        <v>0</v>
      </c>
      <c r="AZ57" s="42">
        <f t="shared" si="4"/>
        <v>0</v>
      </c>
      <c r="BA57" s="42">
        <f t="shared" si="4"/>
        <v>0</v>
      </c>
      <c r="BB57" s="42">
        <f t="shared" si="4"/>
        <v>0</v>
      </c>
      <c r="BC57" s="42">
        <f t="shared" si="4"/>
        <v>0</v>
      </c>
      <c r="BD57" s="42">
        <f t="shared" si="4"/>
        <v>0</v>
      </c>
      <c r="BE57" s="42">
        <f t="shared" si="4"/>
        <v>0</v>
      </c>
      <c r="BF57" s="42">
        <f t="shared" si="4"/>
        <v>0</v>
      </c>
      <c r="BG57" s="42">
        <f t="shared" si="4"/>
        <v>0</v>
      </c>
      <c r="BH57" s="42">
        <f t="shared" si="4"/>
        <v>0</v>
      </c>
    </row>
    <row r="58" spans="1:64" ht="21" customHeight="1" x14ac:dyDescent="0.25">
      <c r="A58" s="32" t="s">
        <v>98</v>
      </c>
      <c r="B58" s="33">
        <f>+B56+B57</f>
        <v>4018395</v>
      </c>
      <c r="C58" s="33">
        <f t="shared" ref="C58:BH58" si="5">+C56+C57</f>
        <v>4018395</v>
      </c>
      <c r="D58" s="33">
        <f t="shared" si="5"/>
        <v>4018395</v>
      </c>
      <c r="E58" s="33">
        <f t="shared" si="5"/>
        <v>4018395</v>
      </c>
      <c r="F58" s="33">
        <f t="shared" si="5"/>
        <v>4018395</v>
      </c>
      <c r="G58" s="33">
        <f t="shared" si="5"/>
        <v>4018395</v>
      </c>
      <c r="H58" s="33">
        <f t="shared" si="5"/>
        <v>4018395</v>
      </c>
      <c r="I58" s="33">
        <f t="shared" si="5"/>
        <v>4018395</v>
      </c>
      <c r="J58" s="33">
        <f t="shared" si="5"/>
        <v>4018395</v>
      </c>
      <c r="K58" s="33">
        <f t="shared" si="5"/>
        <v>4018395</v>
      </c>
      <c r="L58" s="33">
        <f t="shared" si="5"/>
        <v>4018395</v>
      </c>
      <c r="M58" s="33">
        <f t="shared" si="5"/>
        <v>4018395</v>
      </c>
      <c r="N58" s="33">
        <f t="shared" si="5"/>
        <v>4018395</v>
      </c>
      <c r="O58" s="33">
        <f t="shared" si="5"/>
        <v>4018395</v>
      </c>
      <c r="P58" s="33">
        <f t="shared" si="5"/>
        <v>4018395</v>
      </c>
      <c r="Q58" s="33">
        <f t="shared" si="5"/>
        <v>4018395</v>
      </c>
      <c r="R58" s="33">
        <f t="shared" si="5"/>
        <v>4018395</v>
      </c>
      <c r="S58" s="33">
        <f t="shared" si="5"/>
        <v>4018395</v>
      </c>
      <c r="T58" s="33">
        <f t="shared" si="5"/>
        <v>4018395</v>
      </c>
      <c r="U58" s="33">
        <f t="shared" si="5"/>
        <v>4018395</v>
      </c>
      <c r="V58" s="33">
        <f t="shared" si="5"/>
        <v>4018395</v>
      </c>
      <c r="W58" s="33">
        <f t="shared" si="5"/>
        <v>4018395</v>
      </c>
      <c r="X58" s="33">
        <f t="shared" si="5"/>
        <v>4018395</v>
      </c>
      <c r="Y58" s="33">
        <f t="shared" si="5"/>
        <v>4018395</v>
      </c>
      <c r="Z58" s="33">
        <f t="shared" si="5"/>
        <v>4018395</v>
      </c>
      <c r="AA58" s="33">
        <f t="shared" si="5"/>
        <v>4018395</v>
      </c>
      <c r="AB58" s="33">
        <f t="shared" si="5"/>
        <v>4018395</v>
      </c>
      <c r="AC58" s="33">
        <f t="shared" si="5"/>
        <v>4018395</v>
      </c>
      <c r="AD58" s="33">
        <f t="shared" si="5"/>
        <v>4018395</v>
      </c>
      <c r="AE58" s="33">
        <f t="shared" si="5"/>
        <v>4018395</v>
      </c>
      <c r="AF58" s="33">
        <f t="shared" si="5"/>
        <v>4018395</v>
      </c>
      <c r="AG58" s="33">
        <f t="shared" si="5"/>
        <v>4018395</v>
      </c>
      <c r="AH58" s="33">
        <f t="shared" si="5"/>
        <v>4018395</v>
      </c>
      <c r="AI58" s="33">
        <f t="shared" si="5"/>
        <v>4018395</v>
      </c>
      <c r="AJ58" s="33">
        <f t="shared" si="5"/>
        <v>4018395</v>
      </c>
      <c r="AK58" s="33">
        <f t="shared" si="5"/>
        <v>4018395</v>
      </c>
      <c r="AL58" s="33">
        <f t="shared" si="5"/>
        <v>4018395</v>
      </c>
      <c r="AM58" s="33">
        <f t="shared" si="5"/>
        <v>4018395</v>
      </c>
      <c r="AN58" s="33">
        <f t="shared" si="5"/>
        <v>4018395</v>
      </c>
      <c r="AO58" s="33">
        <f t="shared" si="5"/>
        <v>4018395</v>
      </c>
      <c r="AP58" s="33">
        <f t="shared" si="5"/>
        <v>4018395</v>
      </c>
      <c r="AQ58" s="33">
        <f t="shared" si="5"/>
        <v>4018395</v>
      </c>
      <c r="AR58" s="33">
        <f t="shared" si="5"/>
        <v>4018395</v>
      </c>
      <c r="AS58" s="33">
        <f t="shared" si="5"/>
        <v>4018395</v>
      </c>
      <c r="AT58" s="33">
        <f t="shared" si="5"/>
        <v>4018395</v>
      </c>
      <c r="AU58" s="33">
        <f t="shared" si="5"/>
        <v>4018395</v>
      </c>
      <c r="AV58" s="33">
        <f t="shared" si="5"/>
        <v>4018395</v>
      </c>
      <c r="AW58" s="33">
        <f t="shared" si="5"/>
        <v>4018395</v>
      </c>
      <c r="AX58" s="33">
        <f t="shared" si="5"/>
        <v>4018395</v>
      </c>
      <c r="AY58" s="33">
        <f t="shared" si="5"/>
        <v>4018395</v>
      </c>
      <c r="AZ58" s="33">
        <f t="shared" si="5"/>
        <v>4018395</v>
      </c>
      <c r="BA58" s="33">
        <f t="shared" si="5"/>
        <v>4018395</v>
      </c>
      <c r="BB58" s="33">
        <f t="shared" si="5"/>
        <v>4018395</v>
      </c>
      <c r="BC58" s="33">
        <f t="shared" si="5"/>
        <v>4018395</v>
      </c>
      <c r="BD58" s="33">
        <f t="shared" si="5"/>
        <v>4018395</v>
      </c>
      <c r="BE58" s="33">
        <f t="shared" si="5"/>
        <v>4018395</v>
      </c>
      <c r="BF58" s="33">
        <f t="shared" si="5"/>
        <v>4018395</v>
      </c>
      <c r="BG58" s="33">
        <f t="shared" si="5"/>
        <v>4018395</v>
      </c>
      <c r="BH58" s="33">
        <f t="shared" si="5"/>
        <v>4018395</v>
      </c>
    </row>
    <row r="59" spans="1:64" ht="24" customHeight="1" x14ac:dyDescent="0.25">
      <c r="A59" s="28" t="s">
        <v>99</v>
      </c>
      <c r="B59" s="43">
        <v>1</v>
      </c>
      <c r="C59" s="20">
        <f>+B101</f>
        <v>1.0003469755713505</v>
      </c>
      <c r="D59" s="20">
        <f t="shared" ref="D59:BH59" si="6">+C101</f>
        <v>1.0006925817777574</v>
      </c>
      <c r="E59" s="20">
        <f t="shared" si="6"/>
        <v>1.0010383073863847</v>
      </c>
      <c r="F59" s="20">
        <f t="shared" si="6"/>
        <v>1.0013841524384841</v>
      </c>
      <c r="G59" s="20">
        <f t="shared" si="6"/>
        <v>1.0017301169753217</v>
      </c>
      <c r="H59" s="20">
        <f t="shared" si="6"/>
        <v>1.0020762010381776</v>
      </c>
      <c r="I59" s="20">
        <f t="shared" si="6"/>
        <v>1.002422404668347</v>
      </c>
      <c r="J59" s="20">
        <f t="shared" si="6"/>
        <v>1.002768727907138</v>
      </c>
      <c r="K59" s="20">
        <f t="shared" si="6"/>
        <v>1.0031151707958743</v>
      </c>
      <c r="L59" s="20">
        <f t="shared" si="6"/>
        <v>1.0034617333758933</v>
      </c>
      <c r="M59" s="20">
        <f t="shared" si="6"/>
        <v>1.0038084156885463</v>
      </c>
      <c r="N59" s="20">
        <f t="shared" si="6"/>
        <v>1.0041552177751998</v>
      </c>
      <c r="O59" s="20">
        <f t="shared" si="6"/>
        <v>1.0045021396772336</v>
      </c>
      <c r="P59" s="20">
        <f t="shared" si="6"/>
        <v>1.0048491814360425</v>
      </c>
      <c r="Q59" s="20">
        <f t="shared" si="6"/>
        <v>1.0051963430930355</v>
      </c>
      <c r="R59" s="20">
        <f t="shared" si="6"/>
        <v>1.0055436246896359</v>
      </c>
      <c r="S59" s="20">
        <f t="shared" si="6"/>
        <v>1.0058910262672807</v>
      </c>
      <c r="T59" s="20">
        <f t="shared" si="6"/>
        <v>1.0062385478674221</v>
      </c>
      <c r="U59" s="20">
        <f t="shared" si="6"/>
        <v>1.0065861895315258</v>
      </c>
      <c r="V59" s="20">
        <f t="shared" si="6"/>
        <v>1.0069339513010729</v>
      </c>
      <c r="W59" s="20">
        <f t="shared" si="6"/>
        <v>1.0072818332175577</v>
      </c>
      <c r="X59" s="20">
        <f t="shared" si="6"/>
        <v>1.0076298353224895</v>
      </c>
      <c r="Y59" s="20">
        <f t="shared" si="6"/>
        <v>1.0079779576573917</v>
      </c>
      <c r="Z59" s="20">
        <f t="shared" si="6"/>
        <v>1.0083262002638023</v>
      </c>
      <c r="AA59" s="20">
        <f t="shared" si="6"/>
        <v>1.0086745631832732</v>
      </c>
      <c r="AB59" s="20">
        <f t="shared" si="6"/>
        <v>1.0090230464573711</v>
      </c>
      <c r="AC59" s="20">
        <f t="shared" si="6"/>
        <v>1.0093716501276768</v>
      </c>
      <c r="AD59" s="20">
        <f t="shared" si="6"/>
        <v>1.0097203742357856</v>
      </c>
      <c r="AE59" s="20">
        <f t="shared" si="6"/>
        <v>1.0100692188233069</v>
      </c>
      <c r="AF59" s="20">
        <f t="shared" si="6"/>
        <v>1.0104181839318651</v>
      </c>
      <c r="AG59" s="20">
        <f t="shared" si="6"/>
        <v>1.010767269603098</v>
      </c>
      <c r="AH59" s="20">
        <f t="shared" si="6"/>
        <v>1.011116475878659</v>
      </c>
      <c r="AI59" s="20">
        <f t="shared" si="6"/>
        <v>1.0114658028002148</v>
      </c>
      <c r="AJ59" s="20">
        <f t="shared" si="6"/>
        <v>1.0118152504094473</v>
      </c>
      <c r="AK59" s="20">
        <f t="shared" si="6"/>
        <v>1.0121648187480521</v>
      </c>
      <c r="AL59" s="20">
        <f t="shared" si="6"/>
        <v>1.0125145078577396</v>
      </c>
      <c r="AM59" s="20">
        <f t="shared" si="6"/>
        <v>1.0128643177802346</v>
      </c>
      <c r="AN59" s="20">
        <f t="shared" si="6"/>
        <v>1.0132142485572762</v>
      </c>
      <c r="AO59" s="20">
        <f t="shared" si="6"/>
        <v>1.0135643002306183</v>
      </c>
      <c r="AP59" s="20">
        <f t="shared" si="6"/>
        <v>1.0139144728420286</v>
      </c>
      <c r="AQ59" s="20">
        <f t="shared" si="6"/>
        <v>1.0142647664332898</v>
      </c>
      <c r="AR59" s="20">
        <f t="shared" si="6"/>
        <v>1.0146151810461985</v>
      </c>
      <c r="AS59" s="20">
        <f t="shared" si="6"/>
        <v>1.0149657167225663</v>
      </c>
      <c r="AT59" s="20">
        <f t="shared" si="6"/>
        <v>1.0153163735042188</v>
      </c>
      <c r="AU59" s="20">
        <f t="shared" si="6"/>
        <v>1.0156671514329962</v>
      </c>
      <c r="AV59" s="20">
        <f t="shared" si="6"/>
        <v>1.0160180505507532</v>
      </c>
      <c r="AW59" s="20">
        <f t="shared" si="6"/>
        <v>1.0163690708993591</v>
      </c>
      <c r="AX59" s="20">
        <f t="shared" si="6"/>
        <v>1.0167202125206973</v>
      </c>
      <c r="AY59" s="20">
        <f t="shared" si="6"/>
        <v>1.0170714754566661</v>
      </c>
      <c r="AZ59" s="20">
        <f t="shared" si="6"/>
        <v>1.0174228597491777</v>
      </c>
      <c r="BA59" s="20">
        <f t="shared" si="6"/>
        <v>1.0177743654401594</v>
      </c>
      <c r="BB59" s="20">
        <f t="shared" si="6"/>
        <v>1.0181259925715529</v>
      </c>
      <c r="BC59" s="20">
        <f t="shared" si="6"/>
        <v>1.0184777411853136</v>
      </c>
      <c r="BD59" s="20">
        <f t="shared" si="6"/>
        <v>1.0188296113234123</v>
      </c>
      <c r="BE59" s="20">
        <f t="shared" si="6"/>
        <v>1.0191816030278342</v>
      </c>
      <c r="BF59" s="20">
        <f t="shared" si="6"/>
        <v>1.0195337163405787</v>
      </c>
      <c r="BG59" s="20">
        <f t="shared" si="6"/>
        <v>1.0198859513036598</v>
      </c>
      <c r="BH59" s="20">
        <f t="shared" si="6"/>
        <v>1.0202383079591058</v>
      </c>
    </row>
    <row r="60" spans="1:64" s="45" customFormat="1" ht="24" customHeight="1" x14ac:dyDescent="0.25">
      <c r="A60" s="44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</row>
    <row r="61" spans="1:64" s="45" customFormat="1" ht="24" customHeight="1" x14ac:dyDescent="0.25">
      <c r="A61" s="28" t="s">
        <v>283</v>
      </c>
      <c r="B61" s="46">
        <v>0.12610251084780744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</row>
    <row r="62" spans="1:64" s="45" customFormat="1" ht="24" customHeight="1" x14ac:dyDescent="0.25">
      <c r="A62" s="47" t="s">
        <v>275</v>
      </c>
      <c r="B62" s="48">
        <f>+B61/365</f>
        <v>3.4548633108988337E-4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</row>
    <row r="63" spans="1:64" s="45" customFormat="1" ht="24" customHeight="1" x14ac:dyDescent="0.25">
      <c r="A63" s="47" t="s">
        <v>274</v>
      </c>
      <c r="B63" s="49">
        <f>+$B$62*B$53</f>
        <v>1388.3026122189472</v>
      </c>
      <c r="C63" s="49">
        <f t="shared" ref="C63:BH63" si="7">+$B$62*C$53</f>
        <v>1388.782251794885</v>
      </c>
      <c r="D63" s="49">
        <f t="shared" si="7"/>
        <v>1389.2620570797405</v>
      </c>
      <c r="E63" s="49">
        <f t="shared" si="7"/>
        <v>1389.7420281307634</v>
      </c>
      <c r="F63" s="49">
        <f t="shared" si="7"/>
        <v>1390.2221650052236</v>
      </c>
      <c r="G63" s="49">
        <f t="shared" si="7"/>
        <v>1390.7024677604111</v>
      </c>
      <c r="H63" s="49">
        <f t="shared" si="7"/>
        <v>1391.1829364536354</v>
      </c>
      <c r="I63" s="49">
        <f t="shared" si="7"/>
        <v>1391.6635711422257</v>
      </c>
      <c r="J63" s="49">
        <f t="shared" si="7"/>
        <v>1392.144371883531</v>
      </c>
      <c r="K63" s="49">
        <f t="shared" si="7"/>
        <v>1392.6253387349204</v>
      </c>
      <c r="L63" s="49">
        <f t="shared" si="7"/>
        <v>1393.1064717537829</v>
      </c>
      <c r="M63" s="49">
        <f t="shared" si="7"/>
        <v>1393.5877709975266</v>
      </c>
      <c r="N63" s="49">
        <f t="shared" si="7"/>
        <v>1394.0692365235802</v>
      </c>
      <c r="O63" s="49">
        <f t="shared" si="7"/>
        <v>1394.550868389392</v>
      </c>
      <c r="P63" s="49">
        <f t="shared" si="7"/>
        <v>1395.03266665243</v>
      </c>
      <c r="Q63" s="49">
        <f t="shared" si="7"/>
        <v>1395.5146313701823</v>
      </c>
      <c r="R63" s="49">
        <f t="shared" si="7"/>
        <v>1395.9967626001567</v>
      </c>
      <c r="S63" s="49">
        <f t="shared" si="7"/>
        <v>1396.4790603998808</v>
      </c>
      <c r="T63" s="49">
        <f t="shared" si="7"/>
        <v>1396.9615248269022</v>
      </c>
      <c r="U63" s="49">
        <f t="shared" si="7"/>
        <v>1397.4441559387883</v>
      </c>
      <c r="V63" s="49">
        <f t="shared" si="7"/>
        <v>1397.9269537931266</v>
      </c>
      <c r="W63" s="49">
        <f t="shared" si="7"/>
        <v>1398.4099184475242</v>
      </c>
      <c r="X63" s="49">
        <f t="shared" si="7"/>
        <v>1398.8930499596083</v>
      </c>
      <c r="Y63" s="49">
        <f t="shared" si="7"/>
        <v>1399.3763483870262</v>
      </c>
      <c r="Z63" s="49">
        <f t="shared" si="7"/>
        <v>1399.8598137874442</v>
      </c>
      <c r="AA63" s="49">
        <f t="shared" si="7"/>
        <v>1400.3434462185498</v>
      </c>
      <c r="AB63" s="49">
        <f t="shared" si="7"/>
        <v>1400.8272457380497</v>
      </c>
      <c r="AC63" s="49">
        <f t="shared" si="7"/>
        <v>1401.3112124036704</v>
      </c>
      <c r="AD63" s="49">
        <f t="shared" si="7"/>
        <v>1401.7953462731589</v>
      </c>
      <c r="AE63" s="49">
        <f t="shared" si="7"/>
        <v>1402.2796474042816</v>
      </c>
      <c r="AF63" s="49">
        <f t="shared" si="7"/>
        <v>1402.7641158548254</v>
      </c>
      <c r="AG63" s="49">
        <f t="shared" si="7"/>
        <v>1403.2487516825965</v>
      </c>
      <c r="AH63" s="49">
        <f t="shared" si="7"/>
        <v>1403.7335549454217</v>
      </c>
      <c r="AI63" s="49">
        <f t="shared" si="7"/>
        <v>1404.2185257011477</v>
      </c>
      <c r="AJ63" s="49">
        <f t="shared" si="7"/>
        <v>1404.7036640076406</v>
      </c>
      <c r="AK63" s="49">
        <f t="shared" si="7"/>
        <v>1405.188969922787</v>
      </c>
      <c r="AL63" s="49">
        <f t="shared" si="7"/>
        <v>1405.6744435044936</v>
      </c>
      <c r="AM63" s="49">
        <f t="shared" si="7"/>
        <v>1406.1600848106868</v>
      </c>
      <c r="AN63" s="49">
        <f t="shared" si="7"/>
        <v>1406.645893899313</v>
      </c>
      <c r="AO63" s="49">
        <f t="shared" si="7"/>
        <v>1407.1318708283388</v>
      </c>
      <c r="AP63" s="49">
        <f t="shared" si="7"/>
        <v>1407.6180156557512</v>
      </c>
      <c r="AQ63" s="49">
        <f t="shared" si="7"/>
        <v>1408.104328439556</v>
      </c>
      <c r="AR63" s="49">
        <f t="shared" si="7"/>
        <v>1408.5908092377804</v>
      </c>
      <c r="AS63" s="49">
        <f t="shared" si="7"/>
        <v>1409.0774581084709</v>
      </c>
      <c r="AT63" s="49">
        <f t="shared" si="7"/>
        <v>1409.5642751096941</v>
      </c>
      <c r="AU63" s="49">
        <f t="shared" si="7"/>
        <v>1410.0512602995373</v>
      </c>
      <c r="AV63" s="49">
        <f t="shared" si="7"/>
        <v>1410.5384137361068</v>
      </c>
      <c r="AW63" s="49">
        <f t="shared" si="7"/>
        <v>1411.0257354775297</v>
      </c>
      <c r="AX63" s="49">
        <f t="shared" si="7"/>
        <v>1411.5132255819533</v>
      </c>
      <c r="AY63" s="49">
        <f t="shared" si="7"/>
        <v>1412.0008841075444</v>
      </c>
      <c r="AZ63" s="49">
        <f t="shared" si="7"/>
        <v>1412.4887111124904</v>
      </c>
      <c r="BA63" s="49">
        <f t="shared" si="7"/>
        <v>1412.9767066549985</v>
      </c>
      <c r="BB63" s="49">
        <f t="shared" si="7"/>
        <v>1413.4648707932963</v>
      </c>
      <c r="BC63" s="49">
        <f t="shared" si="7"/>
        <v>1413.9532035856312</v>
      </c>
      <c r="BD63" s="49">
        <f t="shared" si="7"/>
        <v>1414.4417050902707</v>
      </c>
      <c r="BE63" s="49">
        <f t="shared" si="7"/>
        <v>1414.9303753655029</v>
      </c>
      <c r="BF63" s="49">
        <f t="shared" si="7"/>
        <v>1415.4192144696356</v>
      </c>
      <c r="BG63" s="49">
        <f t="shared" si="7"/>
        <v>1415.9082224609967</v>
      </c>
      <c r="BH63" s="49">
        <f t="shared" si="7"/>
        <v>1416.3973993979348</v>
      </c>
      <c r="BJ63" s="22">
        <f>SUM(B63:BI63)</f>
        <v>82735.930621911262</v>
      </c>
      <c r="BL63" s="22">
        <f>+BJ63-BJ98</f>
        <v>-1.4970282791182399E-6</v>
      </c>
    </row>
    <row r="64" spans="1:64" s="45" customFormat="1" ht="24" hidden="1" customHeight="1" outlineLevel="1" x14ac:dyDescent="0.25">
      <c r="A64" s="47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J64" s="22"/>
      <c r="BL64" s="22"/>
    </row>
    <row r="65" spans="1:67" ht="20.100000000000001" hidden="1" customHeight="1" outlineLevel="1" x14ac:dyDescent="0.25">
      <c r="A65" s="58" t="s">
        <v>108</v>
      </c>
      <c r="B65" s="50">
        <v>48.528376000000002</v>
      </c>
      <c r="C65" s="50">
        <v>48.528376000000002</v>
      </c>
      <c r="D65" s="50">
        <v>48.528376000000002</v>
      </c>
      <c r="E65" s="50">
        <v>48.528376000000002</v>
      </c>
      <c r="F65" s="50">
        <v>48.528376000000002</v>
      </c>
      <c r="G65" s="50">
        <v>48.528376000000002</v>
      </c>
      <c r="H65" s="50">
        <v>48.528376000000002</v>
      </c>
      <c r="I65" s="50">
        <v>48.528376000000002</v>
      </c>
      <c r="J65" s="50">
        <v>48.528376000000002</v>
      </c>
      <c r="K65" s="50">
        <v>48.528376000000002</v>
      </c>
      <c r="L65" s="50">
        <v>48.528376000000002</v>
      </c>
      <c r="M65" s="50">
        <v>48.528376000000002</v>
      </c>
      <c r="N65" s="50">
        <v>48.528376000000002</v>
      </c>
      <c r="O65" s="50">
        <v>48.528376000000002</v>
      </c>
      <c r="P65" s="50">
        <v>48.528376000000002</v>
      </c>
      <c r="Q65" s="50">
        <v>48.528376000000002</v>
      </c>
      <c r="R65" s="50">
        <v>48.528376000000002</v>
      </c>
      <c r="S65" s="50">
        <v>48.528376000000002</v>
      </c>
      <c r="T65" s="50">
        <v>48.528376000000002</v>
      </c>
      <c r="U65" s="50">
        <v>48.528376000000002</v>
      </c>
      <c r="V65" s="50">
        <v>48.528376000000002</v>
      </c>
      <c r="W65" s="50">
        <v>48.528376000000002</v>
      </c>
      <c r="X65" s="50">
        <v>48.528376000000002</v>
      </c>
      <c r="Y65" s="50">
        <v>48.528376000000002</v>
      </c>
      <c r="Z65" s="50">
        <v>48.528376000000002</v>
      </c>
      <c r="AA65" s="50">
        <v>48.528376000000002</v>
      </c>
      <c r="AB65" s="50">
        <v>48.528376000000002</v>
      </c>
      <c r="AC65" s="50">
        <v>48.528376000000002</v>
      </c>
      <c r="AD65" s="50">
        <v>48.528376000000002</v>
      </c>
      <c r="AE65" s="50">
        <v>48.528376000000002</v>
      </c>
      <c r="AF65" s="50">
        <v>48.528376000000002</v>
      </c>
      <c r="AG65" s="50">
        <v>48.528376000000002</v>
      </c>
      <c r="AH65" s="50">
        <v>48.528376000000002</v>
      </c>
      <c r="AI65" s="50">
        <v>48.528376000000002</v>
      </c>
      <c r="AJ65" s="50">
        <v>48.528376000000002</v>
      </c>
      <c r="AK65" s="50">
        <v>48.528376000000002</v>
      </c>
      <c r="AL65" s="50">
        <v>48.528376000000002</v>
      </c>
      <c r="AM65" s="50">
        <v>48.528376000000002</v>
      </c>
      <c r="AN65" s="50">
        <v>48.528376000000002</v>
      </c>
      <c r="AO65" s="50">
        <v>48.528376000000002</v>
      </c>
      <c r="AP65" s="50">
        <v>48.528376000000002</v>
      </c>
      <c r="AQ65" s="50">
        <v>48.528376000000002</v>
      </c>
      <c r="AR65" s="50">
        <v>48.528376000000002</v>
      </c>
      <c r="AS65" s="50">
        <v>48.528376000000002</v>
      </c>
      <c r="AT65" s="50">
        <v>48.528376000000002</v>
      </c>
      <c r="AU65" s="50">
        <v>48.528376000000002</v>
      </c>
      <c r="AV65" s="50">
        <v>48.528376000000002</v>
      </c>
      <c r="AW65" s="50">
        <v>48.528376000000002</v>
      </c>
      <c r="AX65" s="50">
        <v>48.528376000000002</v>
      </c>
      <c r="AY65" s="50">
        <v>48.528376000000002</v>
      </c>
      <c r="AZ65" s="50">
        <v>48.528376000000002</v>
      </c>
      <c r="BA65" s="50">
        <v>48.528376000000002</v>
      </c>
      <c r="BB65" s="50">
        <v>48.528376000000002</v>
      </c>
      <c r="BC65" s="50">
        <v>48.528376000000002</v>
      </c>
      <c r="BD65" s="50">
        <v>48.528376000000002</v>
      </c>
      <c r="BE65" s="50">
        <v>48.528376000000002</v>
      </c>
      <c r="BF65" s="50">
        <v>48.528376000000002</v>
      </c>
      <c r="BG65" s="50">
        <v>48.528376000000002</v>
      </c>
      <c r="BH65" s="50">
        <v>48.528376000000002</v>
      </c>
      <c r="BI65" s="50"/>
      <c r="BJ65" s="50"/>
      <c r="BK65" s="50"/>
      <c r="BL65" s="50"/>
      <c r="BM65" s="50"/>
      <c r="BN65" s="50"/>
      <c r="BO65" s="50"/>
    </row>
    <row r="66" spans="1:67" ht="20.100000000000001" hidden="1" customHeight="1" outlineLevel="1" x14ac:dyDescent="0.25">
      <c r="A66" s="58" t="s">
        <v>109</v>
      </c>
      <c r="B66" s="50">
        <v>50.684932000000003</v>
      </c>
      <c r="C66" s="50">
        <v>50.684932000000003</v>
      </c>
      <c r="D66" s="50">
        <v>50.684932000000003</v>
      </c>
      <c r="E66" s="50">
        <v>50.684932000000003</v>
      </c>
      <c r="F66" s="50">
        <v>50.684932000000003</v>
      </c>
      <c r="G66" s="50">
        <v>50.684932000000003</v>
      </c>
      <c r="H66" s="50">
        <v>50.684932000000003</v>
      </c>
      <c r="I66" s="50">
        <v>50.684932000000003</v>
      </c>
      <c r="J66" s="50">
        <v>50.684932000000003</v>
      </c>
      <c r="K66" s="50">
        <v>50.684932000000003</v>
      </c>
      <c r="L66" s="50">
        <v>50.684932000000003</v>
      </c>
      <c r="M66" s="50">
        <v>50.684932000000003</v>
      </c>
      <c r="N66" s="50">
        <v>50.684932000000003</v>
      </c>
      <c r="O66" s="50">
        <v>50.684932000000003</v>
      </c>
      <c r="P66" s="50">
        <v>50.684932000000003</v>
      </c>
      <c r="Q66" s="50">
        <v>50.684932000000003</v>
      </c>
      <c r="R66" s="50">
        <v>50.684932000000003</v>
      </c>
      <c r="S66" s="50">
        <v>50.684932000000003</v>
      </c>
      <c r="T66" s="50">
        <v>50.684932000000003</v>
      </c>
      <c r="U66" s="50">
        <v>50.684932000000003</v>
      </c>
      <c r="V66" s="50">
        <v>50.684932000000003</v>
      </c>
      <c r="W66" s="50">
        <v>50.684932000000003</v>
      </c>
      <c r="X66" s="50">
        <v>50.684932000000003</v>
      </c>
      <c r="Y66" s="50">
        <v>50.684932000000003</v>
      </c>
      <c r="Z66" s="50">
        <v>50.684932000000003</v>
      </c>
      <c r="AA66" s="50">
        <v>50.684932000000003</v>
      </c>
      <c r="AB66" s="50">
        <v>50.684932000000003</v>
      </c>
      <c r="AC66" s="50">
        <v>50.684932000000003</v>
      </c>
      <c r="AD66" s="50">
        <v>50.684932000000003</v>
      </c>
      <c r="AE66" s="50">
        <v>50.684932000000003</v>
      </c>
      <c r="AF66" s="50">
        <v>50.684932000000003</v>
      </c>
      <c r="AG66" s="50">
        <v>50.684932000000003</v>
      </c>
      <c r="AH66" s="50">
        <v>50.684932000000003</v>
      </c>
      <c r="AI66" s="50">
        <v>50.684932000000003</v>
      </c>
      <c r="AJ66" s="50">
        <v>50.684932000000003</v>
      </c>
      <c r="AK66" s="50">
        <v>50.684932000000003</v>
      </c>
      <c r="AL66" s="50">
        <v>50.684932000000003</v>
      </c>
      <c r="AM66" s="50">
        <v>50.684932000000003</v>
      </c>
      <c r="AN66" s="50">
        <v>50.684932000000003</v>
      </c>
      <c r="AO66" s="50">
        <v>50.684932000000003</v>
      </c>
      <c r="AP66" s="50">
        <v>50.684932000000003</v>
      </c>
      <c r="AQ66" s="50">
        <v>50.684932000000003</v>
      </c>
      <c r="AR66" s="50">
        <v>50.684932000000003</v>
      </c>
      <c r="AS66" s="50">
        <v>50.684932000000003</v>
      </c>
      <c r="AT66" s="50">
        <v>50.684932000000003</v>
      </c>
      <c r="AU66" s="50">
        <v>50.684932000000003</v>
      </c>
      <c r="AV66" s="50">
        <v>50.684932000000003</v>
      </c>
      <c r="AW66" s="50">
        <v>50.684932000000003</v>
      </c>
      <c r="AX66" s="50">
        <v>50.684932000000003</v>
      </c>
      <c r="AY66" s="50">
        <v>50.684932000000003</v>
      </c>
      <c r="AZ66" s="50">
        <v>50.684932000000003</v>
      </c>
      <c r="BA66" s="50">
        <v>50.684932000000003</v>
      </c>
      <c r="BB66" s="50">
        <v>50.684932000000003</v>
      </c>
      <c r="BC66" s="50">
        <v>50.684932000000003</v>
      </c>
      <c r="BD66" s="50">
        <v>50.684932000000003</v>
      </c>
      <c r="BE66" s="50">
        <v>50.684932000000003</v>
      </c>
      <c r="BF66" s="50">
        <v>50.684932000000003</v>
      </c>
      <c r="BG66" s="50">
        <v>50.684932000000003</v>
      </c>
      <c r="BH66" s="50">
        <v>50.684932000000003</v>
      </c>
      <c r="BI66" s="50"/>
      <c r="BJ66" s="50"/>
      <c r="BK66" s="50"/>
      <c r="BL66" s="50"/>
      <c r="BM66" s="50"/>
      <c r="BN66" s="50"/>
      <c r="BO66" s="50"/>
    </row>
    <row r="67" spans="1:67" ht="20.100000000000001" hidden="1" customHeight="1" outlineLevel="1" x14ac:dyDescent="0.25">
      <c r="A67" s="58" t="s">
        <v>110</v>
      </c>
      <c r="B67" s="50">
        <v>246.57534200000001</v>
      </c>
      <c r="C67" s="50">
        <v>246.57534200000001</v>
      </c>
      <c r="D67" s="50">
        <v>246.57534200000001</v>
      </c>
      <c r="E67" s="50">
        <v>246.57534200000001</v>
      </c>
      <c r="F67" s="50">
        <v>246.57534200000001</v>
      </c>
      <c r="G67" s="50">
        <v>246.57534200000001</v>
      </c>
      <c r="H67" s="50">
        <v>246.57534200000001</v>
      </c>
      <c r="I67" s="50">
        <v>246.57534200000001</v>
      </c>
      <c r="J67" s="50">
        <v>246.57534200000001</v>
      </c>
      <c r="K67" s="50">
        <v>246.57534200000001</v>
      </c>
      <c r="L67" s="50">
        <v>246.57534200000001</v>
      </c>
      <c r="M67" s="50">
        <v>246.57534200000001</v>
      </c>
      <c r="N67" s="50">
        <v>246.57534200000001</v>
      </c>
      <c r="O67" s="50">
        <v>246.57534200000001</v>
      </c>
      <c r="P67" s="50">
        <v>246.57534200000001</v>
      </c>
      <c r="Q67" s="50">
        <v>246.57534200000001</v>
      </c>
      <c r="R67" s="50">
        <v>246.57534200000001</v>
      </c>
      <c r="S67" s="50">
        <v>246.57534200000001</v>
      </c>
      <c r="T67" s="50">
        <v>246.57534200000001</v>
      </c>
      <c r="U67" s="50">
        <v>246.57534200000001</v>
      </c>
      <c r="V67" s="50">
        <v>246.57534200000001</v>
      </c>
      <c r="W67" s="50">
        <v>246.57534200000001</v>
      </c>
      <c r="X67" s="50">
        <v>246.57534200000001</v>
      </c>
      <c r="Y67" s="50">
        <v>246.57534200000001</v>
      </c>
      <c r="Z67" s="50">
        <v>246.57534200000001</v>
      </c>
      <c r="AA67" s="50">
        <v>246.57534200000001</v>
      </c>
      <c r="AB67" s="50">
        <v>246.57534200000001</v>
      </c>
      <c r="AC67" s="50">
        <v>246.57534200000001</v>
      </c>
      <c r="AD67" s="50">
        <v>246.57534200000001</v>
      </c>
      <c r="AE67" s="50">
        <v>246.57534200000001</v>
      </c>
      <c r="AF67" s="50">
        <v>246.57534200000001</v>
      </c>
      <c r="AG67" s="50">
        <v>246.57534200000001</v>
      </c>
      <c r="AH67" s="50">
        <v>246.57534200000001</v>
      </c>
      <c r="AI67" s="50">
        <v>246.57534200000001</v>
      </c>
      <c r="AJ67" s="50">
        <v>246.57534200000001</v>
      </c>
      <c r="AK67" s="50">
        <v>246.57534200000001</v>
      </c>
      <c r="AL67" s="50">
        <v>246.57534200000001</v>
      </c>
      <c r="AM67" s="50">
        <v>246.57534200000001</v>
      </c>
      <c r="AN67" s="50">
        <v>246.57534200000001</v>
      </c>
      <c r="AO67" s="50">
        <v>246.57534200000001</v>
      </c>
      <c r="AP67" s="50">
        <v>246.57534200000001</v>
      </c>
      <c r="AQ67" s="50">
        <v>246.57534200000001</v>
      </c>
      <c r="AR67" s="50">
        <v>246.57534200000001</v>
      </c>
      <c r="AS67" s="50">
        <v>246.57534200000001</v>
      </c>
      <c r="AT67" s="50">
        <v>246.57534200000001</v>
      </c>
      <c r="AU67" s="50">
        <v>246.57534200000001</v>
      </c>
      <c r="AV67" s="50">
        <v>246.57534200000001</v>
      </c>
      <c r="AW67" s="50">
        <v>246.57534200000001</v>
      </c>
      <c r="AX67" s="50">
        <v>246.57534200000001</v>
      </c>
      <c r="AY67" s="50">
        <v>246.57534200000001</v>
      </c>
      <c r="AZ67" s="50">
        <v>246.57534200000001</v>
      </c>
      <c r="BA67" s="50">
        <v>246.57534200000001</v>
      </c>
      <c r="BB67" s="50">
        <v>246.57534200000001</v>
      </c>
      <c r="BC67" s="50">
        <v>246.57534200000001</v>
      </c>
      <c r="BD67" s="50">
        <v>246.57534200000001</v>
      </c>
      <c r="BE67" s="50">
        <v>246.57534200000001</v>
      </c>
      <c r="BF67" s="50">
        <v>246.57534200000001</v>
      </c>
      <c r="BG67" s="50">
        <v>246.57534200000001</v>
      </c>
      <c r="BH67" s="50">
        <v>246.57534200000001</v>
      </c>
      <c r="BI67" s="50"/>
      <c r="BJ67" s="50"/>
      <c r="BK67" s="50"/>
      <c r="BL67" s="50"/>
      <c r="BM67" s="50"/>
      <c r="BN67" s="50"/>
      <c r="BO67" s="50"/>
    </row>
    <row r="68" spans="1:67" ht="20.100000000000001" hidden="1" customHeight="1" outlineLevel="1" x14ac:dyDescent="0.25">
      <c r="A68" s="58" t="s">
        <v>288</v>
      </c>
      <c r="B68" s="50">
        <v>26.027397000000001</v>
      </c>
      <c r="C68" s="50">
        <v>26.027397000000001</v>
      </c>
      <c r="D68" s="50">
        <v>26.027397000000001</v>
      </c>
      <c r="E68" s="50">
        <v>26.027397000000001</v>
      </c>
      <c r="F68" s="50">
        <v>26.027397000000001</v>
      </c>
      <c r="G68" s="50">
        <v>26.027397000000001</v>
      </c>
      <c r="H68" s="50">
        <v>26.027397000000001</v>
      </c>
      <c r="I68" s="50">
        <v>26.027397000000001</v>
      </c>
      <c r="J68" s="50">
        <v>26.027397000000001</v>
      </c>
      <c r="K68" s="50">
        <v>26.027397000000001</v>
      </c>
      <c r="L68" s="50">
        <v>26.027397000000001</v>
      </c>
      <c r="M68" s="50">
        <v>26.027397000000001</v>
      </c>
      <c r="N68" s="50">
        <v>26.027397000000001</v>
      </c>
      <c r="O68" s="50">
        <v>26.027397000000001</v>
      </c>
      <c r="P68" s="50">
        <v>26.027397000000001</v>
      </c>
      <c r="Q68" s="50">
        <v>26.027397000000001</v>
      </c>
      <c r="R68" s="50">
        <v>26.027397000000001</v>
      </c>
      <c r="S68" s="50">
        <v>26.027397000000001</v>
      </c>
      <c r="T68" s="50">
        <v>26.027397000000001</v>
      </c>
      <c r="U68" s="50">
        <v>26.027397000000001</v>
      </c>
      <c r="V68" s="50">
        <v>26.027397000000001</v>
      </c>
      <c r="W68" s="50">
        <v>26.027397000000001</v>
      </c>
      <c r="X68" s="50">
        <v>26.027397000000001</v>
      </c>
      <c r="Y68" s="50">
        <v>26.027397000000001</v>
      </c>
      <c r="Z68" s="50">
        <v>26.027397000000001</v>
      </c>
      <c r="AA68" s="50">
        <v>26.027397000000001</v>
      </c>
      <c r="AB68" s="50">
        <v>26.027397000000001</v>
      </c>
      <c r="AC68" s="50">
        <v>26.027397000000001</v>
      </c>
      <c r="AD68" s="50">
        <v>26.027397000000001</v>
      </c>
      <c r="AE68" s="50">
        <v>26.027397000000001</v>
      </c>
      <c r="AF68" s="50">
        <v>26.027397000000001</v>
      </c>
      <c r="AG68" s="50">
        <v>26.027397000000001</v>
      </c>
      <c r="AH68" s="50">
        <v>26.027397000000001</v>
      </c>
      <c r="AI68" s="50">
        <v>26.027397000000001</v>
      </c>
      <c r="AJ68" s="50">
        <v>26.027397000000001</v>
      </c>
      <c r="AK68" s="50">
        <v>26.027397000000001</v>
      </c>
      <c r="AL68" s="50">
        <v>26.027397000000001</v>
      </c>
      <c r="AM68" s="50">
        <v>26.027397000000001</v>
      </c>
      <c r="AN68" s="50">
        <v>26.027397000000001</v>
      </c>
      <c r="AO68" s="50">
        <v>26.027397000000001</v>
      </c>
      <c r="AP68" s="50">
        <v>26.027397000000001</v>
      </c>
      <c r="AQ68" s="50">
        <v>26.027397000000001</v>
      </c>
      <c r="AR68" s="50">
        <v>26.027397000000001</v>
      </c>
      <c r="AS68" s="50">
        <v>26.027397000000001</v>
      </c>
      <c r="AT68" s="50">
        <v>26.027397000000001</v>
      </c>
      <c r="AU68" s="50">
        <v>26.027397000000001</v>
      </c>
      <c r="AV68" s="50">
        <v>26.027397000000001</v>
      </c>
      <c r="AW68" s="50">
        <v>26.027397000000001</v>
      </c>
      <c r="AX68" s="50">
        <v>26.027397000000001</v>
      </c>
      <c r="AY68" s="50">
        <v>26.027397000000001</v>
      </c>
      <c r="AZ68" s="50">
        <v>26.027397000000001</v>
      </c>
      <c r="BA68" s="50">
        <v>26.027397000000001</v>
      </c>
      <c r="BB68" s="50">
        <v>26.027397000000001</v>
      </c>
      <c r="BC68" s="50">
        <v>26.027397000000001</v>
      </c>
      <c r="BD68" s="50">
        <v>26.027397000000001</v>
      </c>
      <c r="BE68" s="50">
        <v>26.027397000000001</v>
      </c>
      <c r="BF68" s="50">
        <v>26.027397000000001</v>
      </c>
      <c r="BG68" s="50">
        <v>26.027397000000001</v>
      </c>
      <c r="BH68" s="50">
        <v>26.027397000000001</v>
      </c>
      <c r="BI68" s="50"/>
      <c r="BJ68" s="50"/>
      <c r="BK68" s="50"/>
      <c r="BL68" s="50"/>
      <c r="BM68" s="50"/>
      <c r="BN68" s="50"/>
      <c r="BO68" s="50"/>
    </row>
    <row r="69" spans="1:67" ht="20.100000000000001" hidden="1" customHeight="1" outlineLevel="1" x14ac:dyDescent="0.25">
      <c r="A69" s="58" t="s">
        <v>112</v>
      </c>
      <c r="B69" s="50">
        <v>27.397259999999999</v>
      </c>
      <c r="C69" s="50">
        <v>27.397259999999999</v>
      </c>
      <c r="D69" s="50">
        <v>27.397259999999999</v>
      </c>
      <c r="E69" s="50">
        <v>27.397259999999999</v>
      </c>
      <c r="F69" s="50">
        <v>27.397259999999999</v>
      </c>
      <c r="G69" s="50">
        <v>27.397259999999999</v>
      </c>
      <c r="H69" s="50">
        <v>27.397259999999999</v>
      </c>
      <c r="I69" s="50">
        <v>27.397259999999999</v>
      </c>
      <c r="J69" s="50">
        <v>27.397259999999999</v>
      </c>
      <c r="K69" s="50">
        <v>27.397259999999999</v>
      </c>
      <c r="L69" s="50">
        <v>27.397259999999999</v>
      </c>
      <c r="M69" s="50">
        <v>27.397259999999999</v>
      </c>
      <c r="N69" s="50">
        <v>27.397259999999999</v>
      </c>
      <c r="O69" s="50">
        <v>27.397259999999999</v>
      </c>
      <c r="P69" s="50">
        <v>27.397259999999999</v>
      </c>
      <c r="Q69" s="50">
        <v>27.397259999999999</v>
      </c>
      <c r="R69" s="50">
        <v>27.397259999999999</v>
      </c>
      <c r="S69" s="50">
        <v>27.397259999999999</v>
      </c>
      <c r="T69" s="50">
        <v>27.397259999999999</v>
      </c>
      <c r="U69" s="50">
        <v>27.397259999999999</v>
      </c>
      <c r="V69" s="50">
        <v>27.397259999999999</v>
      </c>
      <c r="W69" s="50">
        <v>27.397259999999999</v>
      </c>
      <c r="X69" s="50">
        <v>27.397259999999999</v>
      </c>
      <c r="Y69" s="50">
        <v>27.397259999999999</v>
      </c>
      <c r="Z69" s="50">
        <v>27.397259999999999</v>
      </c>
      <c r="AA69" s="50">
        <v>27.397259999999999</v>
      </c>
      <c r="AB69" s="50">
        <v>27.397259999999999</v>
      </c>
      <c r="AC69" s="50">
        <v>27.397259999999999</v>
      </c>
      <c r="AD69" s="50">
        <v>27.397259999999999</v>
      </c>
      <c r="AE69" s="50">
        <v>27.397259999999999</v>
      </c>
      <c r="AF69" s="50">
        <v>27.397259999999999</v>
      </c>
      <c r="AG69" s="50">
        <v>27.397259999999999</v>
      </c>
      <c r="AH69" s="50">
        <v>27.397259999999999</v>
      </c>
      <c r="AI69" s="50">
        <v>27.397259999999999</v>
      </c>
      <c r="AJ69" s="50">
        <v>27.397259999999999</v>
      </c>
      <c r="AK69" s="50">
        <v>27.397259999999999</v>
      </c>
      <c r="AL69" s="50">
        <v>27.397259999999999</v>
      </c>
      <c r="AM69" s="50">
        <v>27.397259999999999</v>
      </c>
      <c r="AN69" s="50">
        <v>27.397259999999999</v>
      </c>
      <c r="AO69" s="50">
        <v>27.397259999999999</v>
      </c>
      <c r="AP69" s="50">
        <v>27.397259999999999</v>
      </c>
      <c r="AQ69" s="50">
        <v>27.397259999999999</v>
      </c>
      <c r="AR69" s="50">
        <v>27.397259999999999</v>
      </c>
      <c r="AS69" s="50">
        <v>27.397259999999999</v>
      </c>
      <c r="AT69" s="50">
        <v>27.397259999999999</v>
      </c>
      <c r="AU69" s="50">
        <v>27.397259999999999</v>
      </c>
      <c r="AV69" s="50">
        <v>27.397259999999999</v>
      </c>
      <c r="AW69" s="50">
        <v>27.397259999999999</v>
      </c>
      <c r="AX69" s="50">
        <v>27.397259999999999</v>
      </c>
      <c r="AY69" s="50">
        <v>27.397259999999999</v>
      </c>
      <c r="AZ69" s="50">
        <v>27.397259999999999</v>
      </c>
      <c r="BA69" s="50">
        <v>27.397259999999999</v>
      </c>
      <c r="BB69" s="50">
        <v>27.397259999999999</v>
      </c>
      <c r="BC69" s="50">
        <v>27.397259999999999</v>
      </c>
      <c r="BD69" s="50">
        <v>27.397259999999999</v>
      </c>
      <c r="BE69" s="50">
        <v>27.397259999999999</v>
      </c>
      <c r="BF69" s="50">
        <v>27.397259999999999</v>
      </c>
      <c r="BG69" s="50">
        <v>27.397259999999999</v>
      </c>
      <c r="BH69" s="50">
        <v>27.397259999999999</v>
      </c>
      <c r="BI69" s="50"/>
      <c r="BJ69" s="50"/>
      <c r="BK69" s="50"/>
      <c r="BL69" s="50"/>
      <c r="BM69" s="50"/>
      <c r="BN69" s="50"/>
      <c r="BO69" s="50"/>
    </row>
    <row r="70" spans="1:67" ht="20.100000000000001" hidden="1" customHeight="1" outlineLevel="1" x14ac:dyDescent="0.25">
      <c r="A70" s="58" t="s">
        <v>289</v>
      </c>
      <c r="B70" s="50">
        <v>40.864556999999998</v>
      </c>
      <c r="C70" s="50">
        <v>40.864556999999998</v>
      </c>
      <c r="D70" s="50">
        <v>40.864556999999998</v>
      </c>
      <c r="E70" s="50">
        <v>40.864556999999998</v>
      </c>
      <c r="F70" s="50">
        <v>40.864556999999998</v>
      </c>
      <c r="G70" s="50">
        <v>40.864556999999998</v>
      </c>
      <c r="H70" s="50">
        <v>40.864556999999998</v>
      </c>
      <c r="I70" s="50">
        <v>40.864556999999998</v>
      </c>
      <c r="J70" s="50">
        <v>40.864556999999998</v>
      </c>
      <c r="K70" s="50">
        <v>40.864556999999998</v>
      </c>
      <c r="L70" s="50">
        <v>40.864556999999998</v>
      </c>
      <c r="M70" s="50">
        <v>40.864556999999998</v>
      </c>
      <c r="N70" s="50">
        <v>40.864556999999998</v>
      </c>
      <c r="O70" s="50">
        <v>40.864556999999998</v>
      </c>
      <c r="P70" s="50">
        <v>40.864556999999998</v>
      </c>
      <c r="Q70" s="50">
        <v>40.864556999999998</v>
      </c>
      <c r="R70" s="50">
        <v>40.864556999999998</v>
      </c>
      <c r="S70" s="50">
        <v>40.864556999999998</v>
      </c>
      <c r="T70" s="50">
        <v>40.864556999999998</v>
      </c>
      <c r="U70" s="50">
        <v>40.864556999999998</v>
      </c>
      <c r="V70" s="50">
        <v>40.864556999999998</v>
      </c>
      <c r="W70" s="50">
        <v>40.864556999999998</v>
      </c>
      <c r="X70" s="50">
        <v>40.864556999999998</v>
      </c>
      <c r="Y70" s="50">
        <v>40.864556999999998</v>
      </c>
      <c r="Z70" s="50">
        <v>40.864556999999998</v>
      </c>
      <c r="AA70" s="50">
        <v>40.864556999999998</v>
      </c>
      <c r="AB70" s="50">
        <v>40.864556999999998</v>
      </c>
      <c r="AC70" s="50">
        <v>40.864556999999998</v>
      </c>
      <c r="AD70" s="50">
        <v>40.864556999999998</v>
      </c>
      <c r="AE70" s="50">
        <v>40.864556999999998</v>
      </c>
      <c r="AF70" s="50">
        <v>40.864556999999998</v>
      </c>
      <c r="AG70" s="50">
        <v>40.864556999999998</v>
      </c>
      <c r="AH70" s="50">
        <v>40.864556999999998</v>
      </c>
      <c r="AI70" s="50">
        <v>40.864556999999998</v>
      </c>
      <c r="AJ70" s="50">
        <v>40.864556999999998</v>
      </c>
      <c r="AK70" s="50">
        <v>40.864556999999998</v>
      </c>
      <c r="AL70" s="50">
        <v>40.864556999999998</v>
      </c>
      <c r="AM70" s="50">
        <v>40.864556999999998</v>
      </c>
      <c r="AN70" s="50">
        <v>40.864556999999998</v>
      </c>
      <c r="AO70" s="50">
        <v>40.864556999999998</v>
      </c>
      <c r="AP70" s="50">
        <v>40.864556999999998</v>
      </c>
      <c r="AQ70" s="50">
        <v>40.864556999999998</v>
      </c>
      <c r="AR70" s="50">
        <v>40.864556999999998</v>
      </c>
      <c r="AS70" s="50">
        <v>40.864556999999998</v>
      </c>
      <c r="AT70" s="50">
        <v>40.864556999999998</v>
      </c>
      <c r="AU70" s="50">
        <v>40.864556999999998</v>
      </c>
      <c r="AV70" s="50">
        <v>40.864556999999998</v>
      </c>
      <c r="AW70" s="50">
        <v>40.864556999999998</v>
      </c>
      <c r="AX70" s="50">
        <v>40.864556999999998</v>
      </c>
      <c r="AY70" s="50">
        <v>40.864556999999998</v>
      </c>
      <c r="AZ70" s="50">
        <v>40.864556999999998</v>
      </c>
      <c r="BA70" s="50">
        <v>40.864556999999998</v>
      </c>
      <c r="BB70" s="50">
        <v>40.864556999999998</v>
      </c>
      <c r="BC70" s="50">
        <v>40.864556999999998</v>
      </c>
      <c r="BD70" s="50">
        <v>40.864556999999998</v>
      </c>
      <c r="BE70" s="50">
        <v>40.864556999999998</v>
      </c>
      <c r="BF70" s="50">
        <v>40.864556999999998</v>
      </c>
      <c r="BG70" s="50">
        <v>40.864556999999998</v>
      </c>
      <c r="BH70" s="50">
        <v>40.864556999999998</v>
      </c>
      <c r="BI70" s="50"/>
      <c r="BJ70" s="50"/>
      <c r="BK70" s="50"/>
      <c r="BL70" s="50"/>
      <c r="BM70" s="50"/>
      <c r="BN70" s="50"/>
      <c r="BO70" s="50"/>
    </row>
    <row r="71" spans="1:67" ht="20.100000000000001" hidden="1" customHeight="1" outlineLevel="1" x14ac:dyDescent="0.25">
      <c r="A71" s="58" t="s">
        <v>113</v>
      </c>
      <c r="B71" s="50">
        <v>26.027397000000001</v>
      </c>
      <c r="C71" s="50">
        <v>26.027397000000001</v>
      </c>
      <c r="D71" s="50">
        <v>26.027397000000001</v>
      </c>
      <c r="E71" s="50">
        <v>26.027397000000001</v>
      </c>
      <c r="F71" s="50">
        <v>26.027397000000001</v>
      </c>
      <c r="G71" s="50">
        <v>26.027397000000001</v>
      </c>
      <c r="H71" s="50">
        <v>26.027397000000001</v>
      </c>
      <c r="I71" s="50">
        <v>26.027397000000001</v>
      </c>
      <c r="J71" s="50">
        <v>26.027397000000001</v>
      </c>
      <c r="K71" s="50">
        <v>26.027397000000001</v>
      </c>
      <c r="L71" s="50">
        <v>26.027397000000001</v>
      </c>
      <c r="M71" s="50">
        <v>26.027397000000001</v>
      </c>
      <c r="N71" s="50">
        <v>26.027397000000001</v>
      </c>
      <c r="O71" s="50">
        <v>26.027397000000001</v>
      </c>
      <c r="P71" s="50">
        <v>26.027397000000001</v>
      </c>
      <c r="Q71" s="50">
        <v>26.027397000000001</v>
      </c>
      <c r="R71" s="50">
        <v>26.027397000000001</v>
      </c>
      <c r="S71" s="50">
        <v>26.027397000000001</v>
      </c>
      <c r="T71" s="50">
        <v>26.027397000000001</v>
      </c>
      <c r="U71" s="50">
        <v>26.027397000000001</v>
      </c>
      <c r="V71" s="50">
        <v>26.027397000000001</v>
      </c>
      <c r="W71" s="50">
        <v>26.027397000000001</v>
      </c>
      <c r="X71" s="50">
        <v>26.027397000000001</v>
      </c>
      <c r="Y71" s="50">
        <v>26.027397000000001</v>
      </c>
      <c r="Z71" s="50">
        <v>26.027397000000001</v>
      </c>
      <c r="AA71" s="50">
        <v>26.027397000000001</v>
      </c>
      <c r="AB71" s="50">
        <v>26.027397000000001</v>
      </c>
      <c r="AC71" s="50">
        <v>26.027397000000001</v>
      </c>
      <c r="AD71" s="50">
        <v>26.027397000000001</v>
      </c>
      <c r="AE71" s="50">
        <v>26.027397000000001</v>
      </c>
      <c r="AF71" s="50">
        <v>26.027397000000001</v>
      </c>
      <c r="AG71" s="50">
        <v>26.027397000000001</v>
      </c>
      <c r="AH71" s="50">
        <v>26.027397000000001</v>
      </c>
      <c r="AI71" s="50">
        <v>26.027397000000001</v>
      </c>
      <c r="AJ71" s="50">
        <v>26.027397000000001</v>
      </c>
      <c r="AK71" s="50">
        <v>26.027397000000001</v>
      </c>
      <c r="AL71" s="50">
        <v>26.027397000000001</v>
      </c>
      <c r="AM71" s="50">
        <v>26.027397000000001</v>
      </c>
      <c r="AN71" s="50">
        <v>26.027397000000001</v>
      </c>
      <c r="AO71" s="50">
        <v>26.027397000000001</v>
      </c>
      <c r="AP71" s="50">
        <v>26.027397000000001</v>
      </c>
      <c r="AQ71" s="50">
        <v>26.027397000000001</v>
      </c>
      <c r="AR71" s="50">
        <v>26.027397000000001</v>
      </c>
      <c r="AS71" s="50">
        <v>26.027397000000001</v>
      </c>
      <c r="AT71" s="50">
        <v>26.027397000000001</v>
      </c>
      <c r="AU71" s="50">
        <v>26.027397000000001</v>
      </c>
      <c r="AV71" s="50">
        <v>26.027397000000001</v>
      </c>
      <c r="AW71" s="50">
        <v>26.027397000000001</v>
      </c>
      <c r="AX71" s="50">
        <v>26.027397000000001</v>
      </c>
      <c r="AY71" s="50">
        <v>26.027397000000001</v>
      </c>
      <c r="AZ71" s="50">
        <v>26.027397000000001</v>
      </c>
      <c r="BA71" s="50">
        <v>26.027397000000001</v>
      </c>
      <c r="BB71" s="50">
        <v>26.027397000000001</v>
      </c>
      <c r="BC71" s="50">
        <v>26.027397000000001</v>
      </c>
      <c r="BD71" s="50">
        <v>26.027397000000001</v>
      </c>
      <c r="BE71" s="50">
        <v>26.027397000000001</v>
      </c>
      <c r="BF71" s="50">
        <v>26.027397000000001</v>
      </c>
      <c r="BG71" s="50">
        <v>26.027397000000001</v>
      </c>
      <c r="BH71" s="50">
        <v>26.027397000000001</v>
      </c>
      <c r="BI71" s="50"/>
      <c r="BJ71" s="50"/>
      <c r="BK71" s="50"/>
      <c r="BL71" s="50"/>
      <c r="BM71" s="50"/>
      <c r="BN71" s="50"/>
      <c r="BO71" s="50"/>
    </row>
    <row r="72" spans="1:67" ht="20.100000000000001" hidden="1" customHeight="1" outlineLevel="1" x14ac:dyDescent="0.25">
      <c r="A72" s="58" t="s">
        <v>114</v>
      </c>
      <c r="B72" s="50">
        <v>39.041096000000003</v>
      </c>
      <c r="C72" s="50">
        <v>39.041096000000003</v>
      </c>
      <c r="D72" s="50">
        <v>39.041096000000003</v>
      </c>
      <c r="E72" s="50">
        <v>39.041096000000003</v>
      </c>
      <c r="F72" s="50">
        <v>39.041096000000003</v>
      </c>
      <c r="G72" s="50">
        <v>39.041096000000003</v>
      </c>
      <c r="H72" s="50">
        <v>39.041096000000003</v>
      </c>
      <c r="I72" s="50">
        <v>39.041096000000003</v>
      </c>
      <c r="J72" s="50">
        <v>39.041096000000003</v>
      </c>
      <c r="K72" s="50">
        <v>39.041096000000003</v>
      </c>
      <c r="L72" s="50">
        <v>39.041096000000003</v>
      </c>
      <c r="M72" s="50">
        <v>39.041096000000003</v>
      </c>
      <c r="N72" s="50">
        <v>39.041096000000003</v>
      </c>
      <c r="O72" s="50">
        <v>39.041096000000003</v>
      </c>
      <c r="P72" s="50">
        <v>39.041096000000003</v>
      </c>
      <c r="Q72" s="50">
        <v>39.041096000000003</v>
      </c>
      <c r="R72" s="50">
        <v>39.041096000000003</v>
      </c>
      <c r="S72" s="50">
        <v>39.041096000000003</v>
      </c>
      <c r="T72" s="50">
        <v>39.041096000000003</v>
      </c>
      <c r="U72" s="50">
        <v>39.041096000000003</v>
      </c>
      <c r="V72" s="50">
        <v>39.041096000000003</v>
      </c>
      <c r="W72" s="50">
        <v>39.041096000000003</v>
      </c>
      <c r="X72" s="50">
        <v>39.041096000000003</v>
      </c>
      <c r="Y72" s="50">
        <v>39.041096000000003</v>
      </c>
      <c r="Z72" s="50">
        <v>39.041096000000003</v>
      </c>
      <c r="AA72" s="50">
        <v>39.041096000000003</v>
      </c>
      <c r="AB72" s="50">
        <v>39.041096000000003</v>
      </c>
      <c r="AC72" s="50">
        <v>39.041096000000003</v>
      </c>
      <c r="AD72" s="50">
        <v>39.041096000000003</v>
      </c>
      <c r="AE72" s="50">
        <v>39.041096000000003</v>
      </c>
      <c r="AF72" s="50">
        <v>39.041096000000003</v>
      </c>
      <c r="AG72" s="50">
        <v>39.041096000000003</v>
      </c>
      <c r="AH72" s="50">
        <v>39.041096000000003</v>
      </c>
      <c r="AI72" s="50">
        <v>39.041096000000003</v>
      </c>
      <c r="AJ72" s="50">
        <v>39.041096000000003</v>
      </c>
      <c r="AK72" s="50">
        <v>39.041096000000003</v>
      </c>
      <c r="AL72" s="50">
        <v>39.041096000000003</v>
      </c>
      <c r="AM72" s="50">
        <v>39.041096000000003</v>
      </c>
      <c r="AN72" s="50">
        <v>39.041096000000003</v>
      </c>
      <c r="AO72" s="50">
        <v>39.041096000000003</v>
      </c>
      <c r="AP72" s="50">
        <v>39.041096000000003</v>
      </c>
      <c r="AQ72" s="50">
        <v>39.041096000000003</v>
      </c>
      <c r="AR72" s="50">
        <v>39.041096000000003</v>
      </c>
      <c r="AS72" s="50">
        <v>39.041096000000003</v>
      </c>
      <c r="AT72" s="50">
        <v>39.041096000000003</v>
      </c>
      <c r="AU72" s="50">
        <v>39.041096000000003</v>
      </c>
      <c r="AV72" s="50">
        <v>39.041096000000003</v>
      </c>
      <c r="AW72" s="50">
        <v>39.041096000000003</v>
      </c>
      <c r="AX72" s="50">
        <v>39.041096000000003</v>
      </c>
      <c r="AY72" s="50">
        <v>39.041096000000003</v>
      </c>
      <c r="AZ72" s="50">
        <v>39.041096000000003</v>
      </c>
      <c r="BA72" s="50">
        <v>39.041096000000003</v>
      </c>
      <c r="BB72" s="50">
        <v>39.041096000000003</v>
      </c>
      <c r="BC72" s="50">
        <v>39.041096000000003</v>
      </c>
      <c r="BD72" s="50">
        <v>39.041096000000003</v>
      </c>
      <c r="BE72" s="50">
        <v>39.041096000000003</v>
      </c>
      <c r="BF72" s="50">
        <v>39.041096000000003</v>
      </c>
      <c r="BG72" s="50">
        <v>39.041096000000003</v>
      </c>
      <c r="BH72" s="50">
        <v>39.041096000000003</v>
      </c>
      <c r="BI72" s="50"/>
      <c r="BJ72" s="50"/>
      <c r="BK72" s="50"/>
      <c r="BL72" s="50"/>
      <c r="BM72" s="50"/>
      <c r="BN72" s="50"/>
      <c r="BO72" s="50"/>
    </row>
    <row r="73" spans="1:67" ht="20.100000000000001" hidden="1" customHeight="1" outlineLevel="1" x14ac:dyDescent="0.25">
      <c r="A73" s="58" t="s">
        <v>115</v>
      </c>
      <c r="B73" s="50">
        <v>13.69863</v>
      </c>
      <c r="C73" s="50">
        <v>13.69863</v>
      </c>
      <c r="D73" s="50">
        <v>13.69863</v>
      </c>
      <c r="E73" s="50">
        <v>13.69863</v>
      </c>
      <c r="F73" s="50">
        <v>13.69863</v>
      </c>
      <c r="G73" s="50">
        <v>13.69863</v>
      </c>
      <c r="H73" s="50">
        <v>13.69863</v>
      </c>
      <c r="I73" s="50">
        <v>13.69863</v>
      </c>
      <c r="J73" s="50">
        <v>13.69863</v>
      </c>
      <c r="K73" s="50">
        <v>13.69863</v>
      </c>
      <c r="L73" s="50">
        <v>13.69863</v>
      </c>
      <c r="M73" s="50">
        <v>13.69863</v>
      </c>
      <c r="N73" s="50">
        <v>13.69863</v>
      </c>
      <c r="O73" s="50">
        <v>13.69863</v>
      </c>
      <c r="P73" s="50">
        <v>13.69863</v>
      </c>
      <c r="Q73" s="50">
        <v>13.69863</v>
      </c>
      <c r="R73" s="50">
        <v>13.69863</v>
      </c>
      <c r="S73" s="50">
        <v>13.69863</v>
      </c>
      <c r="T73" s="50">
        <v>13.69863</v>
      </c>
      <c r="U73" s="50">
        <v>13.69863</v>
      </c>
      <c r="V73" s="50">
        <v>13.69863</v>
      </c>
      <c r="W73" s="50">
        <v>13.69863</v>
      </c>
      <c r="X73" s="50">
        <v>13.69863</v>
      </c>
      <c r="Y73" s="50">
        <v>13.69863</v>
      </c>
      <c r="Z73" s="50">
        <v>13.69863</v>
      </c>
      <c r="AA73" s="50">
        <v>13.69863</v>
      </c>
      <c r="AB73" s="50">
        <v>13.69863</v>
      </c>
      <c r="AC73" s="50">
        <v>13.69863</v>
      </c>
      <c r="AD73" s="50">
        <v>13.69863</v>
      </c>
      <c r="AE73" s="50">
        <v>13.69863</v>
      </c>
      <c r="AF73" s="50">
        <v>13.69863</v>
      </c>
      <c r="AG73" s="50">
        <v>13.69863</v>
      </c>
      <c r="AH73" s="50">
        <v>13.69863</v>
      </c>
      <c r="AI73" s="50">
        <v>13.69863</v>
      </c>
      <c r="AJ73" s="50">
        <v>13.69863</v>
      </c>
      <c r="AK73" s="50">
        <v>13.69863</v>
      </c>
      <c r="AL73" s="50">
        <v>13.69863</v>
      </c>
      <c r="AM73" s="50">
        <v>13.69863</v>
      </c>
      <c r="AN73" s="50">
        <v>13.69863</v>
      </c>
      <c r="AO73" s="50">
        <v>13.69863</v>
      </c>
      <c r="AP73" s="50">
        <v>13.69863</v>
      </c>
      <c r="AQ73" s="50">
        <v>13.69863</v>
      </c>
      <c r="AR73" s="50">
        <v>13.69863</v>
      </c>
      <c r="AS73" s="50">
        <v>13.69863</v>
      </c>
      <c r="AT73" s="50">
        <v>13.69863</v>
      </c>
      <c r="AU73" s="50">
        <v>13.69863</v>
      </c>
      <c r="AV73" s="50">
        <v>13.69863</v>
      </c>
      <c r="AW73" s="50">
        <v>13.69863</v>
      </c>
      <c r="AX73" s="50">
        <v>13.69863</v>
      </c>
      <c r="AY73" s="50">
        <v>13.69863</v>
      </c>
      <c r="AZ73" s="50">
        <v>13.69863</v>
      </c>
      <c r="BA73" s="50">
        <v>13.69863</v>
      </c>
      <c r="BB73" s="50">
        <v>13.69863</v>
      </c>
      <c r="BC73" s="50">
        <v>13.69863</v>
      </c>
      <c r="BD73" s="50">
        <v>13.69863</v>
      </c>
      <c r="BE73" s="50">
        <v>13.69863</v>
      </c>
      <c r="BF73" s="50">
        <v>13.69863</v>
      </c>
      <c r="BG73" s="50">
        <v>13.69863</v>
      </c>
      <c r="BH73" s="50">
        <v>13.69863</v>
      </c>
      <c r="BI73" s="50"/>
      <c r="BJ73" s="50"/>
      <c r="BK73" s="50"/>
      <c r="BL73" s="50"/>
      <c r="BM73" s="50"/>
      <c r="BN73" s="50"/>
      <c r="BO73" s="50"/>
    </row>
    <row r="74" spans="1:67" ht="20.100000000000001" hidden="1" customHeight="1" outlineLevel="1" x14ac:dyDescent="0.25">
      <c r="A74" s="58" t="s">
        <v>116</v>
      </c>
      <c r="B74" s="51">
        <v>16.462253</v>
      </c>
      <c r="C74" s="51">
        <v>16.462253</v>
      </c>
      <c r="D74" s="51">
        <v>16.462253</v>
      </c>
      <c r="E74" s="51">
        <v>16.462253</v>
      </c>
      <c r="F74" s="51">
        <v>16.462253</v>
      </c>
      <c r="G74" s="51">
        <v>16.462253</v>
      </c>
      <c r="H74" s="51">
        <v>16.462253</v>
      </c>
      <c r="I74" s="51">
        <v>16.462253</v>
      </c>
      <c r="J74" s="51">
        <v>16.462253</v>
      </c>
      <c r="K74" s="51">
        <v>16.462253</v>
      </c>
      <c r="L74" s="51">
        <v>16.462253</v>
      </c>
      <c r="M74" s="51">
        <v>16.462253</v>
      </c>
      <c r="N74" s="51">
        <v>16.462253</v>
      </c>
      <c r="O74" s="51">
        <v>16.462253</v>
      </c>
      <c r="P74" s="51">
        <v>16.462253</v>
      </c>
      <c r="Q74" s="51">
        <v>16.462253</v>
      </c>
      <c r="R74" s="51">
        <v>16.462253</v>
      </c>
      <c r="S74" s="51">
        <v>16.462253</v>
      </c>
      <c r="T74" s="51">
        <v>16.462253</v>
      </c>
      <c r="U74" s="51">
        <v>16.462253</v>
      </c>
      <c r="V74" s="51">
        <v>16.462253</v>
      </c>
      <c r="W74" s="51">
        <v>16.462253</v>
      </c>
      <c r="X74" s="51">
        <v>16.462253</v>
      </c>
      <c r="Y74" s="51">
        <v>16.462253</v>
      </c>
      <c r="Z74" s="51">
        <v>16.462253</v>
      </c>
      <c r="AA74" s="51">
        <v>16.462253</v>
      </c>
      <c r="AB74" s="51">
        <v>16.462253</v>
      </c>
      <c r="AC74" s="51">
        <v>16.462253</v>
      </c>
      <c r="AD74" s="51">
        <v>16.462253</v>
      </c>
      <c r="AE74" s="51">
        <v>16.462253</v>
      </c>
      <c r="AF74" s="51">
        <v>16.462253</v>
      </c>
      <c r="AG74" s="51">
        <v>16.462253</v>
      </c>
      <c r="AH74" s="51">
        <v>16.462253</v>
      </c>
      <c r="AI74" s="51">
        <v>16.462253</v>
      </c>
      <c r="AJ74" s="51">
        <v>16.462253</v>
      </c>
      <c r="AK74" s="51">
        <v>16.462253</v>
      </c>
      <c r="AL74" s="51">
        <v>16.462253</v>
      </c>
      <c r="AM74" s="51">
        <v>16.462253</v>
      </c>
      <c r="AN74" s="51">
        <v>16.462253</v>
      </c>
      <c r="AO74" s="51">
        <v>16.462253</v>
      </c>
      <c r="AP74" s="51">
        <v>16.462253</v>
      </c>
      <c r="AQ74" s="51">
        <v>16.462253</v>
      </c>
      <c r="AR74" s="51">
        <v>16.462253</v>
      </c>
      <c r="AS74" s="51">
        <v>16.462253</v>
      </c>
      <c r="AT74" s="51">
        <v>16.462253</v>
      </c>
      <c r="AU74" s="51">
        <v>16.462253</v>
      </c>
      <c r="AV74" s="51">
        <v>16.462253</v>
      </c>
      <c r="AW74" s="51">
        <v>16.462253</v>
      </c>
      <c r="AX74" s="51">
        <v>16.462253</v>
      </c>
      <c r="AY74" s="51">
        <v>16.462253</v>
      </c>
      <c r="AZ74" s="51">
        <v>16.462253</v>
      </c>
      <c r="BA74" s="51">
        <v>16.462253</v>
      </c>
      <c r="BB74" s="51">
        <v>16.462253</v>
      </c>
      <c r="BC74" s="51">
        <v>16.462253</v>
      </c>
      <c r="BD74" s="51">
        <v>16.462253</v>
      </c>
      <c r="BE74" s="50">
        <v>16.462253</v>
      </c>
      <c r="BF74" s="51">
        <v>16.462253</v>
      </c>
      <c r="BG74" s="50">
        <v>16.462253</v>
      </c>
      <c r="BH74" s="51">
        <v>16.462253</v>
      </c>
      <c r="BI74" s="51"/>
      <c r="BJ74" s="51"/>
      <c r="BK74" s="51"/>
      <c r="BL74" s="51"/>
      <c r="BM74" s="51"/>
      <c r="BN74" s="51"/>
      <c r="BO74" s="51"/>
    </row>
    <row r="75" spans="1:67" ht="20.100000000000001" hidden="1" customHeight="1" outlineLevel="1" x14ac:dyDescent="0.25">
      <c r="A75" s="58" t="s">
        <v>117</v>
      </c>
      <c r="B75" s="51">
        <v>25.890411</v>
      </c>
      <c r="C75" s="51">
        <v>25.890411</v>
      </c>
      <c r="D75" s="51">
        <v>25.890411</v>
      </c>
      <c r="E75" s="51">
        <v>25.890411</v>
      </c>
      <c r="F75" s="51">
        <v>25.890411</v>
      </c>
      <c r="G75" s="51">
        <v>25.890411</v>
      </c>
      <c r="H75" s="51">
        <v>25.890411</v>
      </c>
      <c r="I75" s="51">
        <v>25.890411</v>
      </c>
      <c r="J75" s="51">
        <v>25.890411</v>
      </c>
      <c r="K75" s="51">
        <v>25.890411</v>
      </c>
      <c r="L75" s="51">
        <v>25.890411</v>
      </c>
      <c r="M75" s="51">
        <v>25.890411</v>
      </c>
      <c r="N75" s="51">
        <v>25.890411</v>
      </c>
      <c r="O75" s="51">
        <v>25.890411</v>
      </c>
      <c r="P75" s="51">
        <v>25.890411</v>
      </c>
      <c r="Q75" s="51">
        <v>25.890411</v>
      </c>
      <c r="R75" s="51">
        <v>25.890411</v>
      </c>
      <c r="S75" s="51">
        <v>25.890411</v>
      </c>
      <c r="T75" s="51">
        <v>25.890411</v>
      </c>
      <c r="U75" s="51">
        <v>25.890411</v>
      </c>
      <c r="V75" s="51">
        <v>25.890411</v>
      </c>
      <c r="W75" s="51">
        <v>25.890411</v>
      </c>
      <c r="X75" s="51">
        <v>25.890411</v>
      </c>
      <c r="Y75" s="51">
        <v>25.890411</v>
      </c>
      <c r="Z75" s="51">
        <v>25.890411</v>
      </c>
      <c r="AA75" s="51">
        <v>25.890411</v>
      </c>
      <c r="AB75" s="51">
        <v>25.890411</v>
      </c>
      <c r="AC75" s="51">
        <v>25.890411</v>
      </c>
      <c r="AD75" s="51">
        <v>25.890411</v>
      </c>
      <c r="AE75" s="51">
        <v>25.890411</v>
      </c>
      <c r="AF75" s="51">
        <v>25.890411</v>
      </c>
      <c r="AG75" s="51">
        <v>25.890411</v>
      </c>
      <c r="AH75" s="51">
        <v>25.890411</v>
      </c>
      <c r="AI75" s="51">
        <v>25.890411</v>
      </c>
      <c r="AJ75" s="51">
        <v>25.890411</v>
      </c>
      <c r="AK75" s="51">
        <v>25.890411</v>
      </c>
      <c r="AL75" s="51">
        <v>25.890411</v>
      </c>
      <c r="AM75" s="51">
        <v>25.890411</v>
      </c>
      <c r="AN75" s="51">
        <v>25.890411</v>
      </c>
      <c r="AO75" s="51">
        <v>25.890411</v>
      </c>
      <c r="AP75" s="51">
        <v>25.890411</v>
      </c>
      <c r="AQ75" s="51">
        <v>25.890411</v>
      </c>
      <c r="AR75" s="51">
        <v>25.890411</v>
      </c>
      <c r="AS75" s="51">
        <v>25.890411</v>
      </c>
      <c r="AT75" s="51">
        <v>25.890411</v>
      </c>
      <c r="AU75" s="51">
        <v>25.890411</v>
      </c>
      <c r="AV75" s="51">
        <v>25.890411</v>
      </c>
      <c r="AW75" s="51">
        <v>25.890411</v>
      </c>
      <c r="AX75" s="51">
        <v>25.890411</v>
      </c>
      <c r="AY75" s="51">
        <v>25.890411</v>
      </c>
      <c r="AZ75" s="51">
        <v>25.890411</v>
      </c>
      <c r="BA75" s="51">
        <v>25.890411</v>
      </c>
      <c r="BB75" s="51">
        <v>25.890411</v>
      </c>
      <c r="BC75" s="51">
        <v>25.890411</v>
      </c>
      <c r="BD75" s="51">
        <v>25.890411</v>
      </c>
      <c r="BE75" s="50">
        <v>25.890411</v>
      </c>
      <c r="BF75" s="51">
        <v>25.890411</v>
      </c>
      <c r="BG75" s="50">
        <v>25.890411</v>
      </c>
      <c r="BH75" s="51">
        <v>25.890411</v>
      </c>
      <c r="BI75" s="51"/>
      <c r="BJ75" s="51"/>
      <c r="BK75" s="51"/>
      <c r="BL75" s="51"/>
      <c r="BM75" s="51"/>
      <c r="BN75" s="51"/>
      <c r="BO75" s="51"/>
    </row>
    <row r="76" spans="1:67" ht="20.100000000000001" hidden="1" customHeight="1" outlineLevel="1" x14ac:dyDescent="0.25">
      <c r="A76" s="58" t="s">
        <v>118</v>
      </c>
      <c r="B76" s="51">
        <v>22.191780999999999</v>
      </c>
      <c r="C76" s="51">
        <v>22.191780999999999</v>
      </c>
      <c r="D76" s="51">
        <v>22.191780999999999</v>
      </c>
      <c r="E76" s="51">
        <v>22.191780999999999</v>
      </c>
      <c r="F76" s="51">
        <v>22.191780999999999</v>
      </c>
      <c r="G76" s="51">
        <v>22.191780999999999</v>
      </c>
      <c r="H76" s="51">
        <v>22.191780999999999</v>
      </c>
      <c r="I76" s="51">
        <v>22.191780999999999</v>
      </c>
      <c r="J76" s="51">
        <v>22.191780999999999</v>
      </c>
      <c r="K76" s="51">
        <v>22.191780999999999</v>
      </c>
      <c r="L76" s="51">
        <v>22.191780999999999</v>
      </c>
      <c r="M76" s="51">
        <v>22.191780999999999</v>
      </c>
      <c r="N76" s="51">
        <v>22.191780999999999</v>
      </c>
      <c r="O76" s="51">
        <v>22.191780999999999</v>
      </c>
      <c r="P76" s="51">
        <v>22.191780999999999</v>
      </c>
      <c r="Q76" s="51">
        <v>22.191780999999999</v>
      </c>
      <c r="R76" s="51">
        <v>22.191780999999999</v>
      </c>
      <c r="S76" s="51">
        <v>22.191780999999999</v>
      </c>
      <c r="T76" s="51">
        <v>22.191780999999999</v>
      </c>
      <c r="U76" s="51">
        <v>22.191780999999999</v>
      </c>
      <c r="V76" s="51">
        <v>22.191780999999999</v>
      </c>
      <c r="W76" s="51">
        <v>22.191780999999999</v>
      </c>
      <c r="X76" s="51">
        <v>22.191780999999999</v>
      </c>
      <c r="Y76" s="51">
        <v>22.191780999999999</v>
      </c>
      <c r="Z76" s="51">
        <v>22.191780999999999</v>
      </c>
      <c r="AA76" s="51">
        <v>22.191780999999999</v>
      </c>
      <c r="AB76" s="51">
        <v>22.191780999999999</v>
      </c>
      <c r="AC76" s="51">
        <v>22.191780999999999</v>
      </c>
      <c r="AD76" s="51">
        <v>22.191780999999999</v>
      </c>
      <c r="AE76" s="51">
        <v>22.191780999999999</v>
      </c>
      <c r="AF76" s="51">
        <v>22.191780999999999</v>
      </c>
      <c r="AG76" s="51">
        <v>22.191780999999999</v>
      </c>
      <c r="AH76" s="51">
        <v>22.191780999999999</v>
      </c>
      <c r="AI76" s="51">
        <v>22.191780999999999</v>
      </c>
      <c r="AJ76" s="51">
        <v>22.191780999999999</v>
      </c>
      <c r="AK76" s="51">
        <v>22.191780999999999</v>
      </c>
      <c r="AL76" s="51">
        <v>22.191780999999999</v>
      </c>
      <c r="AM76" s="51">
        <v>22.191780999999999</v>
      </c>
      <c r="AN76" s="51">
        <v>22.191780999999999</v>
      </c>
      <c r="AO76" s="51">
        <v>22.191780999999999</v>
      </c>
      <c r="AP76" s="51">
        <v>22.191780999999999</v>
      </c>
      <c r="AQ76" s="51">
        <v>22.191780999999999</v>
      </c>
      <c r="AR76" s="51">
        <v>22.191780999999999</v>
      </c>
      <c r="AS76" s="51">
        <v>22.191780999999999</v>
      </c>
      <c r="AT76" s="51">
        <v>22.191780999999999</v>
      </c>
      <c r="AU76" s="51">
        <v>22.191780999999999</v>
      </c>
      <c r="AV76" s="51">
        <v>22.191780999999999</v>
      </c>
      <c r="AW76" s="51">
        <v>22.191780999999999</v>
      </c>
      <c r="AX76" s="51">
        <v>22.191780999999999</v>
      </c>
      <c r="AY76" s="51">
        <v>22.191780999999999</v>
      </c>
      <c r="AZ76" s="51">
        <v>22.191780999999999</v>
      </c>
      <c r="BA76" s="51">
        <v>22.191780999999999</v>
      </c>
      <c r="BB76" s="51">
        <v>22.191780999999999</v>
      </c>
      <c r="BC76" s="51">
        <v>22.191780999999999</v>
      </c>
      <c r="BD76" s="51">
        <v>22.191780999999999</v>
      </c>
      <c r="BE76" s="50">
        <v>22.191780999999999</v>
      </c>
      <c r="BF76" s="51">
        <v>22.191780999999999</v>
      </c>
      <c r="BG76" s="50">
        <v>22.191780999999999</v>
      </c>
      <c r="BH76" s="51">
        <v>22.191780999999999</v>
      </c>
      <c r="BI76" s="51"/>
      <c r="BJ76" s="51"/>
      <c r="BK76" s="51"/>
      <c r="BL76" s="51"/>
      <c r="BM76" s="51"/>
      <c r="BN76" s="51"/>
      <c r="BO76" s="51"/>
    </row>
    <row r="77" spans="1:67" ht="20.100000000000001" hidden="1" customHeight="1" outlineLevel="1" x14ac:dyDescent="0.25">
      <c r="A77" s="58" t="s">
        <v>119</v>
      </c>
      <c r="B77" s="51">
        <v>13.705859999999999</v>
      </c>
      <c r="C77" s="51">
        <v>13.705859999999999</v>
      </c>
      <c r="D77" s="51">
        <v>13.705859999999999</v>
      </c>
      <c r="E77" s="51">
        <v>13.705859999999999</v>
      </c>
      <c r="F77" s="51">
        <v>13.705859999999999</v>
      </c>
      <c r="G77" s="51">
        <v>13.705859999999999</v>
      </c>
      <c r="H77" s="51">
        <v>13.705859999999999</v>
      </c>
      <c r="I77" s="51">
        <v>13.705859999999999</v>
      </c>
      <c r="J77" s="51">
        <v>13.705859999999999</v>
      </c>
      <c r="K77" s="51">
        <v>13.705859999999999</v>
      </c>
      <c r="L77" s="51">
        <v>13.705859999999999</v>
      </c>
      <c r="M77" s="51">
        <v>13.705859999999999</v>
      </c>
      <c r="N77" s="51">
        <v>13.705859999999999</v>
      </c>
      <c r="O77" s="51">
        <v>13.705859999999999</v>
      </c>
      <c r="P77" s="51">
        <v>13.705859999999999</v>
      </c>
      <c r="Q77" s="51">
        <v>13.705859999999999</v>
      </c>
      <c r="R77" s="51">
        <v>13.705859999999999</v>
      </c>
      <c r="S77" s="51">
        <v>13.705859999999999</v>
      </c>
      <c r="T77" s="51">
        <v>13.705859999999999</v>
      </c>
      <c r="U77" s="51">
        <v>13.705859999999999</v>
      </c>
      <c r="V77" s="51">
        <v>13.705859999999999</v>
      </c>
      <c r="W77" s="51">
        <v>13.705859999999999</v>
      </c>
      <c r="X77" s="51">
        <v>13.705859999999999</v>
      </c>
      <c r="Y77" s="51">
        <v>13.705859999999999</v>
      </c>
      <c r="Z77" s="51">
        <v>13.705859999999999</v>
      </c>
      <c r="AA77" s="51">
        <v>13.705859999999999</v>
      </c>
      <c r="AB77" s="51">
        <v>13.705859999999999</v>
      </c>
      <c r="AC77" s="51">
        <v>13.705859999999999</v>
      </c>
      <c r="AD77" s="51">
        <v>13.705859999999999</v>
      </c>
      <c r="AE77" s="51">
        <v>13.705859999999999</v>
      </c>
      <c r="AF77" s="51">
        <v>13.705859999999999</v>
      </c>
      <c r="AG77" s="51">
        <v>13.705859999999999</v>
      </c>
      <c r="AH77" s="51">
        <v>13.705859999999999</v>
      </c>
      <c r="AI77" s="51">
        <v>13.705859999999999</v>
      </c>
      <c r="AJ77" s="51">
        <v>13.705859999999999</v>
      </c>
      <c r="AK77" s="51">
        <v>13.705859999999999</v>
      </c>
      <c r="AL77" s="51">
        <v>13.705859999999999</v>
      </c>
      <c r="AM77" s="51">
        <v>13.705859999999999</v>
      </c>
      <c r="AN77" s="51">
        <v>13.705859999999999</v>
      </c>
      <c r="AO77" s="51">
        <v>13.705859999999999</v>
      </c>
      <c r="AP77" s="51">
        <v>13.705859999999999</v>
      </c>
      <c r="AQ77" s="51">
        <v>13.705859999999999</v>
      </c>
      <c r="AR77" s="51">
        <v>13.705859999999999</v>
      </c>
      <c r="AS77" s="51">
        <v>13.705859999999999</v>
      </c>
      <c r="AT77" s="51">
        <v>13.705859999999999</v>
      </c>
      <c r="AU77" s="51">
        <v>13.705859999999999</v>
      </c>
      <c r="AV77" s="51">
        <v>13.705859999999999</v>
      </c>
      <c r="AW77" s="51">
        <v>13.705859999999999</v>
      </c>
      <c r="AX77" s="51">
        <v>13.705859999999999</v>
      </c>
      <c r="AY77" s="51">
        <v>13.705859999999999</v>
      </c>
      <c r="AZ77" s="51">
        <v>13.705859999999999</v>
      </c>
      <c r="BA77" s="51">
        <v>13.705859999999999</v>
      </c>
      <c r="BB77" s="51">
        <v>13.705859999999999</v>
      </c>
      <c r="BC77" s="51">
        <v>13.705859999999999</v>
      </c>
      <c r="BD77" s="51">
        <v>13.705859999999999</v>
      </c>
      <c r="BE77" s="50">
        <v>13.705859999999999</v>
      </c>
      <c r="BF77" s="51">
        <v>13.705859999999999</v>
      </c>
      <c r="BG77" s="50">
        <v>13.705859999999999</v>
      </c>
      <c r="BH77" s="51">
        <v>13.705859999999999</v>
      </c>
      <c r="BI77" s="51"/>
      <c r="BJ77" s="51"/>
      <c r="BK77" s="51"/>
      <c r="BL77" s="51"/>
      <c r="BM77" s="51"/>
      <c r="BN77" s="51"/>
      <c r="BO77" s="51"/>
    </row>
    <row r="78" spans="1:67" ht="20.100000000000001" hidden="1" customHeight="1" outlineLevel="1" x14ac:dyDescent="0.25">
      <c r="A78" s="58" t="s">
        <v>121</v>
      </c>
      <c r="B78" s="51">
        <v>39.149653999999998</v>
      </c>
      <c r="C78" s="51">
        <v>39.149653999999998</v>
      </c>
      <c r="D78" s="51">
        <v>39.149653999999998</v>
      </c>
      <c r="E78" s="51">
        <v>39.149653999999998</v>
      </c>
      <c r="F78" s="51">
        <v>39.149653999999998</v>
      </c>
      <c r="G78" s="51">
        <v>39.149653999999998</v>
      </c>
      <c r="H78" s="51">
        <v>39.149653999999998</v>
      </c>
      <c r="I78" s="51">
        <v>39.149653999999998</v>
      </c>
      <c r="J78" s="51">
        <v>39.149653999999998</v>
      </c>
      <c r="K78" s="51">
        <v>39.149653999999998</v>
      </c>
      <c r="L78" s="51">
        <v>39.149653999999998</v>
      </c>
      <c r="M78" s="51">
        <v>39.149653999999998</v>
      </c>
      <c r="N78" s="51">
        <v>39.149653999999998</v>
      </c>
      <c r="O78" s="51">
        <v>39.149653999999998</v>
      </c>
      <c r="P78" s="51">
        <v>39.149653999999998</v>
      </c>
      <c r="Q78" s="51">
        <v>39.149653999999998</v>
      </c>
      <c r="R78" s="51">
        <v>39.149653999999998</v>
      </c>
      <c r="S78" s="51">
        <v>39.149653999999998</v>
      </c>
      <c r="T78" s="51">
        <v>39.149653999999998</v>
      </c>
      <c r="U78" s="51">
        <v>39.149653999999998</v>
      </c>
      <c r="V78" s="51">
        <v>39.149653999999998</v>
      </c>
      <c r="W78" s="51">
        <v>39.149653999999998</v>
      </c>
      <c r="X78" s="51">
        <v>39.149653999999998</v>
      </c>
      <c r="Y78" s="51">
        <v>39.149653999999998</v>
      </c>
      <c r="Z78" s="51">
        <v>39.149653999999998</v>
      </c>
      <c r="AA78" s="51">
        <v>39.149653999999998</v>
      </c>
      <c r="AB78" s="51">
        <v>39.149653999999998</v>
      </c>
      <c r="AC78" s="51">
        <v>39.149653999999998</v>
      </c>
      <c r="AD78" s="51">
        <v>39.149653999999998</v>
      </c>
      <c r="AE78" s="51">
        <v>39.149653999999998</v>
      </c>
      <c r="AF78" s="51">
        <v>39.149653999999998</v>
      </c>
      <c r="AG78" s="51">
        <v>39.149653999999998</v>
      </c>
      <c r="AH78" s="51">
        <v>39.149653999999998</v>
      </c>
      <c r="AI78" s="51">
        <v>39.149653999999998</v>
      </c>
      <c r="AJ78" s="51">
        <v>39.149653999999998</v>
      </c>
      <c r="AK78" s="51">
        <v>39.149653999999998</v>
      </c>
      <c r="AL78" s="51">
        <v>39.149653999999998</v>
      </c>
      <c r="AM78" s="51">
        <v>39.149653999999998</v>
      </c>
      <c r="AN78" s="51">
        <v>39.149653999999998</v>
      </c>
      <c r="AO78" s="51">
        <v>39.149653999999998</v>
      </c>
      <c r="AP78" s="51">
        <v>39.149653999999998</v>
      </c>
      <c r="AQ78" s="51">
        <v>39.149653999999998</v>
      </c>
      <c r="AR78" s="51">
        <v>39.149653999999998</v>
      </c>
      <c r="AS78" s="51">
        <v>39.149653999999998</v>
      </c>
      <c r="AT78" s="51">
        <v>39.149653999999998</v>
      </c>
      <c r="AU78" s="51">
        <v>39.149653999999998</v>
      </c>
      <c r="AV78" s="51">
        <v>39.149653999999998</v>
      </c>
      <c r="AW78" s="51">
        <v>39.149653999999998</v>
      </c>
      <c r="AX78" s="51">
        <v>39.149653999999998</v>
      </c>
      <c r="AY78" s="51">
        <v>39.149653999999998</v>
      </c>
      <c r="AZ78" s="51">
        <v>39.149653999999998</v>
      </c>
      <c r="BA78" s="51">
        <v>39.149653999999998</v>
      </c>
      <c r="BB78" s="51">
        <v>39.149653999999998</v>
      </c>
      <c r="BC78" s="51">
        <v>39.149653999999998</v>
      </c>
      <c r="BD78" s="51">
        <v>39.149653999999998</v>
      </c>
      <c r="BE78" s="50">
        <v>39.149653999999998</v>
      </c>
      <c r="BF78" s="51">
        <v>39.149653999999998</v>
      </c>
      <c r="BG78" s="50">
        <v>39.149653999999998</v>
      </c>
      <c r="BH78" s="51">
        <v>39.149653999999998</v>
      </c>
      <c r="BI78" s="51"/>
      <c r="BJ78" s="51"/>
      <c r="BK78" s="51"/>
      <c r="BL78" s="51"/>
      <c r="BM78" s="51"/>
      <c r="BN78" s="51"/>
      <c r="BO78" s="51"/>
    </row>
    <row r="79" spans="1:67" ht="20.100000000000001" hidden="1" customHeight="1" outlineLevel="1" x14ac:dyDescent="0.25">
      <c r="A79" s="58" t="s">
        <v>126</v>
      </c>
      <c r="B79" s="51">
        <v>52.054794999999999</v>
      </c>
      <c r="C79" s="51">
        <v>52.054794999999999</v>
      </c>
      <c r="D79" s="51">
        <v>52.054794999999999</v>
      </c>
      <c r="E79" s="51">
        <v>52.054794999999999</v>
      </c>
      <c r="F79" s="51">
        <v>52.054794999999999</v>
      </c>
      <c r="G79" s="51">
        <v>52.054794999999999</v>
      </c>
      <c r="H79" s="51">
        <v>52.054794999999999</v>
      </c>
      <c r="I79" s="51">
        <v>52.054794999999999</v>
      </c>
      <c r="J79" s="51">
        <v>52.054794999999999</v>
      </c>
      <c r="K79" s="51">
        <v>52.054794999999999</v>
      </c>
      <c r="L79" s="51">
        <v>52.054794999999999</v>
      </c>
      <c r="M79" s="51">
        <v>52.054794999999999</v>
      </c>
      <c r="N79" s="51">
        <v>52.054794999999999</v>
      </c>
      <c r="O79" s="51">
        <v>52.054794999999999</v>
      </c>
      <c r="P79" s="51">
        <v>52.054794999999999</v>
      </c>
      <c r="Q79" s="51">
        <v>52.054794999999999</v>
      </c>
      <c r="R79" s="51">
        <v>52.054794999999999</v>
      </c>
      <c r="S79" s="51">
        <v>52.054794999999999</v>
      </c>
      <c r="T79" s="51">
        <v>52.054794999999999</v>
      </c>
      <c r="U79" s="51">
        <v>52.054794999999999</v>
      </c>
      <c r="V79" s="51">
        <v>52.054794999999999</v>
      </c>
      <c r="W79" s="51">
        <v>52.054794999999999</v>
      </c>
      <c r="X79" s="51">
        <v>52.054794999999999</v>
      </c>
      <c r="Y79" s="51">
        <v>52.054794999999999</v>
      </c>
      <c r="Z79" s="51">
        <v>52.054794999999999</v>
      </c>
      <c r="AA79" s="51">
        <v>52.054794999999999</v>
      </c>
      <c r="AB79" s="51">
        <v>52.054794999999999</v>
      </c>
      <c r="AC79" s="51">
        <v>52.054794999999999</v>
      </c>
      <c r="AD79" s="51">
        <v>52.054794999999999</v>
      </c>
      <c r="AE79" s="51">
        <v>52.054794999999999</v>
      </c>
      <c r="AF79" s="51">
        <v>52.054794999999999</v>
      </c>
      <c r="AG79" s="51">
        <v>52.054794999999999</v>
      </c>
      <c r="AH79" s="51">
        <v>52.054794999999999</v>
      </c>
      <c r="AI79" s="51">
        <v>52.054794999999999</v>
      </c>
      <c r="AJ79" s="51">
        <v>52.054794999999999</v>
      </c>
      <c r="AK79" s="51">
        <v>52.054794999999999</v>
      </c>
      <c r="AL79" s="51">
        <v>52.054794999999999</v>
      </c>
      <c r="AM79" s="51">
        <v>52.054794999999999</v>
      </c>
      <c r="AN79" s="51">
        <v>52.054794999999999</v>
      </c>
      <c r="AO79" s="51">
        <v>52.054794999999999</v>
      </c>
      <c r="AP79" s="51">
        <v>52.054794999999999</v>
      </c>
      <c r="AQ79" s="51">
        <v>52.054794999999999</v>
      </c>
      <c r="AR79" s="51">
        <v>52.054794999999999</v>
      </c>
      <c r="AS79" s="51">
        <v>52.054794999999999</v>
      </c>
      <c r="AT79" s="51">
        <v>52.054794999999999</v>
      </c>
      <c r="AU79" s="51">
        <v>52.054794999999999</v>
      </c>
      <c r="AV79" s="51">
        <v>52.054794999999999</v>
      </c>
      <c r="AW79" s="51">
        <v>52.054794999999999</v>
      </c>
      <c r="AX79" s="51">
        <v>52.054794999999999</v>
      </c>
      <c r="AY79" s="51">
        <v>52.054794999999999</v>
      </c>
      <c r="AZ79" s="51">
        <v>52.054794999999999</v>
      </c>
      <c r="BA79" s="51">
        <v>52.054794999999999</v>
      </c>
      <c r="BB79" s="51">
        <v>52.054794999999999</v>
      </c>
      <c r="BC79" s="51">
        <v>52.054794999999999</v>
      </c>
      <c r="BD79" s="51">
        <v>52.054794999999999</v>
      </c>
      <c r="BE79" s="50">
        <v>52.054794999999999</v>
      </c>
      <c r="BF79" s="51">
        <v>52.054794999999999</v>
      </c>
      <c r="BG79" s="50">
        <v>52.054794999999999</v>
      </c>
      <c r="BH79" s="51">
        <v>52.054794999999999</v>
      </c>
      <c r="BI79" s="51"/>
      <c r="BJ79" s="51"/>
      <c r="BK79" s="51"/>
      <c r="BL79" s="51"/>
      <c r="BM79" s="51"/>
      <c r="BN79" s="51"/>
      <c r="BO79" s="51"/>
    </row>
    <row r="80" spans="1:67" ht="20.100000000000001" hidden="1" customHeight="1" outlineLevel="1" x14ac:dyDescent="0.25">
      <c r="A80" s="58" t="s">
        <v>127</v>
      </c>
      <c r="B80" s="51">
        <v>41.095889999999997</v>
      </c>
      <c r="C80" s="51">
        <v>41.095889999999997</v>
      </c>
      <c r="D80" s="51">
        <v>41.095889999999997</v>
      </c>
      <c r="E80" s="51">
        <v>41.095889999999997</v>
      </c>
      <c r="F80" s="51">
        <v>41.095889999999997</v>
      </c>
      <c r="G80" s="51">
        <v>41.095889999999997</v>
      </c>
      <c r="H80" s="51">
        <v>41.095889999999997</v>
      </c>
      <c r="I80" s="51">
        <v>41.095889999999997</v>
      </c>
      <c r="J80" s="51">
        <v>41.095889999999997</v>
      </c>
      <c r="K80" s="51">
        <v>41.095889999999997</v>
      </c>
      <c r="L80" s="51">
        <v>41.095889999999997</v>
      </c>
      <c r="M80" s="51">
        <v>41.095889999999997</v>
      </c>
      <c r="N80" s="51">
        <v>41.095889999999997</v>
      </c>
      <c r="O80" s="51">
        <v>41.095889999999997</v>
      </c>
      <c r="P80" s="51">
        <v>41.095889999999997</v>
      </c>
      <c r="Q80" s="51">
        <v>41.095889999999997</v>
      </c>
      <c r="R80" s="51">
        <v>41.095889999999997</v>
      </c>
      <c r="S80" s="51">
        <v>41.095889999999997</v>
      </c>
      <c r="T80" s="51">
        <v>41.095889999999997</v>
      </c>
      <c r="U80" s="51">
        <v>41.095889999999997</v>
      </c>
      <c r="V80" s="51">
        <v>41.095889999999997</v>
      </c>
      <c r="W80" s="51">
        <v>41.095889999999997</v>
      </c>
      <c r="X80" s="51">
        <v>41.095889999999997</v>
      </c>
      <c r="Y80" s="51">
        <v>41.095889999999997</v>
      </c>
      <c r="Z80" s="51">
        <v>41.095889999999997</v>
      </c>
      <c r="AA80" s="51">
        <v>41.095889999999997</v>
      </c>
      <c r="AB80" s="51">
        <v>41.095889999999997</v>
      </c>
      <c r="AC80" s="51">
        <v>41.095889999999997</v>
      </c>
      <c r="AD80" s="51">
        <v>41.095889999999997</v>
      </c>
      <c r="AE80" s="51">
        <v>41.095889999999997</v>
      </c>
      <c r="AF80" s="51">
        <v>41.095889999999997</v>
      </c>
      <c r="AG80" s="51">
        <v>41.095889999999997</v>
      </c>
      <c r="AH80" s="51">
        <v>41.095889999999997</v>
      </c>
      <c r="AI80" s="51">
        <v>41.095889999999997</v>
      </c>
      <c r="AJ80" s="51">
        <v>41.095889999999997</v>
      </c>
      <c r="AK80" s="51">
        <v>41.095889999999997</v>
      </c>
      <c r="AL80" s="51">
        <v>41.095889999999997</v>
      </c>
      <c r="AM80" s="51">
        <v>41.095889999999997</v>
      </c>
      <c r="AN80" s="51">
        <v>41.095889999999997</v>
      </c>
      <c r="AO80" s="51">
        <v>41.095889999999997</v>
      </c>
      <c r="AP80" s="51">
        <v>41.095889999999997</v>
      </c>
      <c r="AQ80" s="51">
        <v>41.095889999999997</v>
      </c>
      <c r="AR80" s="51">
        <v>41.095889999999997</v>
      </c>
      <c r="AS80" s="51">
        <v>41.095889999999997</v>
      </c>
      <c r="AT80" s="51">
        <v>41.095889999999997</v>
      </c>
      <c r="AU80" s="51">
        <v>41.095889999999997</v>
      </c>
      <c r="AV80" s="51">
        <v>41.095889999999997</v>
      </c>
      <c r="AW80" s="51">
        <v>41.095889999999997</v>
      </c>
      <c r="AX80" s="51">
        <v>41.095889999999997</v>
      </c>
      <c r="AY80" s="51">
        <v>41.095889999999997</v>
      </c>
      <c r="AZ80" s="51">
        <v>41.095889999999997</v>
      </c>
      <c r="BA80" s="51">
        <v>41.095889999999997</v>
      </c>
      <c r="BB80" s="51">
        <v>41.095889999999997</v>
      </c>
      <c r="BC80" s="51">
        <v>41.095889999999997</v>
      </c>
      <c r="BD80" s="51">
        <v>41.095889999999997</v>
      </c>
      <c r="BE80" s="50">
        <v>41.095889999999997</v>
      </c>
      <c r="BF80" s="51">
        <v>41.095889999999997</v>
      </c>
      <c r="BG80" s="50">
        <v>41.095889999999997</v>
      </c>
      <c r="BH80" s="51">
        <v>41.095889999999997</v>
      </c>
      <c r="BI80" s="51"/>
      <c r="BJ80" s="51"/>
      <c r="BK80" s="51"/>
      <c r="BL80" s="51"/>
      <c r="BM80" s="51"/>
      <c r="BN80" s="51"/>
      <c r="BO80" s="51"/>
    </row>
    <row r="81" spans="1:67" ht="20.100000000000001" hidden="1" customHeight="1" outlineLevel="1" x14ac:dyDescent="0.25">
      <c r="A81" s="58" t="s">
        <v>128</v>
      </c>
      <c r="B81" s="51">
        <v>57.260274000000003</v>
      </c>
      <c r="C81" s="51">
        <v>57.260274000000003</v>
      </c>
      <c r="D81" s="51">
        <v>57.260274000000003</v>
      </c>
      <c r="E81" s="51">
        <v>57.260274000000003</v>
      </c>
      <c r="F81" s="51">
        <v>57.260274000000003</v>
      </c>
      <c r="G81" s="51">
        <v>57.260274000000003</v>
      </c>
      <c r="H81" s="51">
        <v>57.260274000000003</v>
      </c>
      <c r="I81" s="51">
        <v>57.260274000000003</v>
      </c>
      <c r="J81" s="51">
        <v>57.260274000000003</v>
      </c>
      <c r="K81" s="51">
        <v>57.260274000000003</v>
      </c>
      <c r="L81" s="51">
        <v>57.260274000000003</v>
      </c>
      <c r="M81" s="51">
        <v>57.260274000000003</v>
      </c>
      <c r="N81" s="51">
        <v>57.260274000000003</v>
      </c>
      <c r="O81" s="51">
        <v>57.260274000000003</v>
      </c>
      <c r="P81" s="51">
        <v>57.260274000000003</v>
      </c>
      <c r="Q81" s="51">
        <v>57.260274000000003</v>
      </c>
      <c r="R81" s="51">
        <v>57.260274000000003</v>
      </c>
      <c r="S81" s="51">
        <v>57.260274000000003</v>
      </c>
      <c r="T81" s="51">
        <v>57.260274000000003</v>
      </c>
      <c r="U81" s="51">
        <v>57.260274000000003</v>
      </c>
      <c r="V81" s="51">
        <v>57.260274000000003</v>
      </c>
      <c r="W81" s="51">
        <v>57.260274000000003</v>
      </c>
      <c r="X81" s="51">
        <v>57.260274000000003</v>
      </c>
      <c r="Y81" s="51">
        <v>57.260274000000003</v>
      </c>
      <c r="Z81" s="51">
        <v>57.260274000000003</v>
      </c>
      <c r="AA81" s="51">
        <v>57.260274000000003</v>
      </c>
      <c r="AB81" s="51">
        <v>57.260274000000003</v>
      </c>
      <c r="AC81" s="51">
        <v>57.260274000000003</v>
      </c>
      <c r="AD81" s="51">
        <v>57.260274000000003</v>
      </c>
      <c r="AE81" s="51">
        <v>57.260274000000003</v>
      </c>
      <c r="AF81" s="51">
        <v>57.260274000000003</v>
      </c>
      <c r="AG81" s="51">
        <v>57.260274000000003</v>
      </c>
      <c r="AH81" s="51">
        <v>57.260274000000003</v>
      </c>
      <c r="AI81" s="51">
        <v>57.260274000000003</v>
      </c>
      <c r="AJ81" s="51">
        <v>57.260274000000003</v>
      </c>
      <c r="AK81" s="51">
        <v>57.260274000000003</v>
      </c>
      <c r="AL81" s="51">
        <v>57.260274000000003</v>
      </c>
      <c r="AM81" s="51">
        <v>57.260274000000003</v>
      </c>
      <c r="AN81" s="51">
        <v>57.260274000000003</v>
      </c>
      <c r="AO81" s="51">
        <v>57.260274000000003</v>
      </c>
      <c r="AP81" s="51">
        <v>57.260274000000003</v>
      </c>
      <c r="AQ81" s="51">
        <v>57.260274000000003</v>
      </c>
      <c r="AR81" s="51">
        <v>57.260274000000003</v>
      </c>
      <c r="AS81" s="51">
        <v>57.260274000000003</v>
      </c>
      <c r="AT81" s="51">
        <v>57.260274000000003</v>
      </c>
      <c r="AU81" s="51">
        <v>57.260274000000003</v>
      </c>
      <c r="AV81" s="51">
        <v>57.260274000000003</v>
      </c>
      <c r="AW81" s="51">
        <v>57.260274000000003</v>
      </c>
      <c r="AX81" s="51">
        <v>57.260274000000003</v>
      </c>
      <c r="AY81" s="51">
        <v>57.260274000000003</v>
      </c>
      <c r="AZ81" s="51">
        <v>57.260274000000003</v>
      </c>
      <c r="BA81" s="51">
        <v>57.260274000000003</v>
      </c>
      <c r="BB81" s="51">
        <v>57.260274000000003</v>
      </c>
      <c r="BC81" s="51">
        <v>57.260274000000003</v>
      </c>
      <c r="BD81" s="51">
        <v>57.260274000000003</v>
      </c>
      <c r="BE81" s="50">
        <v>57.260274000000003</v>
      </c>
      <c r="BF81" s="51">
        <v>57.260274000000003</v>
      </c>
      <c r="BG81" s="50">
        <v>57.260274000000003</v>
      </c>
      <c r="BH81" s="51">
        <v>57.260274000000003</v>
      </c>
      <c r="BI81" s="51"/>
      <c r="BJ81" s="51"/>
      <c r="BK81" s="51"/>
      <c r="BL81" s="51"/>
      <c r="BM81" s="51"/>
      <c r="BN81" s="51"/>
      <c r="BO81" s="51"/>
    </row>
    <row r="82" spans="1:67" ht="20.100000000000001" hidden="1" customHeight="1" outlineLevel="1" x14ac:dyDescent="0.25">
      <c r="A82" s="58" t="s">
        <v>129</v>
      </c>
      <c r="B82" s="51">
        <v>23.043944</v>
      </c>
      <c r="C82" s="51">
        <v>23.043944</v>
      </c>
      <c r="D82" s="51">
        <v>23.043944</v>
      </c>
      <c r="E82" s="51">
        <v>23.043944</v>
      </c>
      <c r="F82" s="51">
        <v>23.043944</v>
      </c>
      <c r="G82" s="51">
        <v>23.043944</v>
      </c>
      <c r="H82" s="51">
        <v>23.043944</v>
      </c>
      <c r="I82" s="51">
        <v>23.043944</v>
      </c>
      <c r="J82" s="51">
        <v>23.043944</v>
      </c>
      <c r="K82" s="51">
        <v>23.043944</v>
      </c>
      <c r="L82" s="51">
        <v>23.043944</v>
      </c>
      <c r="M82" s="51">
        <v>23.043944</v>
      </c>
      <c r="N82" s="51">
        <v>23.043944</v>
      </c>
      <c r="O82" s="51">
        <v>23.043944</v>
      </c>
      <c r="P82" s="51">
        <v>23.043944</v>
      </c>
      <c r="Q82" s="51">
        <v>23.043944</v>
      </c>
      <c r="R82" s="51">
        <v>23.043944</v>
      </c>
      <c r="S82" s="51">
        <v>23.043944</v>
      </c>
      <c r="T82" s="51">
        <v>23.043944</v>
      </c>
      <c r="U82" s="51">
        <v>23.043944</v>
      </c>
      <c r="V82" s="51">
        <v>23.043944</v>
      </c>
      <c r="W82" s="51">
        <v>23.043944</v>
      </c>
      <c r="X82" s="51">
        <v>23.043944</v>
      </c>
      <c r="Y82" s="51">
        <v>23.043944</v>
      </c>
      <c r="Z82" s="51">
        <v>23.043944</v>
      </c>
      <c r="AA82" s="51">
        <v>23.043944</v>
      </c>
      <c r="AB82" s="51">
        <v>23.043944</v>
      </c>
      <c r="AC82" s="51">
        <v>23.043944</v>
      </c>
      <c r="AD82" s="51">
        <v>23.043944</v>
      </c>
      <c r="AE82" s="51">
        <v>23.043944</v>
      </c>
      <c r="AF82" s="51">
        <v>23.043944</v>
      </c>
      <c r="AG82" s="51">
        <v>23.043944</v>
      </c>
      <c r="AH82" s="51">
        <v>23.043944</v>
      </c>
      <c r="AI82" s="51">
        <v>23.043944</v>
      </c>
      <c r="AJ82" s="51">
        <v>23.043944</v>
      </c>
      <c r="AK82" s="51">
        <v>23.043944</v>
      </c>
      <c r="AL82" s="51">
        <v>23.043944</v>
      </c>
      <c r="AM82" s="51">
        <v>23.043944</v>
      </c>
      <c r="AN82" s="51">
        <v>23.043944</v>
      </c>
      <c r="AO82" s="51">
        <v>23.043944</v>
      </c>
      <c r="AP82" s="51">
        <v>23.043944</v>
      </c>
      <c r="AQ82" s="51">
        <v>23.043944</v>
      </c>
      <c r="AR82" s="51">
        <v>23.043944</v>
      </c>
      <c r="AS82" s="51">
        <v>23.043944</v>
      </c>
      <c r="AT82" s="51">
        <v>23.043944</v>
      </c>
      <c r="AU82" s="51">
        <v>23.043944</v>
      </c>
      <c r="AV82" s="51">
        <v>23.043944</v>
      </c>
      <c r="AW82" s="51">
        <v>23.043944</v>
      </c>
      <c r="AX82" s="51">
        <v>23.043944</v>
      </c>
      <c r="AY82" s="51">
        <v>23.043944</v>
      </c>
      <c r="AZ82" s="51">
        <v>23.043944</v>
      </c>
      <c r="BA82" s="51">
        <v>23.043944</v>
      </c>
      <c r="BB82" s="51">
        <v>23.043944</v>
      </c>
      <c r="BC82" s="51">
        <v>23.043944</v>
      </c>
      <c r="BD82" s="51">
        <v>23.043944</v>
      </c>
      <c r="BE82" s="50">
        <v>23.043944</v>
      </c>
      <c r="BF82" s="51">
        <v>23.043944</v>
      </c>
      <c r="BG82" s="50">
        <v>23.043944</v>
      </c>
      <c r="BH82" s="51">
        <v>23.043944</v>
      </c>
      <c r="BI82" s="51"/>
      <c r="BJ82" s="51"/>
      <c r="BK82" s="51"/>
      <c r="BL82" s="51"/>
      <c r="BM82" s="51"/>
      <c r="BN82" s="51"/>
      <c r="BO82" s="51"/>
    </row>
    <row r="83" spans="1:67" ht="20.100000000000001" hidden="1" customHeight="1" outlineLevel="1" x14ac:dyDescent="0.25">
      <c r="A83" s="58" t="s">
        <v>130</v>
      </c>
      <c r="B83" s="51">
        <v>26.027397000000001</v>
      </c>
      <c r="C83" s="51">
        <v>26.027397000000001</v>
      </c>
      <c r="D83" s="51">
        <v>26.027397000000001</v>
      </c>
      <c r="E83" s="51">
        <v>26.027397000000001</v>
      </c>
      <c r="F83" s="51">
        <v>26.027397000000001</v>
      </c>
      <c r="G83" s="51">
        <v>26.027397000000001</v>
      </c>
      <c r="H83" s="51">
        <v>26.027397000000001</v>
      </c>
      <c r="I83" s="51">
        <v>26.027397000000001</v>
      </c>
      <c r="J83" s="51">
        <v>26.027397000000001</v>
      </c>
      <c r="K83" s="51">
        <v>26.027397000000001</v>
      </c>
      <c r="L83" s="51">
        <v>26.027397000000001</v>
      </c>
      <c r="M83" s="51">
        <v>26.027397000000001</v>
      </c>
      <c r="N83" s="51">
        <v>26.027397000000001</v>
      </c>
      <c r="O83" s="51">
        <v>26.027397000000001</v>
      </c>
      <c r="P83" s="51">
        <v>26.027397000000001</v>
      </c>
      <c r="Q83" s="51">
        <v>26.027397000000001</v>
      </c>
      <c r="R83" s="51">
        <v>26.027397000000001</v>
      </c>
      <c r="S83" s="51">
        <v>26.027397000000001</v>
      </c>
      <c r="T83" s="51">
        <v>26.027397000000001</v>
      </c>
      <c r="U83" s="51">
        <v>26.027397000000001</v>
      </c>
      <c r="V83" s="51">
        <v>26.027397000000001</v>
      </c>
      <c r="W83" s="51">
        <v>26.027397000000001</v>
      </c>
      <c r="X83" s="51">
        <v>26.027397000000001</v>
      </c>
      <c r="Y83" s="51">
        <v>26.027397000000001</v>
      </c>
      <c r="Z83" s="51">
        <v>26.027397000000001</v>
      </c>
      <c r="AA83" s="51">
        <v>26.027397000000001</v>
      </c>
      <c r="AB83" s="51">
        <v>26.027397000000001</v>
      </c>
      <c r="AC83" s="51">
        <v>26.027397000000001</v>
      </c>
      <c r="AD83" s="51">
        <v>26.027397000000001</v>
      </c>
      <c r="AE83" s="51">
        <v>26.027397000000001</v>
      </c>
      <c r="AF83" s="51">
        <v>26.027397000000001</v>
      </c>
      <c r="AG83" s="51">
        <v>26.027397000000001</v>
      </c>
      <c r="AH83" s="51">
        <v>26.027397000000001</v>
      </c>
      <c r="AI83" s="51">
        <v>26.027397000000001</v>
      </c>
      <c r="AJ83" s="51">
        <v>26.027397000000001</v>
      </c>
      <c r="AK83" s="51">
        <v>26.027397000000001</v>
      </c>
      <c r="AL83" s="51">
        <v>26.027397000000001</v>
      </c>
      <c r="AM83" s="51">
        <v>26.027397000000001</v>
      </c>
      <c r="AN83" s="51">
        <v>26.027397000000001</v>
      </c>
      <c r="AO83" s="51">
        <v>26.027397000000001</v>
      </c>
      <c r="AP83" s="51">
        <v>26.027397000000001</v>
      </c>
      <c r="AQ83" s="51">
        <v>26.027397000000001</v>
      </c>
      <c r="AR83" s="51">
        <v>26.027397000000001</v>
      </c>
      <c r="AS83" s="51">
        <v>26.027397000000001</v>
      </c>
      <c r="AT83" s="51">
        <v>26.027397000000001</v>
      </c>
      <c r="AU83" s="51">
        <v>26.027397000000001</v>
      </c>
      <c r="AV83" s="51">
        <v>26.027397000000001</v>
      </c>
      <c r="AW83" s="51">
        <v>26.027397000000001</v>
      </c>
      <c r="AX83" s="51">
        <v>26.027397000000001</v>
      </c>
      <c r="AY83" s="51">
        <v>26.027397000000001</v>
      </c>
      <c r="AZ83" s="51">
        <v>26.027397000000001</v>
      </c>
      <c r="BA83" s="51">
        <v>26.027397000000001</v>
      </c>
      <c r="BB83" s="51">
        <v>26.027397000000001</v>
      </c>
      <c r="BC83" s="51">
        <v>26.027397000000001</v>
      </c>
      <c r="BD83" s="51">
        <v>26.027397000000001</v>
      </c>
      <c r="BE83" s="50">
        <v>26.027397000000001</v>
      </c>
      <c r="BF83" s="51">
        <v>26.027397000000001</v>
      </c>
      <c r="BG83" s="50">
        <v>26.027397000000001</v>
      </c>
      <c r="BH83" s="51">
        <v>26.027397000000001</v>
      </c>
      <c r="BI83" s="51"/>
      <c r="BJ83" s="51"/>
      <c r="BK83" s="51"/>
      <c r="BL83" s="51"/>
      <c r="BM83" s="51"/>
      <c r="BN83" s="51"/>
      <c r="BO83" s="51"/>
    </row>
    <row r="84" spans="1:67" ht="20.100000000000001" hidden="1" customHeight="1" outlineLevel="1" x14ac:dyDescent="0.25">
      <c r="A84" s="58" t="s">
        <v>131</v>
      </c>
      <c r="B84" s="51">
        <v>13.013699000000001</v>
      </c>
      <c r="C84" s="51">
        <v>13.013699000000001</v>
      </c>
      <c r="D84" s="51">
        <v>13.013699000000001</v>
      </c>
      <c r="E84" s="51">
        <v>13.013699000000001</v>
      </c>
      <c r="F84" s="51">
        <v>13.013699000000001</v>
      </c>
      <c r="G84" s="51">
        <v>13.013699000000001</v>
      </c>
      <c r="H84" s="51">
        <v>13.013699000000001</v>
      </c>
      <c r="I84" s="51">
        <v>13.013699000000001</v>
      </c>
      <c r="J84" s="51">
        <v>13.013699000000001</v>
      </c>
      <c r="K84" s="51">
        <v>13.013699000000001</v>
      </c>
      <c r="L84" s="51">
        <v>13.013699000000001</v>
      </c>
      <c r="M84" s="51">
        <v>13.013699000000001</v>
      </c>
      <c r="N84" s="51">
        <v>13.013699000000001</v>
      </c>
      <c r="O84" s="51">
        <v>13.013699000000001</v>
      </c>
      <c r="P84" s="51">
        <v>13.013699000000001</v>
      </c>
      <c r="Q84" s="51">
        <v>13.013699000000001</v>
      </c>
      <c r="R84" s="51">
        <v>13.013699000000001</v>
      </c>
      <c r="S84" s="51">
        <v>13.013699000000001</v>
      </c>
      <c r="T84" s="51">
        <v>13.013699000000001</v>
      </c>
      <c r="U84" s="51">
        <v>13.013699000000001</v>
      </c>
      <c r="V84" s="51">
        <v>13.013699000000001</v>
      </c>
      <c r="W84" s="51">
        <v>13.013699000000001</v>
      </c>
      <c r="X84" s="51">
        <v>13.013699000000001</v>
      </c>
      <c r="Y84" s="51">
        <v>13.013699000000001</v>
      </c>
      <c r="Z84" s="51">
        <v>13.013699000000001</v>
      </c>
      <c r="AA84" s="51">
        <v>13.013699000000001</v>
      </c>
      <c r="AB84" s="51">
        <v>13.013699000000001</v>
      </c>
      <c r="AC84" s="51">
        <v>13.013699000000001</v>
      </c>
      <c r="AD84" s="51">
        <v>13.013699000000001</v>
      </c>
      <c r="AE84" s="51">
        <v>13.013699000000001</v>
      </c>
      <c r="AF84" s="51">
        <v>13.013699000000001</v>
      </c>
      <c r="AG84" s="51">
        <v>13.013699000000001</v>
      </c>
      <c r="AH84" s="51">
        <v>13.013699000000001</v>
      </c>
      <c r="AI84" s="51">
        <v>13.013699000000001</v>
      </c>
      <c r="AJ84" s="51">
        <v>13.013699000000001</v>
      </c>
      <c r="AK84" s="51">
        <v>13.013699000000001</v>
      </c>
      <c r="AL84" s="51">
        <v>13.013699000000001</v>
      </c>
      <c r="AM84" s="51">
        <v>13.013699000000001</v>
      </c>
      <c r="AN84" s="51">
        <v>13.013699000000001</v>
      </c>
      <c r="AO84" s="51">
        <v>13.013699000000001</v>
      </c>
      <c r="AP84" s="51">
        <v>13.013699000000001</v>
      </c>
      <c r="AQ84" s="51">
        <v>13.013699000000001</v>
      </c>
      <c r="AR84" s="51">
        <v>13.013699000000001</v>
      </c>
      <c r="AS84" s="51">
        <v>13.013699000000001</v>
      </c>
      <c r="AT84" s="51">
        <v>13.013699000000001</v>
      </c>
      <c r="AU84" s="51">
        <v>13.013699000000001</v>
      </c>
      <c r="AV84" s="51">
        <v>13.013699000000001</v>
      </c>
      <c r="AW84" s="51">
        <v>13.013699000000001</v>
      </c>
      <c r="AX84" s="51">
        <v>13.013699000000001</v>
      </c>
      <c r="AY84" s="51">
        <v>13.013699000000001</v>
      </c>
      <c r="AZ84" s="51">
        <v>13.013699000000001</v>
      </c>
      <c r="BA84" s="51">
        <v>13.013699000000001</v>
      </c>
      <c r="BB84" s="51">
        <v>13.013699000000001</v>
      </c>
      <c r="BC84" s="51">
        <v>13.013699000000001</v>
      </c>
      <c r="BD84" s="51">
        <v>13.013699000000001</v>
      </c>
      <c r="BE84" s="50">
        <v>13.013699000000001</v>
      </c>
      <c r="BF84" s="51">
        <v>13.013699000000001</v>
      </c>
      <c r="BG84" s="50">
        <v>13.013699000000001</v>
      </c>
      <c r="BH84" s="51">
        <v>13.013699000000001</v>
      </c>
      <c r="BI84" s="51"/>
      <c r="BJ84" s="51"/>
      <c r="BK84" s="51"/>
      <c r="BL84" s="51"/>
      <c r="BM84" s="51"/>
      <c r="BN84" s="51"/>
      <c r="BO84" s="51"/>
    </row>
    <row r="85" spans="1:67" ht="20.100000000000001" hidden="1" customHeight="1" outlineLevel="1" x14ac:dyDescent="0.25">
      <c r="A85" s="58" t="s">
        <v>132</v>
      </c>
      <c r="B85" s="51">
        <v>21.917808000000001</v>
      </c>
      <c r="C85" s="51">
        <v>21.917808000000001</v>
      </c>
      <c r="D85" s="51">
        <v>21.917808000000001</v>
      </c>
      <c r="E85" s="51">
        <v>21.917808000000001</v>
      </c>
      <c r="F85" s="51">
        <v>21.917808000000001</v>
      </c>
      <c r="G85" s="51">
        <v>21.917808000000001</v>
      </c>
      <c r="H85" s="51">
        <v>21.917808000000001</v>
      </c>
      <c r="I85" s="51">
        <v>21.917808000000001</v>
      </c>
      <c r="J85" s="51">
        <v>21.917808000000001</v>
      </c>
      <c r="K85" s="51">
        <v>21.917808000000001</v>
      </c>
      <c r="L85" s="51">
        <v>21.917808000000001</v>
      </c>
      <c r="M85" s="51">
        <v>21.917808000000001</v>
      </c>
      <c r="N85" s="51">
        <v>21.917808000000001</v>
      </c>
      <c r="O85" s="51">
        <v>21.917808000000001</v>
      </c>
      <c r="P85" s="51">
        <v>21.917808000000001</v>
      </c>
      <c r="Q85" s="51">
        <v>21.917808000000001</v>
      </c>
      <c r="R85" s="51">
        <v>21.917808000000001</v>
      </c>
      <c r="S85" s="51">
        <v>21.917808000000001</v>
      </c>
      <c r="T85" s="51">
        <v>21.917808000000001</v>
      </c>
      <c r="U85" s="51">
        <v>21.917808000000001</v>
      </c>
      <c r="V85" s="51">
        <v>21.917808000000001</v>
      </c>
      <c r="W85" s="51">
        <v>21.917808000000001</v>
      </c>
      <c r="X85" s="51">
        <v>21.917808000000001</v>
      </c>
      <c r="Y85" s="51">
        <v>21.917808000000001</v>
      </c>
      <c r="Z85" s="51">
        <v>21.917808000000001</v>
      </c>
      <c r="AA85" s="51">
        <v>21.917808000000001</v>
      </c>
      <c r="AB85" s="51">
        <v>21.917808000000001</v>
      </c>
      <c r="AC85" s="51">
        <v>21.917808000000001</v>
      </c>
      <c r="AD85" s="51">
        <v>21.917808000000001</v>
      </c>
      <c r="AE85" s="51">
        <v>21.917808000000001</v>
      </c>
      <c r="AF85" s="51">
        <v>21.917808000000001</v>
      </c>
      <c r="AG85" s="51">
        <v>21.917808000000001</v>
      </c>
      <c r="AH85" s="51">
        <v>21.917808000000001</v>
      </c>
      <c r="AI85" s="51">
        <v>21.917808000000001</v>
      </c>
      <c r="AJ85" s="51">
        <v>21.917808000000001</v>
      </c>
      <c r="AK85" s="51">
        <v>21.917808000000001</v>
      </c>
      <c r="AL85" s="51">
        <v>21.917808000000001</v>
      </c>
      <c r="AM85" s="51">
        <v>21.917808000000001</v>
      </c>
      <c r="AN85" s="51">
        <v>21.917808000000001</v>
      </c>
      <c r="AO85" s="51">
        <v>21.917808000000001</v>
      </c>
      <c r="AP85" s="51">
        <v>21.917808000000001</v>
      </c>
      <c r="AQ85" s="51">
        <v>21.917808000000001</v>
      </c>
      <c r="AR85" s="51">
        <v>21.917808000000001</v>
      </c>
      <c r="AS85" s="51">
        <v>21.917808000000001</v>
      </c>
      <c r="AT85" s="51">
        <v>21.917808000000001</v>
      </c>
      <c r="AU85" s="51">
        <v>21.917808000000001</v>
      </c>
      <c r="AV85" s="51">
        <v>21.917808000000001</v>
      </c>
      <c r="AW85" s="51">
        <v>21.917808000000001</v>
      </c>
      <c r="AX85" s="51">
        <v>21.917808000000001</v>
      </c>
      <c r="AY85" s="51">
        <v>21.917808000000001</v>
      </c>
      <c r="AZ85" s="51">
        <v>21.917808000000001</v>
      </c>
      <c r="BA85" s="51">
        <v>21.917808000000001</v>
      </c>
      <c r="BB85" s="51">
        <v>21.917808000000001</v>
      </c>
      <c r="BC85" s="51">
        <v>21.917808000000001</v>
      </c>
      <c r="BD85" s="51">
        <v>21.917808000000001</v>
      </c>
      <c r="BE85" s="50">
        <v>21.917808000000001</v>
      </c>
      <c r="BF85" s="51">
        <v>21.917808000000001</v>
      </c>
      <c r="BG85" s="50">
        <v>21.917808000000001</v>
      </c>
      <c r="BH85" s="51">
        <v>21.917808000000001</v>
      </c>
      <c r="BI85" s="51"/>
      <c r="BJ85" s="51"/>
      <c r="BK85" s="51"/>
      <c r="BL85" s="51"/>
      <c r="BM85" s="51"/>
      <c r="BN85" s="51"/>
      <c r="BO85" s="51"/>
    </row>
    <row r="86" spans="1:67" ht="20.100000000000001" hidden="1" customHeight="1" outlineLevel="1" x14ac:dyDescent="0.25">
      <c r="A86" s="58" t="s">
        <v>133</v>
      </c>
      <c r="B86" s="51">
        <v>13.013699000000001</v>
      </c>
      <c r="C86" s="51">
        <v>13.013699000000001</v>
      </c>
      <c r="D86" s="51">
        <v>13.013699000000001</v>
      </c>
      <c r="E86" s="51">
        <v>13.013699000000001</v>
      </c>
      <c r="F86" s="51">
        <v>13.013699000000001</v>
      </c>
      <c r="G86" s="51">
        <v>13.013699000000001</v>
      </c>
      <c r="H86" s="51">
        <v>13.013699000000001</v>
      </c>
      <c r="I86" s="51">
        <v>13.013699000000001</v>
      </c>
      <c r="J86" s="51">
        <v>13.013699000000001</v>
      </c>
      <c r="K86" s="51">
        <v>13.013699000000001</v>
      </c>
      <c r="L86" s="51">
        <v>13.013699000000001</v>
      </c>
      <c r="M86" s="51">
        <v>13.013699000000001</v>
      </c>
      <c r="N86" s="51">
        <v>13.013699000000001</v>
      </c>
      <c r="O86" s="51">
        <v>13.013699000000001</v>
      </c>
      <c r="P86" s="51">
        <v>13.013699000000001</v>
      </c>
      <c r="Q86" s="51">
        <v>13.013699000000001</v>
      </c>
      <c r="R86" s="51">
        <v>13.013699000000001</v>
      </c>
      <c r="S86" s="51">
        <v>13.013699000000001</v>
      </c>
      <c r="T86" s="51">
        <v>13.013699000000001</v>
      </c>
      <c r="U86" s="51">
        <v>13.013699000000001</v>
      </c>
      <c r="V86" s="51">
        <v>13.013699000000001</v>
      </c>
      <c r="W86" s="51">
        <v>13.013699000000001</v>
      </c>
      <c r="X86" s="51">
        <v>13.013699000000001</v>
      </c>
      <c r="Y86" s="51">
        <v>13.013699000000001</v>
      </c>
      <c r="Z86" s="51">
        <v>13.013699000000001</v>
      </c>
      <c r="AA86" s="51">
        <v>13.013699000000001</v>
      </c>
      <c r="AB86" s="51">
        <v>13.013699000000001</v>
      </c>
      <c r="AC86" s="51">
        <v>13.013699000000001</v>
      </c>
      <c r="AD86" s="51">
        <v>13.013699000000001</v>
      </c>
      <c r="AE86" s="51">
        <v>13.013699000000001</v>
      </c>
      <c r="AF86" s="51">
        <v>13.013699000000001</v>
      </c>
      <c r="AG86" s="51">
        <v>13.013699000000001</v>
      </c>
      <c r="AH86" s="51">
        <v>13.013699000000001</v>
      </c>
      <c r="AI86" s="51">
        <v>13.013699000000001</v>
      </c>
      <c r="AJ86" s="51">
        <v>13.013699000000001</v>
      </c>
      <c r="AK86" s="51">
        <v>13.013699000000001</v>
      </c>
      <c r="AL86" s="51">
        <v>13.013699000000001</v>
      </c>
      <c r="AM86" s="51">
        <v>13.013699000000001</v>
      </c>
      <c r="AN86" s="51">
        <v>13.013699000000001</v>
      </c>
      <c r="AO86" s="51">
        <v>13.013699000000001</v>
      </c>
      <c r="AP86" s="51">
        <v>13.013699000000001</v>
      </c>
      <c r="AQ86" s="51">
        <v>13.013699000000001</v>
      </c>
      <c r="AR86" s="51">
        <v>13.013699000000001</v>
      </c>
      <c r="AS86" s="51">
        <v>13.013699000000001</v>
      </c>
      <c r="AT86" s="51">
        <v>13.013699000000001</v>
      </c>
      <c r="AU86" s="51">
        <v>13.013699000000001</v>
      </c>
      <c r="AV86" s="51">
        <v>13.013699000000001</v>
      </c>
      <c r="AW86" s="51">
        <v>13.013699000000001</v>
      </c>
      <c r="AX86" s="51">
        <v>13.013699000000001</v>
      </c>
      <c r="AY86" s="51">
        <v>13.013699000000001</v>
      </c>
      <c r="AZ86" s="51">
        <v>13.013699000000001</v>
      </c>
      <c r="BA86" s="51">
        <v>13.013699000000001</v>
      </c>
      <c r="BB86" s="51">
        <v>13.013699000000001</v>
      </c>
      <c r="BC86" s="51">
        <v>13.013699000000001</v>
      </c>
      <c r="BD86" s="51">
        <v>13.013699000000001</v>
      </c>
      <c r="BE86" s="50">
        <v>13.013699000000001</v>
      </c>
      <c r="BF86" s="51">
        <v>13.013699000000001</v>
      </c>
      <c r="BG86" s="50">
        <v>13.013699000000001</v>
      </c>
      <c r="BH86" s="51">
        <v>13.013699000000001</v>
      </c>
      <c r="BI86" s="51"/>
      <c r="BJ86" s="51"/>
      <c r="BK86" s="51"/>
      <c r="BL86" s="51"/>
      <c r="BM86" s="51"/>
      <c r="BN86" s="51"/>
      <c r="BO86" s="51"/>
    </row>
    <row r="87" spans="1:67" ht="20.100000000000001" hidden="1" customHeight="1" outlineLevel="1" x14ac:dyDescent="0.25">
      <c r="A87" s="58" t="s">
        <v>134</v>
      </c>
      <c r="B87" s="51">
        <v>55.068492999999997</v>
      </c>
      <c r="C87" s="51">
        <v>55.068492999999997</v>
      </c>
      <c r="D87" s="51">
        <v>55.068492999999997</v>
      </c>
      <c r="E87" s="51">
        <v>55.068492999999997</v>
      </c>
      <c r="F87" s="51">
        <v>55.068492999999997</v>
      </c>
      <c r="G87" s="51">
        <v>55.068492999999997</v>
      </c>
      <c r="H87" s="51">
        <v>55.068492999999997</v>
      </c>
      <c r="I87" s="51">
        <v>55.068492999999997</v>
      </c>
      <c r="J87" s="51">
        <v>55.068492999999997</v>
      </c>
      <c r="K87" s="51">
        <v>55.068492999999997</v>
      </c>
      <c r="L87" s="51">
        <v>55.068492999999997</v>
      </c>
      <c r="M87" s="51">
        <v>55.068492999999997</v>
      </c>
      <c r="N87" s="51">
        <v>55.068492999999997</v>
      </c>
      <c r="O87" s="51">
        <v>55.068492999999997</v>
      </c>
      <c r="P87" s="51">
        <v>55.068492999999997</v>
      </c>
      <c r="Q87" s="51">
        <v>55.068492999999997</v>
      </c>
      <c r="R87" s="51">
        <v>55.068492999999997</v>
      </c>
      <c r="S87" s="51">
        <v>55.068492999999997</v>
      </c>
      <c r="T87" s="51">
        <v>55.068492999999997</v>
      </c>
      <c r="U87" s="51">
        <v>55.068492999999997</v>
      </c>
      <c r="V87" s="51">
        <v>55.068492999999997</v>
      </c>
      <c r="W87" s="51">
        <v>55.068492999999997</v>
      </c>
      <c r="X87" s="51">
        <v>55.068492999999997</v>
      </c>
      <c r="Y87" s="51">
        <v>55.068492999999997</v>
      </c>
      <c r="Z87" s="51">
        <v>55.068492999999997</v>
      </c>
      <c r="AA87" s="51">
        <v>55.068492999999997</v>
      </c>
      <c r="AB87" s="51">
        <v>55.068492999999997</v>
      </c>
      <c r="AC87" s="51">
        <v>55.068492999999997</v>
      </c>
      <c r="AD87" s="51">
        <v>55.068492999999997</v>
      </c>
      <c r="AE87" s="51">
        <v>55.068492999999997</v>
      </c>
      <c r="AF87" s="51">
        <v>55.068492999999997</v>
      </c>
      <c r="AG87" s="51">
        <v>55.068492999999997</v>
      </c>
      <c r="AH87" s="51">
        <v>55.068492999999997</v>
      </c>
      <c r="AI87" s="51">
        <v>55.068492999999997</v>
      </c>
      <c r="AJ87" s="51">
        <v>55.068492999999997</v>
      </c>
      <c r="AK87" s="51">
        <v>55.068492999999997</v>
      </c>
      <c r="AL87" s="51">
        <v>55.068492999999997</v>
      </c>
      <c r="AM87" s="51">
        <v>55.068492999999997</v>
      </c>
      <c r="AN87" s="51">
        <v>55.068492999999997</v>
      </c>
      <c r="AO87" s="51">
        <v>55.068492999999997</v>
      </c>
      <c r="AP87" s="51">
        <v>55.068492999999997</v>
      </c>
      <c r="AQ87" s="51">
        <v>55.068492999999997</v>
      </c>
      <c r="AR87" s="51">
        <v>55.068492999999997</v>
      </c>
      <c r="AS87" s="51">
        <v>55.068492999999997</v>
      </c>
      <c r="AT87" s="51">
        <v>55.068492999999997</v>
      </c>
      <c r="AU87" s="51">
        <v>55.068492999999997</v>
      </c>
      <c r="AV87" s="51">
        <v>55.068492999999997</v>
      </c>
      <c r="AW87" s="51">
        <v>55.068492999999997</v>
      </c>
      <c r="AX87" s="51">
        <v>55.068492999999997</v>
      </c>
      <c r="AY87" s="51">
        <v>55.068492999999997</v>
      </c>
      <c r="AZ87" s="51">
        <v>55.068492999999997</v>
      </c>
      <c r="BA87" s="51">
        <v>55.068492999999997</v>
      </c>
      <c r="BB87" s="51">
        <v>55.068492999999997</v>
      </c>
      <c r="BC87" s="51">
        <v>55.068492999999997</v>
      </c>
      <c r="BD87" s="51">
        <v>55.068492999999997</v>
      </c>
      <c r="BE87" s="50">
        <v>55.068492999999997</v>
      </c>
      <c r="BF87" s="51">
        <v>55.068492999999997</v>
      </c>
      <c r="BG87" s="50">
        <v>55.068492999999997</v>
      </c>
      <c r="BH87" s="51">
        <v>55.068492999999997</v>
      </c>
      <c r="BI87" s="51"/>
      <c r="BJ87" s="51"/>
      <c r="BK87" s="51"/>
      <c r="BL87" s="51"/>
      <c r="BM87" s="51"/>
      <c r="BN87" s="51"/>
      <c r="BO87" s="51"/>
    </row>
    <row r="88" spans="1:67" ht="20.100000000000001" hidden="1" customHeight="1" outlineLevel="1" x14ac:dyDescent="0.25">
      <c r="A88" s="58" t="s">
        <v>135</v>
      </c>
      <c r="B88" s="51">
        <v>54.230856000000003</v>
      </c>
      <c r="C88" s="51">
        <v>54.230856000000003</v>
      </c>
      <c r="D88" s="51">
        <v>54.230856000000003</v>
      </c>
      <c r="E88" s="51">
        <v>54.230856000000003</v>
      </c>
      <c r="F88" s="51">
        <v>54.230856000000003</v>
      </c>
      <c r="G88" s="51">
        <v>54.230856000000003</v>
      </c>
      <c r="H88" s="51">
        <v>54.230856000000003</v>
      </c>
      <c r="I88" s="51">
        <v>54.230856000000003</v>
      </c>
      <c r="J88" s="51">
        <v>54.230856000000003</v>
      </c>
      <c r="K88" s="51">
        <v>54.230856000000003</v>
      </c>
      <c r="L88" s="51">
        <v>54.230856000000003</v>
      </c>
      <c r="M88" s="51">
        <v>54.230856000000003</v>
      </c>
      <c r="N88" s="51">
        <v>54.230856000000003</v>
      </c>
      <c r="O88" s="51">
        <v>54.230856000000003</v>
      </c>
      <c r="P88" s="51">
        <v>54.230856000000003</v>
      </c>
      <c r="Q88" s="51">
        <v>54.230856000000003</v>
      </c>
      <c r="R88" s="51">
        <v>54.230856000000003</v>
      </c>
      <c r="S88" s="51">
        <v>54.230856000000003</v>
      </c>
      <c r="T88" s="51">
        <v>54.230856000000003</v>
      </c>
      <c r="U88" s="51">
        <v>54.230856000000003</v>
      </c>
      <c r="V88" s="51">
        <v>54.230856000000003</v>
      </c>
      <c r="W88" s="51">
        <v>54.230856000000003</v>
      </c>
      <c r="X88" s="51">
        <v>54.230856000000003</v>
      </c>
      <c r="Y88" s="51">
        <v>54.230856000000003</v>
      </c>
      <c r="Z88" s="51">
        <v>54.230856000000003</v>
      </c>
      <c r="AA88" s="51">
        <v>54.230856000000003</v>
      </c>
      <c r="AB88" s="51">
        <v>54.230856000000003</v>
      </c>
      <c r="AC88" s="51">
        <v>54.230856000000003</v>
      </c>
      <c r="AD88" s="51">
        <v>54.230856000000003</v>
      </c>
      <c r="AE88" s="51">
        <v>54.230856000000003</v>
      </c>
      <c r="AF88" s="51">
        <v>54.230856000000003</v>
      </c>
      <c r="AG88" s="51">
        <v>54.230856000000003</v>
      </c>
      <c r="AH88" s="51">
        <v>54.230856000000003</v>
      </c>
      <c r="AI88" s="51">
        <v>54.230856000000003</v>
      </c>
      <c r="AJ88" s="51">
        <v>54.230856000000003</v>
      </c>
      <c r="AK88" s="51">
        <v>54.230856000000003</v>
      </c>
      <c r="AL88" s="51">
        <v>54.230856000000003</v>
      </c>
      <c r="AM88" s="51">
        <v>54.230856000000003</v>
      </c>
      <c r="AN88" s="51">
        <v>54.230856000000003</v>
      </c>
      <c r="AO88" s="51">
        <v>54.230856000000003</v>
      </c>
      <c r="AP88" s="51">
        <v>54.230856000000003</v>
      </c>
      <c r="AQ88" s="51">
        <v>54.230856000000003</v>
      </c>
      <c r="AR88" s="51">
        <v>54.230856000000003</v>
      </c>
      <c r="AS88" s="51">
        <v>54.230856000000003</v>
      </c>
      <c r="AT88" s="51">
        <v>54.230856000000003</v>
      </c>
      <c r="AU88" s="51">
        <v>54.230856000000003</v>
      </c>
      <c r="AV88" s="51">
        <v>54.230856000000003</v>
      </c>
      <c r="AW88" s="51">
        <v>54.230856000000003</v>
      </c>
      <c r="AX88" s="51">
        <v>54.230856000000003</v>
      </c>
      <c r="AY88" s="51">
        <v>54.230856000000003</v>
      </c>
      <c r="AZ88" s="51">
        <v>54.230856000000003</v>
      </c>
      <c r="BA88" s="51">
        <v>54.230856000000003</v>
      </c>
      <c r="BB88" s="51">
        <v>54.230856000000003</v>
      </c>
      <c r="BC88" s="51">
        <v>54.230856000000003</v>
      </c>
      <c r="BD88" s="51">
        <v>54.230856000000003</v>
      </c>
      <c r="BE88" s="50">
        <v>54.230856000000003</v>
      </c>
      <c r="BF88" s="51">
        <v>54.230856000000003</v>
      </c>
      <c r="BG88" s="50">
        <v>54.230856000000003</v>
      </c>
      <c r="BH88" s="51">
        <v>54.230856000000003</v>
      </c>
      <c r="BI88" s="51"/>
      <c r="BJ88" s="51"/>
      <c r="BK88" s="51"/>
      <c r="BL88" s="51"/>
      <c r="BM88" s="51"/>
      <c r="BN88" s="51"/>
      <c r="BO88" s="51"/>
    </row>
    <row r="89" spans="1:67" ht="20.100000000000001" hidden="1" customHeight="1" outlineLevel="1" x14ac:dyDescent="0.25">
      <c r="A89" s="58" t="s">
        <v>136</v>
      </c>
      <c r="B89" s="51">
        <v>75.721643</v>
      </c>
      <c r="C89" s="51">
        <v>75.721643</v>
      </c>
      <c r="D89" s="51">
        <v>75.721643</v>
      </c>
      <c r="E89" s="51">
        <v>75.721643</v>
      </c>
      <c r="F89" s="51">
        <v>75.721643</v>
      </c>
      <c r="G89" s="51">
        <v>75.721643</v>
      </c>
      <c r="H89" s="51">
        <v>75.721643</v>
      </c>
      <c r="I89" s="51">
        <v>75.721643</v>
      </c>
      <c r="J89" s="51">
        <v>75.721643</v>
      </c>
      <c r="K89" s="51">
        <v>75.721643</v>
      </c>
      <c r="L89" s="51">
        <v>75.721643</v>
      </c>
      <c r="M89" s="51">
        <v>75.721643</v>
      </c>
      <c r="N89" s="51">
        <v>75.721643</v>
      </c>
      <c r="O89" s="51">
        <v>75.721643</v>
      </c>
      <c r="P89" s="51">
        <v>75.721643</v>
      </c>
      <c r="Q89" s="51">
        <v>75.721643</v>
      </c>
      <c r="R89" s="51">
        <v>75.721643</v>
      </c>
      <c r="S89" s="51">
        <v>75.721643</v>
      </c>
      <c r="T89" s="51">
        <v>75.721643</v>
      </c>
      <c r="U89" s="51">
        <v>75.721643</v>
      </c>
      <c r="V89" s="51">
        <v>75.721643</v>
      </c>
      <c r="W89" s="51">
        <v>75.721643</v>
      </c>
      <c r="X89" s="51">
        <v>75.721643</v>
      </c>
      <c r="Y89" s="51">
        <v>75.721643</v>
      </c>
      <c r="Z89" s="51">
        <v>75.721643</v>
      </c>
      <c r="AA89" s="51">
        <v>75.721643</v>
      </c>
      <c r="AB89" s="51">
        <v>75.721643</v>
      </c>
      <c r="AC89" s="51">
        <v>75.721643</v>
      </c>
      <c r="AD89" s="51">
        <v>75.721643</v>
      </c>
      <c r="AE89" s="51">
        <v>75.721643</v>
      </c>
      <c r="AF89" s="51">
        <v>75.721643</v>
      </c>
      <c r="AG89" s="51">
        <v>75.721643</v>
      </c>
      <c r="AH89" s="51">
        <v>75.721643</v>
      </c>
      <c r="AI89" s="51">
        <v>75.721643</v>
      </c>
      <c r="AJ89" s="51">
        <v>75.721643</v>
      </c>
      <c r="AK89" s="51">
        <v>75.721643</v>
      </c>
      <c r="AL89" s="51">
        <v>75.721643</v>
      </c>
      <c r="AM89" s="51">
        <v>75.721643</v>
      </c>
      <c r="AN89" s="51">
        <v>75.721643</v>
      </c>
      <c r="AO89" s="51">
        <v>75.721643</v>
      </c>
      <c r="AP89" s="51">
        <v>75.721643</v>
      </c>
      <c r="AQ89" s="51">
        <v>75.721643</v>
      </c>
      <c r="AR89" s="51">
        <v>75.721643</v>
      </c>
      <c r="AS89" s="51">
        <v>75.721643</v>
      </c>
      <c r="AT89" s="51">
        <v>75.721643</v>
      </c>
      <c r="AU89" s="51">
        <v>75.721643</v>
      </c>
      <c r="AV89" s="51">
        <v>75.721643</v>
      </c>
      <c r="AW89" s="51">
        <v>75.721643</v>
      </c>
      <c r="AX89" s="51">
        <v>75.721643</v>
      </c>
      <c r="AY89" s="51">
        <v>75.721643</v>
      </c>
      <c r="AZ89" s="51">
        <v>75.721643</v>
      </c>
      <c r="BA89" s="51">
        <v>75.721643</v>
      </c>
      <c r="BB89" s="51">
        <v>75.721643</v>
      </c>
      <c r="BC89" s="51">
        <v>75.721643</v>
      </c>
      <c r="BD89" s="51">
        <v>75.721643</v>
      </c>
      <c r="BE89" s="50">
        <v>75.721643</v>
      </c>
      <c r="BF89" s="51">
        <v>75.721643</v>
      </c>
      <c r="BG89" s="50">
        <v>75.721643</v>
      </c>
      <c r="BH89" s="51">
        <v>75.721643</v>
      </c>
      <c r="BI89" s="51"/>
      <c r="BJ89" s="51"/>
      <c r="BK89" s="51"/>
      <c r="BL89" s="51"/>
      <c r="BM89" s="51"/>
      <c r="BN89" s="51"/>
      <c r="BO89" s="51"/>
    </row>
    <row r="90" spans="1:67" s="45" customFormat="1" ht="24" customHeight="1" collapsed="1" x14ac:dyDescent="0.25">
      <c r="A90" s="47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J90" s="22"/>
      <c r="BL90" s="22"/>
    </row>
    <row r="91" spans="1:67" s="45" customFormat="1" ht="24" customHeight="1" x14ac:dyDescent="0.25">
      <c r="A91" s="47" t="s">
        <v>276</v>
      </c>
      <c r="B91" s="49">
        <f>SUM(B64:B90)</f>
        <v>1068.693444</v>
      </c>
      <c r="C91" s="49">
        <f>SUM(C64:C90)</f>
        <v>1068.693444</v>
      </c>
      <c r="D91" s="49">
        <f>SUM(D64:D90)</f>
        <v>1068.693444</v>
      </c>
      <c r="E91" s="49">
        <f>SUM(E64:E90)</f>
        <v>1068.693444</v>
      </c>
      <c r="F91" s="49">
        <f>SUM(F64:F90)</f>
        <v>1068.693444</v>
      </c>
      <c r="G91" s="49">
        <f>SUM(G64:G90)</f>
        <v>1068.693444</v>
      </c>
      <c r="H91" s="49">
        <f>SUM(H64:H90)</f>
        <v>1068.693444</v>
      </c>
      <c r="I91" s="49">
        <f>SUM(I64:I90)</f>
        <v>1068.693444</v>
      </c>
      <c r="J91" s="49">
        <f>SUM(J64:J90)</f>
        <v>1068.693444</v>
      </c>
      <c r="K91" s="49">
        <f>SUM(K64:K90)</f>
        <v>1068.693444</v>
      </c>
      <c r="L91" s="49">
        <f>SUM(L64:L90)</f>
        <v>1068.693444</v>
      </c>
      <c r="M91" s="49">
        <f>SUM(M64:M90)</f>
        <v>1068.693444</v>
      </c>
      <c r="N91" s="49">
        <f>SUM(N64:N90)</f>
        <v>1068.693444</v>
      </c>
      <c r="O91" s="49">
        <f>SUM(O64:O90)</f>
        <v>1068.693444</v>
      </c>
      <c r="P91" s="49">
        <f>SUM(P64:P90)</f>
        <v>1068.693444</v>
      </c>
      <c r="Q91" s="49">
        <f>SUM(Q64:Q90)</f>
        <v>1068.693444</v>
      </c>
      <c r="R91" s="49">
        <f>SUM(R64:R90)</f>
        <v>1068.693444</v>
      </c>
      <c r="S91" s="49">
        <f>SUM(S64:S90)</f>
        <v>1068.693444</v>
      </c>
      <c r="T91" s="49">
        <f>SUM(T64:T90)</f>
        <v>1068.693444</v>
      </c>
      <c r="U91" s="49">
        <f>SUM(U64:U90)</f>
        <v>1068.693444</v>
      </c>
      <c r="V91" s="49">
        <f>SUM(V64:V90)</f>
        <v>1068.693444</v>
      </c>
      <c r="W91" s="49">
        <f>SUM(W64:W90)</f>
        <v>1068.693444</v>
      </c>
      <c r="X91" s="49">
        <f>SUM(X64:X90)</f>
        <v>1068.693444</v>
      </c>
      <c r="Y91" s="49">
        <f>SUM(Y64:Y90)</f>
        <v>1068.693444</v>
      </c>
      <c r="Z91" s="49">
        <f>SUM(Z64:Z90)</f>
        <v>1068.693444</v>
      </c>
      <c r="AA91" s="49">
        <f>SUM(AA64:AA90)</f>
        <v>1068.693444</v>
      </c>
      <c r="AB91" s="49">
        <f>SUM(AB64:AB90)</f>
        <v>1068.693444</v>
      </c>
      <c r="AC91" s="49">
        <f>SUM(AC64:AC90)</f>
        <v>1068.693444</v>
      </c>
      <c r="AD91" s="49">
        <f>SUM(AD64:AD90)</f>
        <v>1068.693444</v>
      </c>
      <c r="AE91" s="49">
        <f>SUM(AE64:AE90)</f>
        <v>1068.693444</v>
      </c>
      <c r="AF91" s="49">
        <f>SUM(AF64:AF90)</f>
        <v>1068.693444</v>
      </c>
      <c r="AG91" s="49">
        <f>SUM(AG64:AG90)</f>
        <v>1068.693444</v>
      </c>
      <c r="AH91" s="49">
        <f>SUM(AH64:AH90)</f>
        <v>1068.693444</v>
      </c>
      <c r="AI91" s="49">
        <f>SUM(AI64:AI90)</f>
        <v>1068.693444</v>
      </c>
      <c r="AJ91" s="49">
        <f>SUM(AJ64:AJ90)</f>
        <v>1068.693444</v>
      </c>
      <c r="AK91" s="49">
        <f>SUM(AK64:AK90)</f>
        <v>1068.693444</v>
      </c>
      <c r="AL91" s="49">
        <f>SUM(AL64:AL90)</f>
        <v>1068.693444</v>
      </c>
      <c r="AM91" s="49">
        <f>SUM(AM64:AM90)</f>
        <v>1068.693444</v>
      </c>
      <c r="AN91" s="49">
        <f>SUM(AN64:AN90)</f>
        <v>1068.693444</v>
      </c>
      <c r="AO91" s="49">
        <f>SUM(AO64:AO90)</f>
        <v>1068.693444</v>
      </c>
      <c r="AP91" s="49">
        <f>SUM(AP64:AP90)</f>
        <v>1068.693444</v>
      </c>
      <c r="AQ91" s="49">
        <f>SUM(AQ64:AQ90)</f>
        <v>1068.693444</v>
      </c>
      <c r="AR91" s="49">
        <f>SUM(AR64:AR90)</f>
        <v>1068.693444</v>
      </c>
      <c r="AS91" s="49">
        <f>SUM(AS64:AS90)</f>
        <v>1068.693444</v>
      </c>
      <c r="AT91" s="49">
        <f>SUM(AT64:AT90)</f>
        <v>1068.693444</v>
      </c>
      <c r="AU91" s="49">
        <f>SUM(AU64:AU90)</f>
        <v>1068.693444</v>
      </c>
      <c r="AV91" s="49">
        <f>SUM(AV64:AV90)</f>
        <v>1068.693444</v>
      </c>
      <c r="AW91" s="49">
        <f>SUM(AW64:AW90)</f>
        <v>1068.693444</v>
      </c>
      <c r="AX91" s="49">
        <f>SUM(AX64:AX90)</f>
        <v>1068.693444</v>
      </c>
      <c r="AY91" s="49">
        <f>SUM(AY64:AY90)</f>
        <v>1068.693444</v>
      </c>
      <c r="AZ91" s="49">
        <f>SUM(AZ64:AZ90)</f>
        <v>1068.693444</v>
      </c>
      <c r="BA91" s="49">
        <f>SUM(BA64:BA90)</f>
        <v>1068.693444</v>
      </c>
      <c r="BB91" s="49">
        <f>SUM(BB64:BB90)</f>
        <v>1068.693444</v>
      </c>
      <c r="BC91" s="49">
        <f>SUM(BC64:BC90)</f>
        <v>1068.693444</v>
      </c>
      <c r="BD91" s="49">
        <f>SUM(BD64:BD90)</f>
        <v>1068.693444</v>
      </c>
      <c r="BE91" s="49">
        <f>SUM(BE64:BE90)</f>
        <v>1068.693444</v>
      </c>
      <c r="BF91" s="49">
        <f>SUM(BF64:BF90)</f>
        <v>1068.693444</v>
      </c>
      <c r="BG91" s="49">
        <f>SUM(BG64:BG90)</f>
        <v>1068.693444</v>
      </c>
      <c r="BH91" s="49">
        <f>SUM(BH64:BH90)</f>
        <v>1068.693444</v>
      </c>
      <c r="BJ91" s="22">
        <f>SUM(B91:BI91)</f>
        <v>63052.913195999921</v>
      </c>
      <c r="BL91" s="22"/>
    </row>
    <row r="92" spans="1:67" s="45" customFormat="1" ht="24" customHeight="1" x14ac:dyDescent="0.25">
      <c r="A92" s="28" t="s">
        <v>284</v>
      </c>
      <c r="B92" s="46">
        <v>0.01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</row>
    <row r="93" spans="1:67" ht="21" customHeight="1" x14ac:dyDescent="0.25">
      <c r="A93" s="34" t="s">
        <v>102</v>
      </c>
      <c r="B93" s="35">
        <f>+$B$92/365*B$53</f>
        <v>110.09317759695392</v>
      </c>
      <c r="C93" s="35">
        <f t="shared" ref="C93:BH93" si="8">+$B$92/365*C$53</f>
        <v>110.13121328495991</v>
      </c>
      <c r="D93" s="35">
        <f t="shared" si="8"/>
        <v>110.16926211377621</v>
      </c>
      <c r="E93" s="35">
        <f t="shared" si="8"/>
        <v>110.20732408794279</v>
      </c>
      <c r="F93" s="35">
        <f t="shared" si="8"/>
        <v>110.24539921200116</v>
      </c>
      <c r="G93" s="35">
        <f t="shared" si="8"/>
        <v>110.28348749049445</v>
      </c>
      <c r="H93" s="35">
        <f t="shared" si="8"/>
        <v>110.32158892796735</v>
      </c>
      <c r="I93" s="35">
        <f t="shared" si="8"/>
        <v>110.35970352896608</v>
      </c>
      <c r="J93" s="35">
        <f t="shared" si="8"/>
        <v>110.39783129803847</v>
      </c>
      <c r="K93" s="35">
        <f t="shared" si="8"/>
        <v>110.4359722397339</v>
      </c>
      <c r="L93" s="35">
        <f t="shared" si="8"/>
        <v>110.47412635860336</v>
      </c>
      <c r="M93" s="35">
        <f t="shared" si="8"/>
        <v>110.51229365919936</v>
      </c>
      <c r="N93" s="35">
        <f t="shared" si="8"/>
        <v>110.550474146076</v>
      </c>
      <c r="O93" s="35">
        <f t="shared" si="8"/>
        <v>110.58866782378897</v>
      </c>
      <c r="P93" s="35">
        <f t="shared" si="8"/>
        <v>110.62687469689553</v>
      </c>
      <c r="Q93" s="35">
        <f t="shared" si="8"/>
        <v>110.66509476995449</v>
      </c>
      <c r="R93" s="35">
        <f t="shared" si="8"/>
        <v>110.70332804752627</v>
      </c>
      <c r="S93" s="35">
        <f t="shared" si="8"/>
        <v>110.74157453417286</v>
      </c>
      <c r="T93" s="35">
        <f t="shared" si="8"/>
        <v>110.77983423445778</v>
      </c>
      <c r="U93" s="35">
        <f t="shared" si="8"/>
        <v>110.8181071529462</v>
      </c>
      <c r="V93" s="35">
        <f t="shared" si="8"/>
        <v>110.85639329420479</v>
      </c>
      <c r="W93" s="35">
        <f t="shared" si="8"/>
        <v>110.89469266280186</v>
      </c>
      <c r="X93" s="35">
        <f t="shared" si="8"/>
        <v>110.93300526330728</v>
      </c>
      <c r="Y93" s="35">
        <f t="shared" si="8"/>
        <v>110.97133110029247</v>
      </c>
      <c r="Z93" s="35">
        <f t="shared" si="8"/>
        <v>111.00967017833047</v>
      </c>
      <c r="AA93" s="35">
        <f t="shared" si="8"/>
        <v>111.04802250199587</v>
      </c>
      <c r="AB93" s="35">
        <f t="shared" si="8"/>
        <v>111.08638807586487</v>
      </c>
      <c r="AC93" s="35">
        <f t="shared" si="8"/>
        <v>111.12476690451523</v>
      </c>
      <c r="AD93" s="35">
        <f t="shared" si="8"/>
        <v>111.16315899252629</v>
      </c>
      <c r="AE93" s="35">
        <f t="shared" si="8"/>
        <v>111.20156434447898</v>
      </c>
      <c r="AF93" s="35">
        <f t="shared" si="8"/>
        <v>111.23998296495581</v>
      </c>
      <c r="AG93" s="35">
        <f t="shared" si="8"/>
        <v>111.27841485854087</v>
      </c>
      <c r="AH93" s="35">
        <f t="shared" si="8"/>
        <v>111.31686002981985</v>
      </c>
      <c r="AI93" s="35">
        <f t="shared" si="8"/>
        <v>111.35531848337999</v>
      </c>
      <c r="AJ93" s="35">
        <f t="shared" si="8"/>
        <v>111.39379022381016</v>
      </c>
      <c r="AK93" s="35">
        <f t="shared" si="8"/>
        <v>111.43227525570079</v>
      </c>
      <c r="AL93" s="35">
        <f t="shared" si="8"/>
        <v>111.47077358364388</v>
      </c>
      <c r="AM93" s="35">
        <f t="shared" si="8"/>
        <v>111.50928521223302</v>
      </c>
      <c r="AN93" s="35">
        <f t="shared" si="8"/>
        <v>111.54781014606345</v>
      </c>
      <c r="AO93" s="35">
        <f t="shared" si="8"/>
        <v>111.58634838973192</v>
      </c>
      <c r="AP93" s="35">
        <f t="shared" si="8"/>
        <v>111.62489994783682</v>
      </c>
      <c r="AQ93" s="35">
        <f t="shared" si="8"/>
        <v>111.66346482497808</v>
      </c>
      <c r="AR93" s="35">
        <f t="shared" si="8"/>
        <v>111.70204302575723</v>
      </c>
      <c r="AS93" s="35">
        <f t="shared" si="8"/>
        <v>111.74063455477744</v>
      </c>
      <c r="AT93" s="35">
        <f t="shared" si="8"/>
        <v>111.77923941664343</v>
      </c>
      <c r="AU93" s="35">
        <f t="shared" si="8"/>
        <v>111.8178576159615</v>
      </c>
      <c r="AV93" s="35">
        <f t="shared" si="8"/>
        <v>111.85648915733957</v>
      </c>
      <c r="AW93" s="35">
        <f t="shared" si="8"/>
        <v>111.89513404538714</v>
      </c>
      <c r="AX93" s="35">
        <f t="shared" si="8"/>
        <v>111.93379228471528</v>
      </c>
      <c r="AY93" s="35">
        <f t="shared" si="8"/>
        <v>111.97246387993671</v>
      </c>
      <c r="AZ93" s="35">
        <f t="shared" si="8"/>
        <v>112.01114883566568</v>
      </c>
      <c r="BA93" s="35">
        <f t="shared" si="8"/>
        <v>112.04984715651808</v>
      </c>
      <c r="BB93" s="35">
        <f t="shared" si="8"/>
        <v>112.08855884711137</v>
      </c>
      <c r="BC93" s="35">
        <f t="shared" si="8"/>
        <v>112.12728391206461</v>
      </c>
      <c r="BD93" s="35">
        <f t="shared" si="8"/>
        <v>112.16602235599846</v>
      </c>
      <c r="BE93" s="35">
        <f t="shared" si="8"/>
        <v>112.20477418353519</v>
      </c>
      <c r="BF93" s="35">
        <f t="shared" si="8"/>
        <v>112.24353939929863</v>
      </c>
      <c r="BG93" s="35">
        <f t="shared" si="8"/>
        <v>112.28231800791424</v>
      </c>
      <c r="BH93" s="35">
        <f t="shared" si="8"/>
        <v>112.32111001400907</v>
      </c>
      <c r="BJ93" s="22">
        <f>SUM(B93:BI93)</f>
        <v>6561.0058091361007</v>
      </c>
      <c r="BL93" s="22"/>
    </row>
    <row r="94" spans="1:67" s="45" customFormat="1" ht="24" customHeight="1" x14ac:dyDescent="0.25">
      <c r="A94" s="28" t="s">
        <v>285</v>
      </c>
      <c r="B94" s="46">
        <v>0.02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</row>
    <row r="95" spans="1:67" ht="21" customHeight="1" x14ac:dyDescent="0.25">
      <c r="A95" s="34" t="s">
        <v>103</v>
      </c>
      <c r="B95" s="52">
        <f>$B$94/365*B$53</f>
        <v>220.18635519390784</v>
      </c>
      <c r="C95" s="52">
        <f t="shared" ref="C95:BH95" si="9">$B$94/365*C$53</f>
        <v>220.26242656991982</v>
      </c>
      <c r="D95" s="52">
        <f t="shared" si="9"/>
        <v>220.33852422755243</v>
      </c>
      <c r="E95" s="52">
        <f t="shared" si="9"/>
        <v>220.41464817588559</v>
      </c>
      <c r="F95" s="52">
        <f t="shared" si="9"/>
        <v>220.49079842400232</v>
      </c>
      <c r="G95" s="52">
        <f t="shared" si="9"/>
        <v>220.5669749809889</v>
      </c>
      <c r="H95" s="52">
        <f t="shared" si="9"/>
        <v>220.64317785593471</v>
      </c>
      <c r="I95" s="52">
        <f t="shared" si="9"/>
        <v>220.71940705793216</v>
      </c>
      <c r="J95" s="52">
        <f t="shared" si="9"/>
        <v>220.79566259607694</v>
      </c>
      <c r="K95" s="52">
        <f t="shared" si="9"/>
        <v>220.8719444794678</v>
      </c>
      <c r="L95" s="52">
        <f t="shared" si="9"/>
        <v>220.94825271720671</v>
      </c>
      <c r="M95" s="52">
        <f t="shared" si="9"/>
        <v>221.02458731839872</v>
      </c>
      <c r="N95" s="52">
        <f t="shared" si="9"/>
        <v>221.100948292152</v>
      </c>
      <c r="O95" s="52">
        <f t="shared" si="9"/>
        <v>221.17733564757793</v>
      </c>
      <c r="P95" s="52">
        <f t="shared" si="9"/>
        <v>221.25374939379105</v>
      </c>
      <c r="Q95" s="52">
        <f t="shared" si="9"/>
        <v>221.33018953990899</v>
      </c>
      <c r="R95" s="52">
        <f t="shared" si="9"/>
        <v>221.40665609505254</v>
      </c>
      <c r="S95" s="52">
        <f t="shared" si="9"/>
        <v>221.48314906834571</v>
      </c>
      <c r="T95" s="52">
        <f t="shared" si="9"/>
        <v>221.55966846891556</v>
      </c>
      <c r="U95" s="52">
        <f t="shared" si="9"/>
        <v>221.63621430589239</v>
      </c>
      <c r="V95" s="52">
        <f t="shared" si="9"/>
        <v>221.71278658840959</v>
      </c>
      <c r="W95" s="52">
        <f t="shared" si="9"/>
        <v>221.78938532560372</v>
      </c>
      <c r="X95" s="52">
        <f t="shared" si="9"/>
        <v>221.86601052661456</v>
      </c>
      <c r="Y95" s="52">
        <f t="shared" si="9"/>
        <v>221.94266220058495</v>
      </c>
      <c r="Z95" s="52">
        <f t="shared" si="9"/>
        <v>222.01934035666093</v>
      </c>
      <c r="AA95" s="52">
        <f t="shared" si="9"/>
        <v>222.09604500399175</v>
      </c>
      <c r="AB95" s="52">
        <f t="shared" si="9"/>
        <v>222.17277615172975</v>
      </c>
      <c r="AC95" s="52">
        <f t="shared" si="9"/>
        <v>222.24953380903045</v>
      </c>
      <c r="AD95" s="52">
        <f t="shared" si="9"/>
        <v>222.32631798505258</v>
      </c>
      <c r="AE95" s="52">
        <f t="shared" si="9"/>
        <v>222.40312868895796</v>
      </c>
      <c r="AF95" s="52">
        <f t="shared" si="9"/>
        <v>222.47996592991163</v>
      </c>
      <c r="AG95" s="52">
        <f t="shared" si="9"/>
        <v>222.55682971708174</v>
      </c>
      <c r="AH95" s="52">
        <f t="shared" si="9"/>
        <v>222.6337200596397</v>
      </c>
      <c r="AI95" s="52">
        <f t="shared" si="9"/>
        <v>222.71063696675998</v>
      </c>
      <c r="AJ95" s="52">
        <f t="shared" si="9"/>
        <v>222.78758044762031</v>
      </c>
      <c r="AK95" s="52">
        <f t="shared" si="9"/>
        <v>222.86455051140157</v>
      </c>
      <c r="AL95" s="52">
        <f t="shared" si="9"/>
        <v>222.94154716728775</v>
      </c>
      <c r="AM95" s="52">
        <f t="shared" si="9"/>
        <v>223.01857042446605</v>
      </c>
      <c r="AN95" s="52">
        <f t="shared" si="9"/>
        <v>223.09562029212691</v>
      </c>
      <c r="AO95" s="52">
        <f t="shared" si="9"/>
        <v>223.17269677946385</v>
      </c>
      <c r="AP95" s="52">
        <f t="shared" si="9"/>
        <v>223.24979989567365</v>
      </c>
      <c r="AQ95" s="52">
        <f t="shared" si="9"/>
        <v>223.32692964995616</v>
      </c>
      <c r="AR95" s="52">
        <f t="shared" si="9"/>
        <v>223.40408605151447</v>
      </c>
      <c r="AS95" s="52">
        <f t="shared" si="9"/>
        <v>223.48126910955489</v>
      </c>
      <c r="AT95" s="52">
        <f t="shared" si="9"/>
        <v>223.55847883328687</v>
      </c>
      <c r="AU95" s="52">
        <f t="shared" si="9"/>
        <v>223.635715231923</v>
      </c>
      <c r="AV95" s="52">
        <f t="shared" si="9"/>
        <v>223.71297831467913</v>
      </c>
      <c r="AW95" s="52">
        <f t="shared" si="9"/>
        <v>223.79026809077428</v>
      </c>
      <c r="AX95" s="52">
        <f t="shared" si="9"/>
        <v>223.86758456943056</v>
      </c>
      <c r="AY95" s="52">
        <f t="shared" si="9"/>
        <v>223.94492775987342</v>
      </c>
      <c r="AZ95" s="52">
        <f t="shared" si="9"/>
        <v>224.02229767133136</v>
      </c>
      <c r="BA95" s="52">
        <f t="shared" si="9"/>
        <v>224.09969431303617</v>
      </c>
      <c r="BB95" s="52">
        <f t="shared" si="9"/>
        <v>224.17711769422274</v>
      </c>
      <c r="BC95" s="52">
        <f t="shared" si="9"/>
        <v>224.25456782412923</v>
      </c>
      <c r="BD95" s="52">
        <f t="shared" si="9"/>
        <v>224.33204471199693</v>
      </c>
      <c r="BE95" s="52">
        <f t="shared" si="9"/>
        <v>224.40954836707039</v>
      </c>
      <c r="BF95" s="52">
        <f t="shared" si="9"/>
        <v>224.48707879859725</v>
      </c>
      <c r="BG95" s="52">
        <f t="shared" si="9"/>
        <v>224.56463601582848</v>
      </c>
      <c r="BH95" s="52">
        <f t="shared" si="9"/>
        <v>224.64222002801813</v>
      </c>
      <c r="BJ95" s="22">
        <f>SUM(B95:BI95)</f>
        <v>13122.011618272201</v>
      </c>
      <c r="BL95" s="22"/>
    </row>
    <row r="96" spans="1:67" s="45" customFormat="1" ht="24" customHeight="1" x14ac:dyDescent="0.25">
      <c r="A96" s="28" t="s">
        <v>286</v>
      </c>
      <c r="B96" s="46">
        <v>0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</row>
    <row r="97" spans="1:64" ht="21" customHeight="1" x14ac:dyDescent="0.25">
      <c r="A97" s="34" t="s">
        <v>104</v>
      </c>
      <c r="B97" s="52">
        <f>$B$96/365*B$53</f>
        <v>0</v>
      </c>
      <c r="C97" s="35">
        <v>0</v>
      </c>
      <c r="D97" s="35">
        <v>0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>
        <v>0</v>
      </c>
      <c r="W97" s="35">
        <v>0</v>
      </c>
      <c r="X97" s="35">
        <v>0</v>
      </c>
      <c r="Y97" s="35">
        <v>0</v>
      </c>
      <c r="Z97" s="35">
        <v>0</v>
      </c>
      <c r="AA97" s="35">
        <v>0</v>
      </c>
      <c r="AB97" s="35">
        <v>0</v>
      </c>
      <c r="AC97" s="35">
        <v>0</v>
      </c>
      <c r="AD97" s="35">
        <v>0</v>
      </c>
      <c r="AE97" s="35">
        <v>0</v>
      </c>
      <c r="AF97" s="35">
        <v>0</v>
      </c>
      <c r="AG97" s="35">
        <v>0</v>
      </c>
      <c r="AH97" s="35">
        <v>0</v>
      </c>
      <c r="AI97" s="35">
        <v>0</v>
      </c>
      <c r="AJ97" s="35">
        <v>0</v>
      </c>
      <c r="AK97" s="35">
        <v>0</v>
      </c>
      <c r="AL97" s="35">
        <v>0</v>
      </c>
      <c r="AM97" s="35">
        <v>0</v>
      </c>
      <c r="AN97" s="35">
        <v>0</v>
      </c>
      <c r="AO97" s="35">
        <v>0</v>
      </c>
      <c r="AP97" s="35">
        <v>0</v>
      </c>
      <c r="AQ97" s="35">
        <v>0</v>
      </c>
      <c r="AR97" s="35">
        <v>0</v>
      </c>
      <c r="AS97" s="35">
        <v>0</v>
      </c>
      <c r="AT97" s="35">
        <v>0</v>
      </c>
      <c r="AU97" s="35">
        <v>0</v>
      </c>
      <c r="AV97" s="35">
        <v>0</v>
      </c>
      <c r="AW97" s="35">
        <v>0</v>
      </c>
      <c r="AX97" s="35">
        <v>0</v>
      </c>
      <c r="AY97" s="35">
        <v>0</v>
      </c>
      <c r="AZ97" s="35">
        <v>0</v>
      </c>
      <c r="BA97" s="35">
        <v>0</v>
      </c>
      <c r="BB97" s="35">
        <v>0</v>
      </c>
      <c r="BC97" s="35">
        <v>0</v>
      </c>
      <c r="BD97" s="35">
        <v>0</v>
      </c>
      <c r="BE97" s="35">
        <v>0</v>
      </c>
      <c r="BF97" s="35">
        <v>0</v>
      </c>
      <c r="BG97" s="35">
        <v>0</v>
      </c>
      <c r="BH97" s="35">
        <v>0</v>
      </c>
      <c r="BJ97" s="22">
        <f>SUM(B97:BI97)</f>
        <v>0</v>
      </c>
      <c r="BL97" s="22"/>
    </row>
    <row r="98" spans="1:64" s="45" customFormat="1" ht="24" customHeight="1" x14ac:dyDescent="0.25">
      <c r="A98" s="47" t="s">
        <v>287</v>
      </c>
      <c r="B98" s="49">
        <f>+B91+B93+B95+B97</f>
        <v>1398.9729767908616</v>
      </c>
      <c r="C98" s="49">
        <f t="shared" ref="C98:BH98" si="10">+C91+C93+C95+C97</f>
        <v>1399.0870838548797</v>
      </c>
      <c r="D98" s="49">
        <f t="shared" ref="D98" si="11">+D91+D93+D95+D97</f>
        <v>1399.2012303413287</v>
      </c>
      <c r="E98" s="49">
        <f t="shared" ref="E98" si="12">+E91+E93+E95+E97</f>
        <v>1399.3154162638284</v>
      </c>
      <c r="F98" s="49">
        <f t="shared" ref="F98" si="13">+F91+F93+F95+F97</f>
        <v>1399.4296416360035</v>
      </c>
      <c r="G98" s="49">
        <f t="shared" ref="G98" si="14">+G91+G93+G95+G97</f>
        <v>1399.5439064714833</v>
      </c>
      <c r="H98" s="49">
        <f t="shared" ref="H98" si="15">+H91+H93+H95+H97</f>
        <v>1399.6582107839019</v>
      </c>
      <c r="I98" s="49">
        <f t="shared" ref="I98" si="16">+I91+I93+I95+I97</f>
        <v>1399.7725545868982</v>
      </c>
      <c r="J98" s="49">
        <f t="shared" ref="J98" si="17">+J91+J93+J95+J97</f>
        <v>1399.8869378941154</v>
      </c>
      <c r="K98" s="49">
        <f t="shared" ref="K98" si="18">+K91+K93+K95+K97</f>
        <v>1400.0013607192018</v>
      </c>
      <c r="L98" s="49">
        <f t="shared" ref="L98" si="19">+L91+L93+L95+L97</f>
        <v>1400.1158230758101</v>
      </c>
      <c r="M98" s="49">
        <f t="shared" ref="M98" si="20">+M91+M93+M95+M97</f>
        <v>1400.230324977598</v>
      </c>
      <c r="N98" s="49">
        <f t="shared" ref="N98" si="21">+N91+N93+N95+N97</f>
        <v>1400.3448664382279</v>
      </c>
      <c r="O98" s="49">
        <f t="shared" ref="O98" si="22">+O91+O93+O95+O97</f>
        <v>1400.4594474713667</v>
      </c>
      <c r="P98" s="49">
        <f t="shared" ref="P98" si="23">+P91+P93+P95+P97</f>
        <v>1400.5740680906865</v>
      </c>
      <c r="Q98" s="49">
        <f t="shared" ref="Q98" si="24">+Q91+Q93+Q95+Q97</f>
        <v>1400.6887283098636</v>
      </c>
      <c r="R98" s="49">
        <f t="shared" ref="R98" si="25">+R91+R93+R95+R97</f>
        <v>1400.8034281425787</v>
      </c>
      <c r="S98" s="49">
        <f t="shared" ref="S98" si="26">+S91+S93+S95+S97</f>
        <v>1400.9181676025185</v>
      </c>
      <c r="T98" s="49">
        <f t="shared" ref="T98" si="27">+T91+T93+T95+T97</f>
        <v>1401.0329467033732</v>
      </c>
      <c r="U98" s="49">
        <f t="shared" ref="U98" si="28">+U91+U93+U95+U97</f>
        <v>1401.1477654588384</v>
      </c>
      <c r="V98" s="49">
        <f t="shared" ref="V98" si="29">+V91+V93+V95+V97</f>
        <v>1401.2626238826142</v>
      </c>
      <c r="W98" s="49">
        <f t="shared" ref="W98" si="30">+W91+W93+W95+W97</f>
        <v>1401.3775219884055</v>
      </c>
      <c r="X98" s="49">
        <f t="shared" ref="X98" si="31">+X91+X93+X95+X97</f>
        <v>1401.4924597899217</v>
      </c>
      <c r="Y98" s="49">
        <f t="shared" ref="Y98" si="32">+Y91+Y93+Y95+Y97</f>
        <v>1401.6074373008773</v>
      </c>
      <c r="Z98" s="49">
        <f t="shared" ref="Z98" si="33">+Z91+Z93+Z95+Z97</f>
        <v>1401.7224545349914</v>
      </c>
      <c r="AA98" s="49">
        <f t="shared" ref="AA98" si="34">+AA91+AA93+AA95+AA97</f>
        <v>1401.8375115059875</v>
      </c>
      <c r="AB98" s="49">
        <f t="shared" ref="AB98" si="35">+AB91+AB93+AB95+AB97</f>
        <v>1401.9526082275945</v>
      </c>
      <c r="AC98" s="49">
        <f t="shared" ref="AC98" si="36">+AC91+AC93+AC95+AC97</f>
        <v>1402.0677447135456</v>
      </c>
      <c r="AD98" s="49">
        <f t="shared" ref="AD98" si="37">+AD91+AD93+AD95+AD97</f>
        <v>1402.182920977579</v>
      </c>
      <c r="AE98" s="49">
        <f t="shared" ref="AE98" si="38">+AE91+AE93+AE95+AE97</f>
        <v>1402.2981370334369</v>
      </c>
      <c r="AF98" s="49">
        <f t="shared" ref="AF98" si="39">+AF91+AF93+AF95+AF97</f>
        <v>1402.4133928948675</v>
      </c>
      <c r="AG98" s="49">
        <f t="shared" ref="AG98" si="40">+AG91+AG93+AG95+AG97</f>
        <v>1402.5286885756225</v>
      </c>
      <c r="AH98" s="49">
        <f t="shared" ref="AH98" si="41">+AH91+AH93+AH95+AH97</f>
        <v>1402.6440240894597</v>
      </c>
      <c r="AI98" s="49">
        <f t="shared" ref="AI98" si="42">+AI91+AI93+AI95+AI97</f>
        <v>1402.7593994501399</v>
      </c>
      <c r="AJ98" s="49">
        <f t="shared" ref="AJ98" si="43">+AJ91+AJ93+AJ95+AJ97</f>
        <v>1402.8748146714304</v>
      </c>
      <c r="AK98" s="49">
        <f t="shared" ref="AK98" si="44">+AK91+AK93+AK95+AK97</f>
        <v>1402.9902697671023</v>
      </c>
      <c r="AL98" s="49">
        <f t="shared" ref="AL98" si="45">+AL91+AL93+AL95+AL97</f>
        <v>1403.1057647509317</v>
      </c>
      <c r="AM98" s="49">
        <f t="shared" ref="AM98" si="46">+AM91+AM93+AM95+AM97</f>
        <v>1403.2212996366991</v>
      </c>
      <c r="AN98" s="49">
        <f t="shared" ref="AN98" si="47">+AN91+AN93+AN95+AN97</f>
        <v>1403.3368744381905</v>
      </c>
      <c r="AO98" s="49">
        <f t="shared" ref="AO98" si="48">+AO91+AO93+AO95+AO97</f>
        <v>1403.4524891691958</v>
      </c>
      <c r="AP98" s="49">
        <f t="shared" ref="AP98" si="49">+AP91+AP93+AP95+AP97</f>
        <v>1403.5681438435106</v>
      </c>
      <c r="AQ98" s="49">
        <f t="shared" ref="AQ98" si="50">+AQ91+AQ93+AQ95+AQ97</f>
        <v>1403.6838384749342</v>
      </c>
      <c r="AR98" s="49">
        <f t="shared" ref="AR98" si="51">+AR91+AR93+AR95+AR97</f>
        <v>1403.7995730772716</v>
      </c>
      <c r="AS98" s="49">
        <f t="shared" ref="AS98" si="52">+AS91+AS93+AS95+AS97</f>
        <v>1403.9153476643323</v>
      </c>
      <c r="AT98" s="49">
        <f t="shared" ref="AT98" si="53">+AT91+AT93+AT95+AT97</f>
        <v>1404.0311622499303</v>
      </c>
      <c r="AU98" s="49">
        <f t="shared" ref="AU98" si="54">+AU91+AU93+AU95+AU97</f>
        <v>1404.1470168478845</v>
      </c>
      <c r="AV98" s="49">
        <f t="shared" ref="AV98" si="55">+AV91+AV93+AV95+AV97</f>
        <v>1404.2629114720187</v>
      </c>
      <c r="AW98" s="49">
        <f t="shared" ref="AW98" si="56">+AW91+AW93+AW95+AW97</f>
        <v>1404.3788461361614</v>
      </c>
      <c r="AX98" s="49">
        <f t="shared" ref="AX98" si="57">+AX91+AX93+AX95+AX97</f>
        <v>1404.4948208541459</v>
      </c>
      <c r="AY98" s="49">
        <f t="shared" ref="AY98" si="58">+AY91+AY93+AY95+AY97</f>
        <v>1404.6108356398101</v>
      </c>
      <c r="AZ98" s="49">
        <f t="shared" ref="AZ98" si="59">+AZ91+AZ93+AZ95+AZ97</f>
        <v>1404.7268905069971</v>
      </c>
      <c r="BA98" s="49">
        <f t="shared" ref="BA98" si="60">+BA91+BA93+BA95+BA97</f>
        <v>1404.8429854695544</v>
      </c>
      <c r="BB98" s="49">
        <f t="shared" ref="BB98" si="61">+BB91+BB93+BB95+BB97</f>
        <v>1404.9591205413342</v>
      </c>
      <c r="BC98" s="49">
        <f t="shared" ref="BC98" si="62">+BC91+BC93+BC95+BC97</f>
        <v>1405.0752957361938</v>
      </c>
      <c r="BD98" s="49">
        <f t="shared" ref="BD98" si="63">+BD91+BD93+BD95+BD97</f>
        <v>1405.1915110679954</v>
      </c>
      <c r="BE98" s="49">
        <f t="shared" ref="BE98" si="64">+BE91+BE93+BE95+BE97</f>
        <v>1405.3077665506055</v>
      </c>
      <c r="BF98" s="49">
        <f t="shared" ref="BF98" si="65">+BF91+BF93+BF95+BF97</f>
        <v>1405.4240621978959</v>
      </c>
      <c r="BG98" s="49">
        <f t="shared" ref="BG98" si="66">+BG91+BG93+BG95+BG97</f>
        <v>1405.5403980237427</v>
      </c>
      <c r="BH98" s="49">
        <f t="shared" ref="BH98" si="67">+BH91+BH93+BH95+BH97</f>
        <v>1405.6567740420271</v>
      </c>
      <c r="BJ98" s="22">
        <f>SUM(B98:BI98)</f>
        <v>82735.930623408291</v>
      </c>
      <c r="BL98" s="22"/>
    </row>
    <row r="99" spans="1:64" ht="21" customHeight="1" x14ac:dyDescent="0.25">
      <c r="A99" s="36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</row>
    <row r="100" spans="1:64" ht="24" customHeight="1" x14ac:dyDescent="0.25">
      <c r="A100" s="38" t="s">
        <v>106</v>
      </c>
      <c r="B100" s="39">
        <f>+B$55+B$63</f>
        <v>4019789.2849010369</v>
      </c>
      <c r="C100" s="39">
        <f>+C$55+C$63</f>
        <v>4021178.0671528317</v>
      </c>
      <c r="D100" s="39">
        <f t="shared" ref="D100:BH100" si="68">+D$55+D$63</f>
        <v>4022567.3292099116</v>
      </c>
      <c r="E100" s="39">
        <f t="shared" si="68"/>
        <v>4023957.0712380423</v>
      </c>
      <c r="F100" s="39">
        <f t="shared" si="68"/>
        <v>4025347.2934030476</v>
      </c>
      <c r="G100" s="39">
        <f t="shared" si="68"/>
        <v>4026737.9958708081</v>
      </c>
      <c r="H100" s="39">
        <f t="shared" si="68"/>
        <v>4028129.1788072619</v>
      </c>
      <c r="I100" s="39">
        <f t="shared" si="68"/>
        <v>4029520.842378404</v>
      </c>
      <c r="J100" s="39">
        <f t="shared" si="68"/>
        <v>4030912.9867502875</v>
      </c>
      <c r="K100" s="39">
        <f t="shared" si="68"/>
        <v>4032305.6120890225</v>
      </c>
      <c r="L100" s="39">
        <f t="shared" si="68"/>
        <v>4033698.7185607762</v>
      </c>
      <c r="M100" s="39">
        <f t="shared" si="68"/>
        <v>4035092.3063317738</v>
      </c>
      <c r="N100" s="39">
        <f t="shared" si="68"/>
        <v>4036486.3755682972</v>
      </c>
      <c r="O100" s="39">
        <f t="shared" si="68"/>
        <v>4037880.9264366864</v>
      </c>
      <c r="P100" s="39">
        <f t="shared" si="68"/>
        <v>4039275.9591033389</v>
      </c>
      <c r="Q100" s="39">
        <f t="shared" si="68"/>
        <v>4040671.473734709</v>
      </c>
      <c r="R100" s="39">
        <f t="shared" si="68"/>
        <v>4042067.4704973092</v>
      </c>
      <c r="S100" s="39">
        <f t="shared" si="68"/>
        <v>4043463.949557709</v>
      </c>
      <c r="T100" s="39">
        <f t="shared" si="68"/>
        <v>4044860.911082536</v>
      </c>
      <c r="U100" s="39">
        <f t="shared" si="68"/>
        <v>4046258.3552384749</v>
      </c>
      <c r="V100" s="39">
        <f t="shared" si="68"/>
        <v>4047656.2821922679</v>
      </c>
      <c r="W100" s="39">
        <f t="shared" si="68"/>
        <v>4049054.6921107154</v>
      </c>
      <c r="X100" s="39">
        <f t="shared" si="68"/>
        <v>4050453.585160675</v>
      </c>
      <c r="Y100" s="39">
        <f t="shared" si="68"/>
        <v>4051852.961509062</v>
      </c>
      <c r="Z100" s="39">
        <f t="shared" si="68"/>
        <v>4053252.8213228495</v>
      </c>
      <c r="AA100" s="39">
        <f t="shared" si="68"/>
        <v>4054653.1647690679</v>
      </c>
      <c r="AB100" s="39">
        <f t="shared" si="68"/>
        <v>4056053.9920148058</v>
      </c>
      <c r="AC100" s="39">
        <f t="shared" si="68"/>
        <v>4057455.3032272095</v>
      </c>
      <c r="AD100" s="39">
        <f t="shared" si="68"/>
        <v>4058857.0985734826</v>
      </c>
      <c r="AE100" s="39">
        <f t="shared" si="68"/>
        <v>4060259.3782208869</v>
      </c>
      <c r="AF100" s="39">
        <f t="shared" si="68"/>
        <v>4061662.1423367416</v>
      </c>
      <c r="AG100" s="39">
        <f t="shared" si="68"/>
        <v>4063065.3910884243</v>
      </c>
      <c r="AH100" s="39">
        <f t="shared" si="68"/>
        <v>4064469.1246433696</v>
      </c>
      <c r="AI100" s="39">
        <f t="shared" si="68"/>
        <v>4065873.3431690708</v>
      </c>
      <c r="AJ100" s="39">
        <f t="shared" si="68"/>
        <v>4067278.0468330784</v>
      </c>
      <c r="AK100" s="39">
        <f t="shared" si="68"/>
        <v>4068683.2358030011</v>
      </c>
      <c r="AL100" s="39">
        <f t="shared" si="68"/>
        <v>4070088.9102465054</v>
      </c>
      <c r="AM100" s="39">
        <f t="shared" si="68"/>
        <v>4071495.070331316</v>
      </c>
      <c r="AN100" s="39">
        <f t="shared" si="68"/>
        <v>4072901.7162252152</v>
      </c>
      <c r="AO100" s="39">
        <f t="shared" si="68"/>
        <v>4074308.8480960438</v>
      </c>
      <c r="AP100" s="39">
        <f t="shared" si="68"/>
        <v>4075716.4661116996</v>
      </c>
      <c r="AQ100" s="39">
        <f t="shared" si="68"/>
        <v>4077124.5704401392</v>
      </c>
      <c r="AR100" s="39">
        <f t="shared" si="68"/>
        <v>4078533.1612493768</v>
      </c>
      <c r="AS100" s="39">
        <f t="shared" si="68"/>
        <v>4079942.2387074851</v>
      </c>
      <c r="AT100" s="39">
        <f t="shared" si="68"/>
        <v>4081351.8029825948</v>
      </c>
      <c r="AU100" s="39">
        <f t="shared" si="68"/>
        <v>4082761.8542428943</v>
      </c>
      <c r="AV100" s="39">
        <f t="shared" si="68"/>
        <v>4084172.3926566304</v>
      </c>
      <c r="AW100" s="39">
        <f t="shared" si="68"/>
        <v>4085583.4183921078</v>
      </c>
      <c r="AX100" s="39">
        <f t="shared" si="68"/>
        <v>4086994.9316176898</v>
      </c>
      <c r="AY100" s="39">
        <f t="shared" si="68"/>
        <v>4088406.9325017971</v>
      </c>
      <c r="AZ100" s="39">
        <f t="shared" si="68"/>
        <v>4089819.4212129097</v>
      </c>
      <c r="BA100" s="39">
        <f t="shared" si="68"/>
        <v>4091232.397919565</v>
      </c>
      <c r="BB100" s="39">
        <f t="shared" si="68"/>
        <v>4092645.8627903583</v>
      </c>
      <c r="BC100" s="39">
        <f t="shared" si="68"/>
        <v>4094059.8159939437</v>
      </c>
      <c r="BD100" s="39">
        <f t="shared" si="68"/>
        <v>4095474.2576990342</v>
      </c>
      <c r="BE100" s="39">
        <f t="shared" si="68"/>
        <v>4096889.1880743997</v>
      </c>
      <c r="BF100" s="39">
        <f t="shared" si="68"/>
        <v>4098304.6072888696</v>
      </c>
      <c r="BG100" s="39">
        <f t="shared" si="68"/>
        <v>4099720.5155113307</v>
      </c>
      <c r="BH100" s="39">
        <f t="shared" si="68"/>
        <v>4101136.9129107287</v>
      </c>
    </row>
    <row r="101" spans="1:64" ht="24" customHeight="1" x14ac:dyDescent="0.25">
      <c r="A101" s="19" t="s">
        <v>107</v>
      </c>
      <c r="B101" s="20">
        <f>+B100/B58</f>
        <v>1.0003469755713505</v>
      </c>
      <c r="C101" s="20">
        <f>+C100/C58</f>
        <v>1.0006925817777574</v>
      </c>
      <c r="D101" s="20">
        <f>+D100/D58</f>
        <v>1.0010383073863847</v>
      </c>
      <c r="E101" s="20">
        <f>+E100/E58</f>
        <v>1.0013841524384841</v>
      </c>
      <c r="F101" s="20">
        <f>+F100/F58</f>
        <v>1.0017301169753217</v>
      </c>
      <c r="G101" s="20">
        <f>+G100/G58</f>
        <v>1.0020762010381776</v>
      </c>
      <c r="H101" s="20">
        <f>+H100/H58</f>
        <v>1.002422404668347</v>
      </c>
      <c r="I101" s="20">
        <f>+I100/I58</f>
        <v>1.002768727907138</v>
      </c>
      <c r="J101" s="20">
        <f>+J100/J58</f>
        <v>1.0031151707958743</v>
      </c>
      <c r="K101" s="20">
        <f>+K100/K58</f>
        <v>1.0034617333758933</v>
      </c>
      <c r="L101" s="20">
        <f>+L100/L58</f>
        <v>1.0038084156885463</v>
      </c>
      <c r="M101" s="20">
        <f>+M100/M58</f>
        <v>1.0041552177751998</v>
      </c>
      <c r="N101" s="20">
        <f>+N100/N58</f>
        <v>1.0045021396772336</v>
      </c>
      <c r="O101" s="20">
        <f>+O100/O58</f>
        <v>1.0048491814360425</v>
      </c>
      <c r="P101" s="20">
        <f>+P100/P58</f>
        <v>1.0051963430930355</v>
      </c>
      <c r="Q101" s="20">
        <f>+Q100/Q58</f>
        <v>1.0055436246896359</v>
      </c>
      <c r="R101" s="20">
        <f>+R100/R58</f>
        <v>1.0058910262672807</v>
      </c>
      <c r="S101" s="20">
        <f>+S100/S58</f>
        <v>1.0062385478674221</v>
      </c>
      <c r="T101" s="20">
        <f>+T100/T58</f>
        <v>1.0065861895315258</v>
      </c>
      <c r="U101" s="20">
        <f>+U100/U58</f>
        <v>1.0069339513010729</v>
      </c>
      <c r="V101" s="20">
        <f>+V100/V58</f>
        <v>1.0072818332175577</v>
      </c>
      <c r="W101" s="20">
        <f>+W100/W58</f>
        <v>1.0076298353224895</v>
      </c>
      <c r="X101" s="20">
        <f>+X100/X58</f>
        <v>1.0079779576573917</v>
      </c>
      <c r="Y101" s="20">
        <f>+Y100/Y58</f>
        <v>1.0083262002638023</v>
      </c>
      <c r="Z101" s="20">
        <f>+Z100/Z58</f>
        <v>1.0086745631832732</v>
      </c>
      <c r="AA101" s="20">
        <f>+AA100/AA58</f>
        <v>1.0090230464573711</v>
      </c>
      <c r="AB101" s="20">
        <f>+AB100/AB58</f>
        <v>1.0093716501276768</v>
      </c>
      <c r="AC101" s="20">
        <f>+AC100/AC58</f>
        <v>1.0097203742357856</v>
      </c>
      <c r="AD101" s="20">
        <f>+AD100/AD58</f>
        <v>1.0100692188233069</v>
      </c>
      <c r="AE101" s="20">
        <f>+AE100/AE58</f>
        <v>1.0104181839318651</v>
      </c>
      <c r="AF101" s="20">
        <f>+AF100/AF58</f>
        <v>1.010767269603098</v>
      </c>
      <c r="AG101" s="20">
        <f>+AG100/AG58</f>
        <v>1.011116475878659</v>
      </c>
      <c r="AH101" s="20">
        <f>+AH100/AH58</f>
        <v>1.0114658028002148</v>
      </c>
      <c r="AI101" s="20">
        <f>+AI100/AI58</f>
        <v>1.0118152504094473</v>
      </c>
      <c r="AJ101" s="20">
        <f>+AJ100/AJ58</f>
        <v>1.0121648187480521</v>
      </c>
      <c r="AK101" s="20">
        <f>+AK100/AK58</f>
        <v>1.0125145078577396</v>
      </c>
      <c r="AL101" s="20">
        <f>+AL100/AL58</f>
        <v>1.0128643177802346</v>
      </c>
      <c r="AM101" s="20">
        <f>+AM100/AM58</f>
        <v>1.0132142485572762</v>
      </c>
      <c r="AN101" s="20">
        <f>+AN100/AN58</f>
        <v>1.0135643002306183</v>
      </c>
      <c r="AO101" s="20">
        <f>+AO100/AO58</f>
        <v>1.0139144728420286</v>
      </c>
      <c r="AP101" s="20">
        <f>+AP100/AP58</f>
        <v>1.0142647664332898</v>
      </c>
      <c r="AQ101" s="20">
        <f>+AQ100/AQ58</f>
        <v>1.0146151810461985</v>
      </c>
      <c r="AR101" s="20">
        <f>+AR100/AR58</f>
        <v>1.0149657167225663</v>
      </c>
      <c r="AS101" s="20">
        <f>+AS100/AS58</f>
        <v>1.0153163735042188</v>
      </c>
      <c r="AT101" s="20">
        <f>+AT100/AT58</f>
        <v>1.0156671514329962</v>
      </c>
      <c r="AU101" s="20">
        <f>+AU100/AU58</f>
        <v>1.0160180505507532</v>
      </c>
      <c r="AV101" s="20">
        <f>+AV100/AV58</f>
        <v>1.0163690708993591</v>
      </c>
      <c r="AW101" s="20">
        <f>+AW100/AW58</f>
        <v>1.0167202125206973</v>
      </c>
      <c r="AX101" s="20">
        <f>+AX100/AX58</f>
        <v>1.0170714754566661</v>
      </c>
      <c r="AY101" s="20">
        <f>+AY100/AY58</f>
        <v>1.0174228597491777</v>
      </c>
      <c r="AZ101" s="20">
        <f>+AZ100/AZ58</f>
        <v>1.0177743654401594</v>
      </c>
      <c r="BA101" s="20">
        <f>+BA100/BA58</f>
        <v>1.0181259925715529</v>
      </c>
      <c r="BB101" s="20">
        <f>+BB100/BB58</f>
        <v>1.0184777411853136</v>
      </c>
      <c r="BC101" s="20">
        <f>+BC100/BC58</f>
        <v>1.0188296113234123</v>
      </c>
      <c r="BD101" s="20">
        <f>+BD100/BD58</f>
        <v>1.0191816030278342</v>
      </c>
      <c r="BE101" s="20">
        <f>+BE100/BE58</f>
        <v>1.0195337163405787</v>
      </c>
      <c r="BF101" s="20">
        <f>+BF100/BF58</f>
        <v>1.0198859513036598</v>
      </c>
      <c r="BG101" s="20">
        <f>+BG100/BG58</f>
        <v>1.0202383079591058</v>
      </c>
      <c r="BH101" s="20">
        <f>+BH100/BH58</f>
        <v>1.0205907863489598</v>
      </c>
    </row>
    <row r="103" spans="1:64" x14ac:dyDescent="0.25">
      <c r="B103" s="55">
        <f>+B$101-B$59</f>
        <v>3.4697557135054957E-4</v>
      </c>
      <c r="C103" s="55">
        <f t="shared" ref="C103:BH103" si="69">+C$101-C$59</f>
        <v>3.4560620640688988E-4</v>
      </c>
      <c r="D103" s="55">
        <f t="shared" si="69"/>
        <v>3.4572560862722312E-4</v>
      </c>
      <c r="E103" s="55">
        <f t="shared" si="69"/>
        <v>3.4584505209944716E-4</v>
      </c>
      <c r="F103" s="55">
        <f t="shared" si="69"/>
        <v>3.459645368375508E-4</v>
      </c>
      <c r="G103" s="55">
        <f t="shared" si="69"/>
        <v>3.4608406285596693E-4</v>
      </c>
      <c r="H103" s="55">
        <f t="shared" si="69"/>
        <v>3.4620363016935052E-4</v>
      </c>
      <c r="I103" s="55">
        <f t="shared" si="69"/>
        <v>3.4632323879102422E-4</v>
      </c>
      <c r="J103" s="55">
        <f t="shared" si="69"/>
        <v>3.4644288873630913E-4</v>
      </c>
      <c r="K103" s="55">
        <f t="shared" si="69"/>
        <v>3.46562580018972E-4</v>
      </c>
      <c r="L103" s="55">
        <f t="shared" si="69"/>
        <v>3.4668231265300165E-4</v>
      </c>
      <c r="M103" s="55">
        <f t="shared" si="69"/>
        <v>3.468020866534971E-4</v>
      </c>
      <c r="N103" s="55">
        <f t="shared" si="69"/>
        <v>3.4692190203378104E-4</v>
      </c>
      <c r="O103" s="55">
        <f t="shared" si="69"/>
        <v>3.4704175880895249E-4</v>
      </c>
      <c r="P103" s="55">
        <f t="shared" si="69"/>
        <v>3.4716165699300028E-4</v>
      </c>
      <c r="Q103" s="55">
        <f t="shared" si="69"/>
        <v>3.4728159660035729E-4</v>
      </c>
      <c r="R103" s="55">
        <f t="shared" si="69"/>
        <v>3.4740157764479029E-4</v>
      </c>
      <c r="S103" s="55">
        <f t="shared" si="69"/>
        <v>3.4752160014139832E-4</v>
      </c>
      <c r="T103" s="55">
        <f t="shared" si="69"/>
        <v>3.476416641037261E-4</v>
      </c>
      <c r="U103" s="55">
        <f t="shared" si="69"/>
        <v>3.477617695470947E-4</v>
      </c>
      <c r="V103" s="55">
        <f t="shared" si="69"/>
        <v>3.478819164848268E-4</v>
      </c>
      <c r="W103" s="55">
        <f t="shared" si="69"/>
        <v>3.4800210493179939E-4</v>
      </c>
      <c r="X103" s="55">
        <f t="shared" si="69"/>
        <v>3.4812233490222333E-4</v>
      </c>
      <c r="Y103" s="55">
        <f t="shared" si="69"/>
        <v>3.4824260641053151E-4</v>
      </c>
      <c r="Z103" s="55">
        <f t="shared" si="69"/>
        <v>3.4836291947093478E-4</v>
      </c>
      <c r="AA103" s="55">
        <f t="shared" si="69"/>
        <v>3.4848327409786606E-4</v>
      </c>
      <c r="AB103" s="55">
        <f t="shared" si="69"/>
        <v>3.4860367030575823E-4</v>
      </c>
      <c r="AC103" s="55">
        <f t="shared" si="69"/>
        <v>3.4872410810882215E-4</v>
      </c>
      <c r="AD103" s="55">
        <f t="shared" si="69"/>
        <v>3.4884458752126868E-4</v>
      </c>
      <c r="AE103" s="55">
        <f t="shared" si="69"/>
        <v>3.4896510855819685E-4</v>
      </c>
      <c r="AF103" s="55">
        <f t="shared" si="69"/>
        <v>3.4908567123292933E-4</v>
      </c>
      <c r="AG103" s="55">
        <f t="shared" si="69"/>
        <v>3.4920627556100925E-4</v>
      </c>
      <c r="AH103" s="55">
        <f t="shared" si="69"/>
        <v>3.4932692155575928E-4</v>
      </c>
      <c r="AI103" s="55">
        <f t="shared" si="69"/>
        <v>3.4944760923250051E-4</v>
      </c>
      <c r="AJ103" s="55">
        <f t="shared" si="69"/>
        <v>3.4956833860477765E-4</v>
      </c>
      <c r="AK103" s="55">
        <f t="shared" si="69"/>
        <v>3.4968910968746769E-4</v>
      </c>
      <c r="AL103" s="55">
        <f t="shared" si="69"/>
        <v>3.4980992249500353E-4</v>
      </c>
      <c r="AM103" s="55">
        <f t="shared" si="69"/>
        <v>3.4993077704159603E-4</v>
      </c>
      <c r="AN103" s="55">
        <f t="shared" si="69"/>
        <v>3.5005167334212217E-4</v>
      </c>
      <c r="AO103" s="55">
        <f t="shared" si="69"/>
        <v>3.5017261141034872E-4</v>
      </c>
      <c r="AP103" s="55">
        <f t="shared" si="69"/>
        <v>3.5029359126115267E-4</v>
      </c>
      <c r="AQ103" s="55">
        <f t="shared" si="69"/>
        <v>3.5041461290874487E-4</v>
      </c>
      <c r="AR103" s="55">
        <f t="shared" si="69"/>
        <v>3.5053567636778027E-4</v>
      </c>
      <c r="AS103" s="55">
        <f t="shared" si="69"/>
        <v>3.5065678165246972E-4</v>
      </c>
      <c r="AT103" s="55">
        <f t="shared" si="69"/>
        <v>3.5077792877746816E-4</v>
      </c>
      <c r="AU103" s="55">
        <f t="shared" si="69"/>
        <v>3.5089911775698646E-4</v>
      </c>
      <c r="AV103" s="55">
        <f t="shared" si="69"/>
        <v>3.5102034860590159E-4</v>
      </c>
      <c r="AW103" s="55">
        <f t="shared" si="69"/>
        <v>3.5114162133820237E-4</v>
      </c>
      <c r="AX103" s="55">
        <f t="shared" si="69"/>
        <v>3.5126293596876579E-4</v>
      </c>
      <c r="AY103" s="55">
        <f t="shared" si="69"/>
        <v>3.5138429251158065E-4</v>
      </c>
      <c r="AZ103" s="55">
        <f t="shared" si="69"/>
        <v>3.51505690981746E-4</v>
      </c>
      <c r="BA103" s="55">
        <f t="shared" si="69"/>
        <v>3.5162713139347268E-4</v>
      </c>
      <c r="BB103" s="55">
        <f t="shared" si="69"/>
        <v>3.5174861376074951E-4</v>
      </c>
      <c r="BC103" s="55">
        <f t="shared" si="69"/>
        <v>3.5187013809867551E-4</v>
      </c>
      <c r="BD103" s="55">
        <f t="shared" si="69"/>
        <v>3.5199170442190564E-4</v>
      </c>
      <c r="BE103" s="55">
        <f t="shared" si="69"/>
        <v>3.521133127444287E-4</v>
      </c>
      <c r="BF103" s="55">
        <f t="shared" si="69"/>
        <v>3.5223496308112168E-4</v>
      </c>
      <c r="BG103" s="55">
        <f t="shared" si="69"/>
        <v>3.5235665544597339E-4</v>
      </c>
      <c r="BH103" s="55">
        <f t="shared" si="69"/>
        <v>3.5247838985408286E-4</v>
      </c>
      <c r="BJ103" s="22">
        <f>SUM(B103:BI103)</f>
        <v>2.0590786348959833E-2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L197"/>
  <sheetViews>
    <sheetView showGridLines="0" workbookViewId="0">
      <pane xSplit="1" ySplit="1" topLeftCell="B105" activePane="bottomRight" state="frozen"/>
      <selection pane="topRight"/>
      <selection pane="bottomLeft"/>
      <selection pane="bottomRight" activeCell="B197" sqref="B197"/>
    </sheetView>
  </sheetViews>
  <sheetFormatPr baseColWidth="10" defaultColWidth="9.140625" defaultRowHeight="15" outlineLevelRow="1" outlineLevelCol="1" x14ac:dyDescent="0.25"/>
  <cols>
    <col min="1" max="1" width="40" style="25" customWidth="1"/>
    <col min="2" max="2" width="15" style="25" customWidth="1"/>
    <col min="3" max="59" width="15" style="25" customWidth="1" outlineLevel="1"/>
    <col min="60" max="60" width="15" style="25" customWidth="1"/>
    <col min="61" max="61" width="9.140625" style="25"/>
    <col min="62" max="62" width="15.7109375" style="25" customWidth="1"/>
    <col min="63" max="63" width="9.140625" style="25"/>
    <col min="64" max="64" width="15.7109375" style="25" customWidth="1"/>
    <col min="65" max="16384" width="9.140625" style="25"/>
  </cols>
  <sheetData>
    <row r="1" spans="1:60" ht="27.95" customHeigh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</row>
    <row r="2" spans="1:60" ht="21" customHeight="1" x14ac:dyDescent="0.25">
      <c r="A2" s="26" t="s">
        <v>137</v>
      </c>
      <c r="B2" s="27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32.783333333333339</v>
      </c>
      <c r="V2" s="27">
        <v>32.783333333333339</v>
      </c>
      <c r="W2" s="27">
        <v>32.783333333333339</v>
      </c>
      <c r="X2" s="27">
        <v>32.783333333333339</v>
      </c>
      <c r="Y2" s="27">
        <v>32.783333333333339</v>
      </c>
      <c r="Z2" s="27">
        <v>32.783333333333339</v>
      </c>
      <c r="AA2" s="27">
        <v>32.783333333333339</v>
      </c>
      <c r="AB2" s="27">
        <v>32.783333333333339</v>
      </c>
      <c r="AC2" s="27">
        <v>32.783333333333339</v>
      </c>
      <c r="AD2" s="27">
        <v>32.783333333333339</v>
      </c>
      <c r="AE2" s="27">
        <v>32.783333333333339</v>
      </c>
      <c r="AF2" s="27">
        <v>32.783333333333339</v>
      </c>
      <c r="AG2" s="27">
        <v>32.783333333333339</v>
      </c>
      <c r="AH2" s="27">
        <v>32.783333333333339</v>
      </c>
      <c r="AI2" s="27">
        <v>32.783333333333339</v>
      </c>
      <c r="AJ2" s="27">
        <v>32.783333333333339</v>
      </c>
      <c r="AK2" s="27">
        <v>32.783333333333339</v>
      </c>
      <c r="AL2" s="27">
        <v>32.783333333333339</v>
      </c>
      <c r="AM2" s="27">
        <v>32.783333333333339</v>
      </c>
      <c r="AN2" s="27">
        <v>32.783333333333339</v>
      </c>
      <c r="AO2" s="27">
        <v>32.783333333333339</v>
      </c>
      <c r="AP2" s="27">
        <v>32.783333333333339</v>
      </c>
      <c r="AQ2" s="27">
        <v>32.783333333333339</v>
      </c>
      <c r="AR2" s="27">
        <v>32.783333333333339</v>
      </c>
      <c r="AS2" s="27">
        <v>32.783333333333339</v>
      </c>
      <c r="AT2" s="27">
        <v>32.783333333333339</v>
      </c>
      <c r="AU2" s="27">
        <v>32.783333333333339</v>
      </c>
      <c r="AV2" s="27">
        <v>32.783333333333339</v>
      </c>
      <c r="AW2" s="27">
        <v>32.783333333333339</v>
      </c>
      <c r="AX2" s="27">
        <v>32.783333333333339</v>
      </c>
      <c r="AY2" s="27">
        <v>32.783333333333339</v>
      </c>
      <c r="AZ2" s="27">
        <v>32.783333333333339</v>
      </c>
      <c r="BA2" s="27">
        <v>32.783333333333339</v>
      </c>
      <c r="BB2" s="27">
        <v>32.783333333333339</v>
      </c>
      <c r="BC2" s="27">
        <v>32.783333333333339</v>
      </c>
      <c r="BD2" s="27">
        <v>32.783333333333339</v>
      </c>
      <c r="BE2" s="27">
        <v>32.783333333333339</v>
      </c>
      <c r="BF2" s="27">
        <v>32.783333333333339</v>
      </c>
      <c r="BG2" s="27">
        <v>32.783333333333339</v>
      </c>
      <c r="BH2" s="27">
        <v>32.783333333333339</v>
      </c>
    </row>
    <row r="3" spans="1:60" ht="21" customHeight="1" x14ac:dyDescent="0.25">
      <c r="A3" s="26" t="s">
        <v>138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19.444444444444446</v>
      </c>
      <c r="O3" s="27">
        <v>19.444444444444446</v>
      </c>
      <c r="P3" s="27">
        <v>19.444444444444446</v>
      </c>
      <c r="Q3" s="27">
        <v>19.444444444444446</v>
      </c>
      <c r="R3" s="27">
        <v>19.444444444444446</v>
      </c>
      <c r="S3" s="27">
        <v>19.444444444444446</v>
      </c>
      <c r="T3" s="27">
        <v>19.444444444444446</v>
      </c>
      <c r="U3" s="27">
        <v>19.444444444444446</v>
      </c>
      <c r="V3" s="27">
        <v>19.444444444444446</v>
      </c>
      <c r="W3" s="27">
        <v>19.444444444444446</v>
      </c>
      <c r="X3" s="27">
        <v>19.444444444444446</v>
      </c>
      <c r="Y3" s="27">
        <v>19.444444444444446</v>
      </c>
      <c r="Z3" s="27">
        <v>19.444444444444446</v>
      </c>
      <c r="AA3" s="27">
        <v>19.444444444444446</v>
      </c>
      <c r="AB3" s="27">
        <v>19.444444444444446</v>
      </c>
      <c r="AC3" s="27">
        <v>19.444444444444446</v>
      </c>
      <c r="AD3" s="27">
        <v>19.444444444444446</v>
      </c>
      <c r="AE3" s="27">
        <v>19.444444444444446</v>
      </c>
      <c r="AF3" s="27">
        <v>19.444444444444446</v>
      </c>
      <c r="AG3" s="27">
        <v>19.444444444444446</v>
      </c>
      <c r="AH3" s="27">
        <v>19.444444444444446</v>
      </c>
      <c r="AI3" s="27">
        <v>19.444444444444446</v>
      </c>
      <c r="AJ3" s="27">
        <v>19.444444444444446</v>
      </c>
      <c r="AK3" s="27">
        <v>19.444444444444446</v>
      </c>
      <c r="AL3" s="27">
        <v>19.444444444444446</v>
      </c>
      <c r="AM3" s="27">
        <v>19.444444444444446</v>
      </c>
      <c r="AN3" s="27">
        <v>19.444444444444446</v>
      </c>
      <c r="AO3" s="27">
        <v>19.444444444444446</v>
      </c>
      <c r="AP3" s="27">
        <v>19.444444444444446</v>
      </c>
      <c r="AQ3" s="27">
        <v>19.444444444444446</v>
      </c>
      <c r="AR3" s="27">
        <v>19.444444444444446</v>
      </c>
      <c r="AS3" s="27">
        <v>19.444444444444446</v>
      </c>
      <c r="AT3" s="27">
        <v>19.444444444444446</v>
      </c>
      <c r="AU3" s="27">
        <v>19.444444444444446</v>
      </c>
      <c r="AV3" s="27">
        <v>19.444444444444446</v>
      </c>
      <c r="AW3" s="27">
        <v>19.444444444444446</v>
      </c>
      <c r="AX3" s="27">
        <v>19.444444444444446</v>
      </c>
      <c r="AY3" s="27">
        <v>19.444444444444446</v>
      </c>
      <c r="AZ3" s="27">
        <v>19.444444444444446</v>
      </c>
      <c r="BA3" s="27">
        <v>19.444444444444446</v>
      </c>
      <c r="BB3" s="27">
        <v>19.444444444444446</v>
      </c>
      <c r="BC3" s="27">
        <v>19.444444444444446</v>
      </c>
      <c r="BD3" s="27">
        <v>19.444444444444446</v>
      </c>
      <c r="BE3" s="27">
        <v>19.444444444444446</v>
      </c>
      <c r="BF3" s="27">
        <v>19.444444444444446</v>
      </c>
      <c r="BG3" s="27">
        <v>19.444444444444446</v>
      </c>
      <c r="BH3" s="27">
        <v>19.444444444444446</v>
      </c>
    </row>
    <row r="4" spans="1:60" ht="21" hidden="1" customHeight="1" outlineLevel="1" x14ac:dyDescent="0.25">
      <c r="A4" s="26" t="s">
        <v>139</v>
      </c>
      <c r="B4" s="27">
        <v>38.111111111111114</v>
      </c>
      <c r="C4" s="27">
        <v>38.111111111111114</v>
      </c>
      <c r="D4" s="27">
        <v>38.111111111111114</v>
      </c>
      <c r="E4" s="27">
        <v>38.111111111111114</v>
      </c>
      <c r="F4" s="27">
        <v>38.111111111111114</v>
      </c>
      <c r="G4" s="27">
        <v>38.111111111111114</v>
      </c>
      <c r="H4" s="27">
        <v>38.111111111111114</v>
      </c>
      <c r="I4" s="27">
        <v>38.111111111111114</v>
      </c>
      <c r="J4" s="27">
        <v>38.111111111111114</v>
      </c>
      <c r="K4" s="27">
        <v>38.111111111111114</v>
      </c>
      <c r="L4" s="27">
        <v>38.111111111111114</v>
      </c>
      <c r="M4" s="27">
        <v>38.111111111111114</v>
      </c>
      <c r="N4" s="27">
        <v>38.111111111111114</v>
      </c>
      <c r="O4" s="27">
        <v>38.111111111111114</v>
      </c>
      <c r="P4" s="27">
        <v>38.111111111111114</v>
      </c>
      <c r="Q4" s="27">
        <v>38.111111111111114</v>
      </c>
      <c r="R4" s="27">
        <v>38.111111111111114</v>
      </c>
      <c r="S4" s="27">
        <v>38.111111111111114</v>
      </c>
      <c r="T4" s="27">
        <v>38.111111111111114</v>
      </c>
      <c r="U4" s="27">
        <v>38.111111111111114</v>
      </c>
      <c r="V4" s="27">
        <v>38.111111111111114</v>
      </c>
      <c r="W4" s="27">
        <v>38.111111111111114</v>
      </c>
      <c r="X4" s="27">
        <v>38.111111111111114</v>
      </c>
      <c r="Y4" s="27">
        <v>38.111111111111114</v>
      </c>
      <c r="Z4" s="27">
        <v>38.111111111111114</v>
      </c>
      <c r="AA4" s="27">
        <v>38.111111111111114</v>
      </c>
      <c r="AB4" s="27">
        <v>38.111111111111114</v>
      </c>
      <c r="AC4" s="27">
        <v>38.111111111111114</v>
      </c>
      <c r="AD4" s="27">
        <v>38.111111111111114</v>
      </c>
      <c r="AE4" s="27">
        <v>38.111111111111114</v>
      </c>
      <c r="AF4" s="27">
        <v>38.111111111111114</v>
      </c>
      <c r="AG4" s="27">
        <v>38.111111111111114</v>
      </c>
      <c r="AH4" s="27">
        <v>38.111111111111114</v>
      </c>
      <c r="AI4" s="27">
        <v>38.111111111111114</v>
      </c>
      <c r="AJ4" s="27">
        <v>38.111111111111114</v>
      </c>
      <c r="AK4" s="27">
        <v>38.111111111111114</v>
      </c>
      <c r="AL4" s="27">
        <v>38.111111111111114</v>
      </c>
      <c r="AM4" s="27">
        <v>38.111111111111114</v>
      </c>
      <c r="AN4" s="27">
        <v>38.111111111111114</v>
      </c>
      <c r="AO4" s="27">
        <v>38.111111111111114</v>
      </c>
      <c r="AP4" s="27">
        <v>38.111111111111114</v>
      </c>
      <c r="AQ4" s="27">
        <v>38.111111111111114</v>
      </c>
      <c r="AR4" s="27">
        <v>38.111111111111114</v>
      </c>
      <c r="AS4" s="27">
        <v>38.111111111111114</v>
      </c>
      <c r="AT4" s="27">
        <v>38.111111111111114</v>
      </c>
      <c r="AU4" s="27">
        <v>38.111111111111114</v>
      </c>
      <c r="AV4" s="27">
        <v>38.111111111111114</v>
      </c>
      <c r="AW4" s="27">
        <v>38.111111111111114</v>
      </c>
      <c r="AX4" s="27">
        <v>38.111111111111114</v>
      </c>
      <c r="AY4" s="27">
        <v>38.111111111111114</v>
      </c>
      <c r="AZ4" s="27">
        <v>38.111111111111114</v>
      </c>
      <c r="BA4" s="27">
        <v>38.111111111111114</v>
      </c>
      <c r="BB4" s="27">
        <v>38.111111111111114</v>
      </c>
      <c r="BC4" s="27">
        <v>38.111111111111114</v>
      </c>
      <c r="BD4" s="27">
        <v>38.111111111111114</v>
      </c>
      <c r="BE4" s="27">
        <v>38.111111111111114</v>
      </c>
      <c r="BF4" s="27">
        <v>38.111111111111114</v>
      </c>
      <c r="BG4" s="27">
        <v>38.111111111111114</v>
      </c>
      <c r="BH4" s="27">
        <v>38.111111111111114</v>
      </c>
    </row>
    <row r="5" spans="1:60" ht="21" hidden="1" customHeight="1" outlineLevel="1" x14ac:dyDescent="0.25">
      <c r="A5" s="26" t="s">
        <v>140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  <c r="BA5" s="27">
        <v>0</v>
      </c>
      <c r="BB5" s="27">
        <v>0</v>
      </c>
      <c r="BC5" s="27">
        <v>0</v>
      </c>
      <c r="BD5" s="27">
        <v>0</v>
      </c>
      <c r="BE5" s="27">
        <v>0</v>
      </c>
      <c r="BF5" s="27">
        <v>0</v>
      </c>
      <c r="BG5" s="27">
        <v>0</v>
      </c>
      <c r="BH5" s="27">
        <v>0</v>
      </c>
    </row>
    <row r="6" spans="1:60" ht="21" hidden="1" customHeight="1" outlineLevel="1" x14ac:dyDescent="0.25">
      <c r="A6" s="26" t="s">
        <v>141</v>
      </c>
      <c r="B6" s="27">
        <v>92.870061666666672</v>
      </c>
      <c r="C6" s="27">
        <v>92.870061666666672</v>
      </c>
      <c r="D6" s="27">
        <v>92.870061666666672</v>
      </c>
      <c r="E6" s="27">
        <v>92.870061666666672</v>
      </c>
      <c r="F6" s="27">
        <v>92.870061666666672</v>
      </c>
      <c r="G6" s="27">
        <v>92.870061666666672</v>
      </c>
      <c r="H6" s="27">
        <v>92.870061666666672</v>
      </c>
      <c r="I6" s="27">
        <v>92.870061666666672</v>
      </c>
      <c r="J6" s="27">
        <v>92.870061666666672</v>
      </c>
      <c r="K6" s="27">
        <v>92.870061666666672</v>
      </c>
      <c r="L6" s="27">
        <v>92.870061666666672</v>
      </c>
      <c r="M6" s="27">
        <v>92.870061666666672</v>
      </c>
      <c r="N6" s="27">
        <v>92.870061666666672</v>
      </c>
      <c r="O6" s="27">
        <v>92.870061666666672</v>
      </c>
      <c r="P6" s="27">
        <v>92.870061666666672</v>
      </c>
      <c r="Q6" s="27">
        <v>92.870061666666672</v>
      </c>
      <c r="R6" s="27">
        <v>92.870061666666672</v>
      </c>
      <c r="S6" s="27">
        <v>92.870061666666672</v>
      </c>
      <c r="T6" s="27">
        <v>92.870061666666672</v>
      </c>
      <c r="U6" s="27">
        <v>92.870061666666672</v>
      </c>
      <c r="V6" s="27">
        <v>92.870061666666672</v>
      </c>
      <c r="W6" s="27">
        <v>92.870061666666672</v>
      </c>
      <c r="X6" s="27">
        <v>92.870061666666672</v>
      </c>
      <c r="Y6" s="27">
        <v>92.870061666666672</v>
      </c>
      <c r="Z6" s="27">
        <v>92.870061666666672</v>
      </c>
      <c r="AA6" s="27">
        <v>92.870061666666672</v>
      </c>
      <c r="AB6" s="27">
        <v>92.870061666666672</v>
      </c>
      <c r="AC6" s="27">
        <v>92.870061666666672</v>
      </c>
      <c r="AD6" s="27">
        <v>92.870061666666672</v>
      </c>
      <c r="AE6" s="27">
        <v>92.870061666666672</v>
      </c>
      <c r="AF6" s="27">
        <v>92.870061666666672</v>
      </c>
      <c r="AG6" s="27">
        <v>92.870061666666672</v>
      </c>
      <c r="AH6" s="27">
        <v>92.870061666666672</v>
      </c>
      <c r="AI6" s="27">
        <v>92.870061666666672</v>
      </c>
      <c r="AJ6" s="27">
        <v>92.870061666666672</v>
      </c>
      <c r="AK6" s="27">
        <v>92.870061666666672</v>
      </c>
      <c r="AL6" s="27">
        <v>92.870061666666672</v>
      </c>
      <c r="AM6" s="27">
        <v>92.870061666666672</v>
      </c>
      <c r="AN6" s="27">
        <v>92.870061666666672</v>
      </c>
      <c r="AO6" s="27">
        <v>92.870061666666672</v>
      </c>
      <c r="AP6" s="27">
        <v>92.870061666666672</v>
      </c>
      <c r="AQ6" s="27">
        <v>92.870061666666672</v>
      </c>
      <c r="AR6" s="27">
        <v>92.870061666666672</v>
      </c>
      <c r="AS6" s="27">
        <v>92.870061666666672</v>
      </c>
      <c r="AT6" s="27">
        <v>92.870061666666672</v>
      </c>
      <c r="AU6" s="27">
        <v>92.870061666666672</v>
      </c>
      <c r="AV6" s="27">
        <v>92.870061666666672</v>
      </c>
      <c r="AW6" s="27">
        <v>92.870061666666672</v>
      </c>
      <c r="AX6" s="27">
        <v>92.870061666666672</v>
      </c>
      <c r="AY6" s="27">
        <v>92.870061666666672</v>
      </c>
      <c r="AZ6" s="27">
        <v>92.870061666666672</v>
      </c>
      <c r="BA6" s="27">
        <v>92.870061666666672</v>
      </c>
      <c r="BB6" s="27">
        <v>92.870061666666672</v>
      </c>
      <c r="BC6" s="27">
        <v>92.870061666666672</v>
      </c>
      <c r="BD6" s="27">
        <v>92.870061666666672</v>
      </c>
      <c r="BE6" s="27">
        <v>92.870061666666672</v>
      </c>
      <c r="BF6" s="27">
        <v>92.870061666666672</v>
      </c>
      <c r="BG6" s="27">
        <v>92.870061666666672</v>
      </c>
      <c r="BH6" s="27">
        <v>92.870061666666672</v>
      </c>
    </row>
    <row r="7" spans="1:60" ht="21" hidden="1" customHeight="1" outlineLevel="1" x14ac:dyDescent="0.25">
      <c r="A7" s="26" t="s">
        <v>142</v>
      </c>
      <c r="B7" s="27">
        <v>58.970621111111114</v>
      </c>
      <c r="C7" s="27">
        <v>58.970621111111114</v>
      </c>
      <c r="D7" s="27">
        <v>58.970621111111114</v>
      </c>
      <c r="E7" s="27">
        <v>58.970621111111114</v>
      </c>
      <c r="F7" s="27">
        <v>58.970621111111114</v>
      </c>
      <c r="G7" s="27">
        <v>58.970621111111114</v>
      </c>
      <c r="H7" s="27">
        <v>58.970621111111114</v>
      </c>
      <c r="I7" s="27">
        <v>58.970621111111114</v>
      </c>
      <c r="J7" s="27">
        <v>58.970621111111114</v>
      </c>
      <c r="K7" s="27">
        <v>58.970621111111114</v>
      </c>
      <c r="L7" s="27">
        <v>58.970621111111114</v>
      </c>
      <c r="M7" s="27">
        <v>58.970621111111114</v>
      </c>
      <c r="N7" s="27">
        <v>58.970621111111114</v>
      </c>
      <c r="O7" s="27">
        <v>58.970621111111114</v>
      </c>
      <c r="P7" s="27">
        <v>58.970621111111114</v>
      </c>
      <c r="Q7" s="27">
        <v>58.970621111111114</v>
      </c>
      <c r="R7" s="27">
        <v>58.970621111111114</v>
      </c>
      <c r="S7" s="27">
        <v>58.970621111111114</v>
      </c>
      <c r="T7" s="27">
        <v>58.970621111111114</v>
      </c>
      <c r="U7" s="27">
        <v>58.970621111111114</v>
      </c>
      <c r="V7" s="27">
        <v>58.970621111111114</v>
      </c>
      <c r="W7" s="27">
        <v>58.970621111111114</v>
      </c>
      <c r="X7" s="27">
        <v>58.970621111111114</v>
      </c>
      <c r="Y7" s="27">
        <v>58.970621111111114</v>
      </c>
      <c r="Z7" s="27">
        <v>58.970621111111114</v>
      </c>
      <c r="AA7" s="27">
        <v>58.970621111111114</v>
      </c>
      <c r="AB7" s="27">
        <v>58.970621111111114</v>
      </c>
      <c r="AC7" s="27">
        <v>58.970621111111114</v>
      </c>
      <c r="AD7" s="27">
        <v>58.970621111111114</v>
      </c>
      <c r="AE7" s="27">
        <v>58.970621111111114</v>
      </c>
      <c r="AF7" s="27">
        <v>58.970621111111114</v>
      </c>
      <c r="AG7" s="27">
        <v>58.970621111111114</v>
      </c>
      <c r="AH7" s="27">
        <v>58.970621111111114</v>
      </c>
      <c r="AI7" s="27">
        <v>58.970621111111114</v>
      </c>
      <c r="AJ7" s="27">
        <v>58.970621111111114</v>
      </c>
      <c r="AK7" s="27">
        <v>58.970621111111114</v>
      </c>
      <c r="AL7" s="27">
        <v>58.970621111111114</v>
      </c>
      <c r="AM7" s="27">
        <v>58.970621111111114</v>
      </c>
      <c r="AN7" s="27">
        <v>58.970621111111114</v>
      </c>
      <c r="AO7" s="27">
        <v>58.970621111111114</v>
      </c>
      <c r="AP7" s="27">
        <v>58.970621111111114</v>
      </c>
      <c r="AQ7" s="27">
        <v>58.970621111111114</v>
      </c>
      <c r="AR7" s="27">
        <v>58.970621111111114</v>
      </c>
      <c r="AS7" s="27">
        <v>58.970621111111114</v>
      </c>
      <c r="AT7" s="27">
        <v>58.970621111111114</v>
      </c>
      <c r="AU7" s="27">
        <v>58.970621111111114</v>
      </c>
      <c r="AV7" s="27">
        <v>58.970621111111114</v>
      </c>
      <c r="AW7" s="27">
        <v>58.970621111111114</v>
      </c>
      <c r="AX7" s="27">
        <v>58.970621111111114</v>
      </c>
      <c r="AY7" s="27">
        <v>58.970621111111114</v>
      </c>
      <c r="AZ7" s="27">
        <v>58.970621111111114</v>
      </c>
      <c r="BA7" s="27">
        <v>58.970621111111114</v>
      </c>
      <c r="BB7" s="27">
        <v>58.970621111111114</v>
      </c>
      <c r="BC7" s="27">
        <v>58.970621111111114</v>
      </c>
      <c r="BD7" s="27">
        <v>58.970621111111114</v>
      </c>
      <c r="BE7" s="27">
        <v>58.970621111111114</v>
      </c>
      <c r="BF7" s="27">
        <v>58.970621111111114</v>
      </c>
      <c r="BG7" s="27">
        <v>58.970621111111114</v>
      </c>
      <c r="BH7" s="27">
        <v>58.970621111111114</v>
      </c>
    </row>
    <row r="8" spans="1:60" ht="21" hidden="1" customHeight="1" outlineLevel="1" x14ac:dyDescent="0.25">
      <c r="A8" s="26" t="s">
        <v>143</v>
      </c>
      <c r="B8" s="27">
        <v>97.953415000000007</v>
      </c>
      <c r="C8" s="27">
        <v>97.953415000000007</v>
      </c>
      <c r="D8" s="27">
        <v>97.953415000000007</v>
      </c>
      <c r="E8" s="27">
        <v>97.953415000000007</v>
      </c>
      <c r="F8" s="27">
        <v>97.953415000000007</v>
      </c>
      <c r="G8" s="27">
        <v>97.953415000000007</v>
      </c>
      <c r="H8" s="27">
        <v>97.953415000000007</v>
      </c>
      <c r="I8" s="27">
        <v>97.953415000000007</v>
      </c>
      <c r="J8" s="27">
        <v>97.953415000000007</v>
      </c>
      <c r="K8" s="27">
        <v>97.953415000000007</v>
      </c>
      <c r="L8" s="27">
        <v>97.953415000000007</v>
      </c>
      <c r="M8" s="27">
        <v>97.953415000000007</v>
      </c>
      <c r="N8" s="27">
        <v>97.953415000000007</v>
      </c>
      <c r="O8" s="27">
        <v>97.953415000000007</v>
      </c>
      <c r="P8" s="27">
        <v>97.953415000000007</v>
      </c>
      <c r="Q8" s="27">
        <v>97.953415000000007</v>
      </c>
      <c r="R8" s="27">
        <v>97.953415000000007</v>
      </c>
      <c r="S8" s="27">
        <v>97.953415000000007</v>
      </c>
      <c r="T8" s="27">
        <v>97.953415000000007</v>
      </c>
      <c r="U8" s="27">
        <v>97.953415000000007</v>
      </c>
      <c r="V8" s="27">
        <v>97.953415000000007</v>
      </c>
      <c r="W8" s="27">
        <v>97.953415000000007</v>
      </c>
      <c r="X8" s="27">
        <v>97.953415000000007</v>
      </c>
      <c r="Y8" s="27">
        <v>97.953415000000007</v>
      </c>
      <c r="Z8" s="27">
        <v>97.953415000000007</v>
      </c>
      <c r="AA8" s="27">
        <v>97.953415000000007</v>
      </c>
      <c r="AB8" s="27">
        <v>97.953415000000007</v>
      </c>
      <c r="AC8" s="27">
        <v>97.953415000000007</v>
      </c>
      <c r="AD8" s="27">
        <v>97.953415000000007</v>
      </c>
      <c r="AE8" s="27">
        <v>97.953415000000007</v>
      </c>
      <c r="AF8" s="27">
        <v>97.953415000000007</v>
      </c>
      <c r="AG8" s="27">
        <v>97.953415000000007</v>
      </c>
      <c r="AH8" s="27">
        <v>97.953415000000007</v>
      </c>
      <c r="AI8" s="27">
        <v>97.953415000000007</v>
      </c>
      <c r="AJ8" s="27">
        <v>97.953415000000007</v>
      </c>
      <c r="AK8" s="27">
        <v>97.953415000000007</v>
      </c>
      <c r="AL8" s="27">
        <v>97.953415000000007</v>
      </c>
      <c r="AM8" s="27">
        <v>97.953415000000007</v>
      </c>
      <c r="AN8" s="27">
        <v>97.953415000000007</v>
      </c>
      <c r="AO8" s="27">
        <v>97.953415000000007</v>
      </c>
      <c r="AP8" s="27">
        <v>97.953415000000007</v>
      </c>
      <c r="AQ8" s="27">
        <v>97.953415000000007</v>
      </c>
      <c r="AR8" s="27">
        <v>97.953415000000007</v>
      </c>
      <c r="AS8" s="27">
        <v>97.953415000000007</v>
      </c>
      <c r="AT8" s="27">
        <v>97.953415000000007</v>
      </c>
      <c r="AU8" s="27">
        <v>97.953415000000007</v>
      </c>
      <c r="AV8" s="27">
        <v>97.953415000000007</v>
      </c>
      <c r="AW8" s="27">
        <v>97.953415000000007</v>
      </c>
      <c r="AX8" s="27">
        <v>97.953415000000007</v>
      </c>
      <c r="AY8" s="27">
        <v>97.953415000000007</v>
      </c>
      <c r="AZ8" s="27">
        <v>97.953415000000007</v>
      </c>
      <c r="BA8" s="27">
        <v>97.953415000000007</v>
      </c>
      <c r="BB8" s="27">
        <v>97.953415000000007</v>
      </c>
      <c r="BC8" s="27">
        <v>97.953415000000007</v>
      </c>
      <c r="BD8" s="27">
        <v>97.953415000000007</v>
      </c>
      <c r="BE8" s="27">
        <v>97.953415000000007</v>
      </c>
      <c r="BF8" s="27">
        <v>97.953415000000007</v>
      </c>
      <c r="BG8" s="27">
        <v>97.953415000000007</v>
      </c>
      <c r="BH8" s="27">
        <v>97.953415000000007</v>
      </c>
    </row>
    <row r="9" spans="1:60" ht="21" hidden="1" customHeight="1" outlineLevel="1" x14ac:dyDescent="0.25">
      <c r="A9" s="26" t="s">
        <v>144</v>
      </c>
      <c r="B9" s="27">
        <v>77.777777777777786</v>
      </c>
      <c r="C9" s="27">
        <v>77.777777777777786</v>
      </c>
      <c r="D9" s="27">
        <v>77.777777777777786</v>
      </c>
      <c r="E9" s="27">
        <v>77.777777777777786</v>
      </c>
      <c r="F9" s="27">
        <v>77.777777777777786</v>
      </c>
      <c r="G9" s="27">
        <v>77.777777777777786</v>
      </c>
      <c r="H9" s="27">
        <v>77.777777777777786</v>
      </c>
      <c r="I9" s="27">
        <v>77.777777777777786</v>
      </c>
      <c r="J9" s="27">
        <v>77.777777777777786</v>
      </c>
      <c r="K9" s="27">
        <v>77.777777777777786</v>
      </c>
      <c r="L9" s="27">
        <v>77.777777777777786</v>
      </c>
      <c r="M9" s="27">
        <v>77.777777777777786</v>
      </c>
      <c r="N9" s="27">
        <v>77.777777777777786</v>
      </c>
      <c r="O9" s="27">
        <v>77.777777777777786</v>
      </c>
      <c r="P9" s="27">
        <v>77.777777777777786</v>
      </c>
      <c r="Q9" s="27">
        <v>77.777777777777786</v>
      </c>
      <c r="R9" s="27">
        <v>77.777777777777786</v>
      </c>
      <c r="S9" s="27">
        <v>77.777777777777786</v>
      </c>
      <c r="T9" s="27">
        <v>77.777777777777786</v>
      </c>
      <c r="U9" s="27">
        <v>77.777777777777786</v>
      </c>
      <c r="V9" s="27">
        <v>77.777777777777786</v>
      </c>
      <c r="W9" s="27">
        <v>77.777777777777786</v>
      </c>
      <c r="X9" s="27">
        <v>77.777777777777786</v>
      </c>
      <c r="Y9" s="27">
        <v>77.777777777777786</v>
      </c>
      <c r="Z9" s="27">
        <v>77.777777777777786</v>
      </c>
      <c r="AA9" s="27">
        <v>77.777777777777786</v>
      </c>
      <c r="AB9" s="27">
        <v>77.777777777777786</v>
      </c>
      <c r="AC9" s="27">
        <v>77.777777777777786</v>
      </c>
      <c r="AD9" s="27">
        <v>77.777777777777786</v>
      </c>
      <c r="AE9" s="27">
        <v>77.777777777777786</v>
      </c>
      <c r="AF9" s="27">
        <v>77.777777777777786</v>
      </c>
      <c r="AG9" s="27">
        <v>77.777777777777786</v>
      </c>
      <c r="AH9" s="27">
        <v>77.777777777777786</v>
      </c>
      <c r="AI9" s="27">
        <v>77.777777777777786</v>
      </c>
      <c r="AJ9" s="27">
        <v>77.777777777777786</v>
      </c>
      <c r="AK9" s="27">
        <v>77.777777777777786</v>
      </c>
      <c r="AL9" s="27">
        <v>77.777777777777786</v>
      </c>
      <c r="AM9" s="27">
        <v>77.777777777777786</v>
      </c>
      <c r="AN9" s="27">
        <v>77.777777777777786</v>
      </c>
      <c r="AO9" s="27">
        <v>77.777777777777786</v>
      </c>
      <c r="AP9" s="27">
        <v>77.777777777777786</v>
      </c>
      <c r="AQ9" s="27">
        <v>77.777777777777786</v>
      </c>
      <c r="AR9" s="27">
        <v>77.777777777777786</v>
      </c>
      <c r="AS9" s="27">
        <v>77.777777777777786</v>
      </c>
      <c r="AT9" s="27">
        <v>77.777777777777786</v>
      </c>
      <c r="AU9" s="27">
        <v>77.777777777777786</v>
      </c>
      <c r="AV9" s="27">
        <v>77.777777777777786</v>
      </c>
      <c r="AW9" s="27">
        <v>77.777777777777786</v>
      </c>
      <c r="AX9" s="27">
        <v>77.777777777777786</v>
      </c>
      <c r="AY9" s="27">
        <v>77.777777777777786</v>
      </c>
      <c r="AZ9" s="27">
        <v>77.777777777777786</v>
      </c>
      <c r="BA9" s="27">
        <v>77.777777777777786</v>
      </c>
      <c r="BB9" s="27">
        <v>77.777777777777786</v>
      </c>
      <c r="BC9" s="27">
        <v>77.777777777777786</v>
      </c>
      <c r="BD9" s="27">
        <v>77.777777777777786</v>
      </c>
      <c r="BE9" s="27">
        <v>77.777777777777786</v>
      </c>
      <c r="BF9" s="27">
        <v>77.777777777777786</v>
      </c>
      <c r="BG9" s="27">
        <v>77.777777777777786</v>
      </c>
      <c r="BH9" s="27">
        <v>77.777777777777786</v>
      </c>
    </row>
    <row r="10" spans="1:60" ht="21" hidden="1" customHeight="1" outlineLevel="1" x14ac:dyDescent="0.25">
      <c r="A10" s="26" t="s">
        <v>145</v>
      </c>
      <c r="B10" s="27">
        <v>93.333333333333343</v>
      </c>
      <c r="C10" s="27">
        <v>93.333333333333343</v>
      </c>
      <c r="D10" s="27">
        <v>93.333333333333343</v>
      </c>
      <c r="E10" s="27">
        <v>93.333333333333343</v>
      </c>
      <c r="F10" s="27">
        <v>93.333333333333343</v>
      </c>
      <c r="G10" s="27">
        <v>93.333333333333343</v>
      </c>
      <c r="H10" s="27">
        <v>93.333333333333343</v>
      </c>
      <c r="I10" s="27">
        <v>93.333333333333343</v>
      </c>
      <c r="J10" s="27">
        <v>93.333333333333343</v>
      </c>
      <c r="K10" s="27">
        <v>93.333333333333343</v>
      </c>
      <c r="L10" s="27">
        <v>93.333333333333343</v>
      </c>
      <c r="M10" s="27">
        <v>93.333333333333343</v>
      </c>
      <c r="N10" s="27">
        <v>93.333333333333343</v>
      </c>
      <c r="O10" s="27">
        <v>93.333333333333343</v>
      </c>
      <c r="P10" s="27">
        <v>93.333333333333343</v>
      </c>
      <c r="Q10" s="27">
        <v>93.333333333333343</v>
      </c>
      <c r="R10" s="27">
        <v>93.333333333333343</v>
      </c>
      <c r="S10" s="27">
        <v>93.333333333333343</v>
      </c>
      <c r="T10" s="27">
        <v>93.333333333333343</v>
      </c>
      <c r="U10" s="27">
        <v>93.333333333333343</v>
      </c>
      <c r="V10" s="27">
        <v>93.333333333333343</v>
      </c>
      <c r="W10" s="27">
        <v>93.333333333333343</v>
      </c>
      <c r="X10" s="27">
        <v>93.333333333333343</v>
      </c>
      <c r="Y10" s="27">
        <v>93.333333333333343</v>
      </c>
      <c r="Z10" s="27">
        <v>93.333333333333343</v>
      </c>
      <c r="AA10" s="27">
        <v>93.333333333333343</v>
      </c>
      <c r="AB10" s="27">
        <v>93.333333333333343</v>
      </c>
      <c r="AC10" s="27">
        <v>93.333333333333343</v>
      </c>
      <c r="AD10" s="27">
        <v>93.333333333333343</v>
      </c>
      <c r="AE10" s="27">
        <v>93.333333333333343</v>
      </c>
      <c r="AF10" s="27">
        <v>93.333333333333343</v>
      </c>
      <c r="AG10" s="27">
        <v>93.333333333333343</v>
      </c>
      <c r="AH10" s="27">
        <v>93.333333333333343</v>
      </c>
      <c r="AI10" s="27">
        <v>93.333333333333343</v>
      </c>
      <c r="AJ10" s="27">
        <v>93.333333333333343</v>
      </c>
      <c r="AK10" s="27">
        <v>93.333333333333343</v>
      </c>
      <c r="AL10" s="27">
        <v>93.333333333333343</v>
      </c>
      <c r="AM10" s="27">
        <v>93.333333333333343</v>
      </c>
      <c r="AN10" s="27">
        <v>93.333333333333343</v>
      </c>
      <c r="AO10" s="27">
        <v>93.333333333333343</v>
      </c>
      <c r="AP10" s="27">
        <v>93.333333333333343</v>
      </c>
      <c r="AQ10" s="27">
        <v>93.333333333333343</v>
      </c>
      <c r="AR10" s="27">
        <v>93.333333333333343</v>
      </c>
      <c r="AS10" s="27">
        <v>93.333333333333343</v>
      </c>
      <c r="AT10" s="27">
        <v>93.333333333333343</v>
      </c>
      <c r="AU10" s="27">
        <v>93.333333333333343</v>
      </c>
      <c r="AV10" s="27">
        <v>93.333333333333343</v>
      </c>
      <c r="AW10" s="27">
        <v>93.333333333333343</v>
      </c>
      <c r="AX10" s="27">
        <v>93.333333333333343</v>
      </c>
      <c r="AY10" s="27">
        <v>93.333333333333343</v>
      </c>
      <c r="AZ10" s="27">
        <v>93.333333333333343</v>
      </c>
      <c r="BA10" s="27">
        <v>93.333333333333343</v>
      </c>
      <c r="BB10" s="27">
        <v>93.333333333333343</v>
      </c>
      <c r="BC10" s="27">
        <v>93.333333333333343</v>
      </c>
      <c r="BD10" s="27">
        <v>93.333333333333343</v>
      </c>
      <c r="BE10" s="27">
        <v>93.333333333333343</v>
      </c>
      <c r="BF10" s="27">
        <v>93.333333333333343</v>
      </c>
      <c r="BG10" s="27">
        <v>93.333333333333343</v>
      </c>
      <c r="BH10" s="27">
        <v>93.333333333333343</v>
      </c>
    </row>
    <row r="11" spans="1:60" ht="21" hidden="1" customHeight="1" outlineLevel="1" x14ac:dyDescent="0.25">
      <c r="A11" s="26" t="s">
        <v>146</v>
      </c>
      <c r="B11" s="27">
        <v>66.111111111111114</v>
      </c>
      <c r="C11" s="27">
        <v>66.111111111111114</v>
      </c>
      <c r="D11" s="27">
        <v>66.111111111111114</v>
      </c>
      <c r="E11" s="27">
        <v>66.111111111111114</v>
      </c>
      <c r="F11" s="27">
        <v>66.111111111111114</v>
      </c>
      <c r="G11" s="27">
        <v>66.111111111111114</v>
      </c>
      <c r="H11" s="27">
        <v>66.111111111111114</v>
      </c>
      <c r="I11" s="27">
        <v>66.111111111111114</v>
      </c>
      <c r="J11" s="27">
        <v>66.111111111111114</v>
      </c>
      <c r="K11" s="27">
        <v>66.111111111111114</v>
      </c>
      <c r="L11" s="27">
        <v>66.111111111111114</v>
      </c>
      <c r="M11" s="27">
        <v>66.111111111111114</v>
      </c>
      <c r="N11" s="27">
        <v>66.111111111111114</v>
      </c>
      <c r="O11" s="27">
        <v>66.111111111111114</v>
      </c>
      <c r="P11" s="27">
        <v>66.111111111111114</v>
      </c>
      <c r="Q11" s="27">
        <v>66.111111111111114</v>
      </c>
      <c r="R11" s="27">
        <v>66.111111111111114</v>
      </c>
      <c r="S11" s="27">
        <v>66.111111111111114</v>
      </c>
      <c r="T11" s="27">
        <v>66.111111111111114</v>
      </c>
      <c r="U11" s="27">
        <v>66.111111111111114</v>
      </c>
      <c r="V11" s="27">
        <v>66.111111111111114</v>
      </c>
      <c r="W11" s="27">
        <v>66.111111111111114</v>
      </c>
      <c r="X11" s="27">
        <v>66.111111111111114</v>
      </c>
      <c r="Y11" s="27">
        <v>66.111111111111114</v>
      </c>
      <c r="Z11" s="27">
        <v>66.111111111111114</v>
      </c>
      <c r="AA11" s="27">
        <v>66.111111111111114</v>
      </c>
      <c r="AB11" s="27">
        <v>66.111111111111114</v>
      </c>
      <c r="AC11" s="27">
        <v>66.111111111111114</v>
      </c>
      <c r="AD11" s="27">
        <v>66.111111111111114</v>
      </c>
      <c r="AE11" s="27">
        <v>66.111111111111114</v>
      </c>
      <c r="AF11" s="27">
        <v>66.111111111111114</v>
      </c>
      <c r="AG11" s="27">
        <v>66.111111111111114</v>
      </c>
      <c r="AH11" s="27">
        <v>66.111111111111114</v>
      </c>
      <c r="AI11" s="27">
        <v>66.111111111111114</v>
      </c>
      <c r="AJ11" s="27">
        <v>66.111111111111114</v>
      </c>
      <c r="AK11" s="27">
        <v>66.111111111111114</v>
      </c>
      <c r="AL11" s="27">
        <v>66.111111111111114</v>
      </c>
      <c r="AM11" s="27">
        <v>66.111111111111114</v>
      </c>
      <c r="AN11" s="27">
        <v>66.111111111111114</v>
      </c>
      <c r="AO11" s="27">
        <v>66.111111111111114</v>
      </c>
      <c r="AP11" s="27">
        <v>66.111111111111114</v>
      </c>
      <c r="AQ11" s="27">
        <v>66.111111111111114</v>
      </c>
      <c r="AR11" s="27">
        <v>66.111111111111114</v>
      </c>
      <c r="AS11" s="27">
        <v>66.111111111111114</v>
      </c>
      <c r="AT11" s="27">
        <v>66.111111111111114</v>
      </c>
      <c r="AU11" s="27">
        <v>66.111111111111114</v>
      </c>
      <c r="AV11" s="27">
        <v>66.111111111111114</v>
      </c>
      <c r="AW11" s="27">
        <v>66.111111111111114</v>
      </c>
      <c r="AX11" s="27">
        <v>66.111111111111114</v>
      </c>
      <c r="AY11" s="27">
        <v>66.111111111111114</v>
      </c>
      <c r="AZ11" s="27">
        <v>66.111111111111114</v>
      </c>
      <c r="BA11" s="27">
        <v>66.111111111111114</v>
      </c>
      <c r="BB11" s="27">
        <v>66.111111111111114</v>
      </c>
      <c r="BC11" s="27">
        <v>66.111111111111114</v>
      </c>
      <c r="BD11" s="27">
        <v>66.111111111111114</v>
      </c>
      <c r="BE11" s="27">
        <v>66.111111111111114</v>
      </c>
      <c r="BF11" s="27">
        <v>66.111111111111114</v>
      </c>
      <c r="BG11" s="27">
        <v>66.111111111111114</v>
      </c>
      <c r="BH11" s="27">
        <v>66.111111111111114</v>
      </c>
    </row>
    <row r="12" spans="1:60" ht="21" hidden="1" customHeight="1" outlineLevel="1" x14ac:dyDescent="0.25">
      <c r="A12" s="26" t="s">
        <v>147</v>
      </c>
      <c r="B12" s="27">
        <v>39.181364444444448</v>
      </c>
      <c r="C12" s="27">
        <v>39.181364444444448</v>
      </c>
      <c r="D12" s="27">
        <v>39.181364444444448</v>
      </c>
      <c r="E12" s="27">
        <v>39.181364444444448</v>
      </c>
      <c r="F12" s="27">
        <v>39.181364444444448</v>
      </c>
      <c r="G12" s="27">
        <v>39.181364444444448</v>
      </c>
      <c r="H12" s="27">
        <v>39.181364444444448</v>
      </c>
      <c r="I12" s="27">
        <v>39.181364444444448</v>
      </c>
      <c r="J12" s="27">
        <v>39.181364444444448</v>
      </c>
      <c r="K12" s="27">
        <v>39.181364444444448</v>
      </c>
      <c r="L12" s="27">
        <v>39.181364444444448</v>
      </c>
      <c r="M12" s="27">
        <v>39.181364444444448</v>
      </c>
      <c r="N12" s="27">
        <v>39.181364444444448</v>
      </c>
      <c r="O12" s="27">
        <v>39.181364444444448</v>
      </c>
      <c r="P12" s="27">
        <v>39.181364444444448</v>
      </c>
      <c r="Q12" s="27">
        <v>39.181364444444448</v>
      </c>
      <c r="R12" s="27">
        <v>39.181364444444448</v>
      </c>
      <c r="S12" s="27">
        <v>39.181364444444448</v>
      </c>
      <c r="T12" s="27">
        <v>39.181364444444448</v>
      </c>
      <c r="U12" s="27">
        <v>39.181364444444448</v>
      </c>
      <c r="V12" s="27">
        <v>39.181364444444448</v>
      </c>
      <c r="W12" s="27">
        <v>39.181364444444448</v>
      </c>
      <c r="X12" s="27">
        <v>39.181364444444448</v>
      </c>
      <c r="Y12" s="27">
        <v>39.181364444444448</v>
      </c>
      <c r="Z12" s="27">
        <v>39.181364444444448</v>
      </c>
      <c r="AA12" s="27">
        <v>39.181364444444448</v>
      </c>
      <c r="AB12" s="27">
        <v>39.181364444444448</v>
      </c>
      <c r="AC12" s="27">
        <v>39.181364444444448</v>
      </c>
      <c r="AD12" s="27">
        <v>39.181364444444448</v>
      </c>
      <c r="AE12" s="27">
        <v>39.181364444444448</v>
      </c>
      <c r="AF12" s="27">
        <v>39.181364444444448</v>
      </c>
      <c r="AG12" s="27">
        <v>39.181364444444448</v>
      </c>
      <c r="AH12" s="27">
        <v>39.181364444444448</v>
      </c>
      <c r="AI12" s="27">
        <v>39.181364444444448</v>
      </c>
      <c r="AJ12" s="27">
        <v>39.181364444444448</v>
      </c>
      <c r="AK12" s="27">
        <v>39.181364444444448</v>
      </c>
      <c r="AL12" s="27">
        <v>39.181364444444448</v>
      </c>
      <c r="AM12" s="27">
        <v>39.181364444444448</v>
      </c>
      <c r="AN12" s="27">
        <v>39.181364444444448</v>
      </c>
      <c r="AO12" s="27">
        <v>39.181364444444448</v>
      </c>
      <c r="AP12" s="27">
        <v>39.181364444444448</v>
      </c>
      <c r="AQ12" s="27">
        <v>39.181364444444448</v>
      </c>
      <c r="AR12" s="27">
        <v>39.181364444444448</v>
      </c>
      <c r="AS12" s="27">
        <v>39.181364444444448</v>
      </c>
      <c r="AT12" s="27">
        <v>39.181364444444448</v>
      </c>
      <c r="AU12" s="27">
        <v>39.181364444444448</v>
      </c>
      <c r="AV12" s="27">
        <v>39.181364444444448</v>
      </c>
      <c r="AW12" s="27">
        <v>39.181364444444448</v>
      </c>
      <c r="AX12" s="27">
        <v>39.181364444444448</v>
      </c>
      <c r="AY12" s="27">
        <v>39.181364444444448</v>
      </c>
      <c r="AZ12" s="27">
        <v>39.181364444444448</v>
      </c>
      <c r="BA12" s="27">
        <v>39.181364444444448</v>
      </c>
      <c r="BB12" s="27">
        <v>39.181364444444448</v>
      </c>
      <c r="BC12" s="27">
        <v>39.181364444444448</v>
      </c>
      <c r="BD12" s="27">
        <v>39.181364444444448</v>
      </c>
      <c r="BE12" s="27">
        <v>39.181364444444448</v>
      </c>
      <c r="BF12" s="27">
        <v>39.181364444444448</v>
      </c>
      <c r="BG12" s="27">
        <v>39.181364444444448</v>
      </c>
      <c r="BH12" s="27">
        <v>39.181364444444448</v>
      </c>
    </row>
    <row r="13" spans="1:60" ht="21" hidden="1" customHeight="1" outlineLevel="1" x14ac:dyDescent="0.25">
      <c r="A13" s="26" t="s">
        <v>148</v>
      </c>
      <c r="B13" s="27">
        <v>42.777777777777779</v>
      </c>
      <c r="C13" s="27">
        <v>42.777777777777779</v>
      </c>
      <c r="D13" s="27">
        <v>42.777777777777779</v>
      </c>
      <c r="E13" s="27">
        <v>42.777777777777779</v>
      </c>
      <c r="F13" s="27">
        <v>42.777777777777779</v>
      </c>
      <c r="G13" s="27">
        <v>42.777777777777779</v>
      </c>
      <c r="H13" s="27">
        <v>42.777777777777779</v>
      </c>
      <c r="I13" s="27">
        <v>42.777777777777779</v>
      </c>
      <c r="J13" s="27">
        <v>42.777777777777779</v>
      </c>
      <c r="K13" s="27">
        <v>42.777777777777779</v>
      </c>
      <c r="L13" s="27">
        <v>42.777777777777779</v>
      </c>
      <c r="M13" s="27">
        <v>42.777777777777779</v>
      </c>
      <c r="N13" s="27">
        <v>42.777777777777779</v>
      </c>
      <c r="O13" s="27">
        <v>42.777777777777779</v>
      </c>
      <c r="P13" s="27">
        <v>42.777777777777779</v>
      </c>
      <c r="Q13" s="27">
        <v>42.777777777777779</v>
      </c>
      <c r="R13" s="27">
        <v>42.777777777777779</v>
      </c>
      <c r="S13" s="27">
        <v>42.777777777777779</v>
      </c>
      <c r="T13" s="27">
        <v>42.777777777777779</v>
      </c>
      <c r="U13" s="27">
        <v>42.777777777777779</v>
      </c>
      <c r="V13" s="27">
        <v>42.777777777777779</v>
      </c>
      <c r="W13" s="27">
        <v>42.777777777777779</v>
      </c>
      <c r="X13" s="27">
        <v>42.777777777777779</v>
      </c>
      <c r="Y13" s="27">
        <v>42.777777777777779</v>
      </c>
      <c r="Z13" s="27">
        <v>42.777777777777779</v>
      </c>
      <c r="AA13" s="27">
        <v>42.777777777777779</v>
      </c>
      <c r="AB13" s="27">
        <v>42.777777777777779</v>
      </c>
      <c r="AC13" s="27">
        <v>42.777777777777779</v>
      </c>
      <c r="AD13" s="27">
        <v>42.777777777777779</v>
      </c>
      <c r="AE13" s="27">
        <v>42.777777777777779</v>
      </c>
      <c r="AF13" s="27">
        <v>42.777777777777779</v>
      </c>
      <c r="AG13" s="27">
        <v>42.777777777777779</v>
      </c>
      <c r="AH13" s="27">
        <v>42.777777777777779</v>
      </c>
      <c r="AI13" s="27">
        <v>42.777777777777779</v>
      </c>
      <c r="AJ13" s="27">
        <v>42.777777777777779</v>
      </c>
      <c r="AK13" s="27">
        <v>42.777777777777779</v>
      </c>
      <c r="AL13" s="27">
        <v>42.777777777777779</v>
      </c>
      <c r="AM13" s="27">
        <v>42.777777777777779</v>
      </c>
      <c r="AN13" s="27">
        <v>42.777777777777779</v>
      </c>
      <c r="AO13" s="27">
        <v>42.777777777777779</v>
      </c>
      <c r="AP13" s="27">
        <v>42.777777777777779</v>
      </c>
      <c r="AQ13" s="27">
        <v>42.777777777777779</v>
      </c>
      <c r="AR13" s="27">
        <v>42.777777777777779</v>
      </c>
      <c r="AS13" s="27">
        <v>42.777777777777779</v>
      </c>
      <c r="AT13" s="27">
        <v>42.777777777777779</v>
      </c>
      <c r="AU13" s="27">
        <v>42.777777777777779</v>
      </c>
      <c r="AV13" s="27">
        <v>42.777777777777779</v>
      </c>
      <c r="AW13" s="27">
        <v>42.777777777777779</v>
      </c>
      <c r="AX13" s="27">
        <v>42.777777777777779</v>
      </c>
      <c r="AY13" s="27">
        <v>42.777777777777779</v>
      </c>
      <c r="AZ13" s="27">
        <v>42.777777777777779</v>
      </c>
      <c r="BA13" s="27">
        <v>42.777777777777779</v>
      </c>
      <c r="BB13" s="27">
        <v>42.777777777777779</v>
      </c>
      <c r="BC13" s="27">
        <v>42.777777777777779</v>
      </c>
      <c r="BD13" s="27">
        <v>42.777777777777779</v>
      </c>
      <c r="BE13" s="27">
        <v>42.777777777777779</v>
      </c>
      <c r="BF13" s="27">
        <v>42.777777777777779</v>
      </c>
      <c r="BG13" s="27">
        <v>42.777777777777779</v>
      </c>
      <c r="BH13" s="27">
        <v>42.777777777777779</v>
      </c>
    </row>
    <row r="14" spans="1:60" ht="21" hidden="1" customHeight="1" outlineLevel="1" x14ac:dyDescent="0.25">
      <c r="A14" s="26" t="s">
        <v>149</v>
      </c>
      <c r="B14" s="27">
        <v>186.66666666666669</v>
      </c>
      <c r="C14" s="27">
        <v>186.66666666666669</v>
      </c>
      <c r="D14" s="27">
        <v>186.66666666666669</v>
      </c>
      <c r="E14" s="27">
        <v>186.66666666666669</v>
      </c>
      <c r="F14" s="27">
        <v>186.66666666666669</v>
      </c>
      <c r="G14" s="27">
        <v>186.66666666666669</v>
      </c>
      <c r="H14" s="27">
        <v>186.66666666666669</v>
      </c>
      <c r="I14" s="27">
        <v>186.66666666666669</v>
      </c>
      <c r="J14" s="27">
        <v>186.66666666666669</v>
      </c>
      <c r="K14" s="27">
        <v>186.66666666666669</v>
      </c>
      <c r="L14" s="27">
        <v>186.66666666666669</v>
      </c>
      <c r="M14" s="27">
        <v>186.66666666666669</v>
      </c>
      <c r="N14" s="27">
        <v>186.66666666666669</v>
      </c>
      <c r="O14" s="27">
        <v>186.66666666666669</v>
      </c>
      <c r="P14" s="27">
        <v>186.66666666666669</v>
      </c>
      <c r="Q14" s="27">
        <v>186.66666666666669</v>
      </c>
      <c r="R14" s="27">
        <v>186.66666666666669</v>
      </c>
      <c r="S14" s="27">
        <v>186.66666666666669</v>
      </c>
      <c r="T14" s="27">
        <v>186.66666666666669</v>
      </c>
      <c r="U14" s="27">
        <v>186.66666666666669</v>
      </c>
      <c r="V14" s="27">
        <v>186.66666666666669</v>
      </c>
      <c r="W14" s="27">
        <v>186.66666666666669</v>
      </c>
      <c r="X14" s="27">
        <v>186.66666666666669</v>
      </c>
      <c r="Y14" s="27">
        <v>186.66666666666669</v>
      </c>
      <c r="Z14" s="27">
        <v>186.66666666666669</v>
      </c>
      <c r="AA14" s="27">
        <v>186.66666666666669</v>
      </c>
      <c r="AB14" s="27">
        <v>186.66666666666669</v>
      </c>
      <c r="AC14" s="27">
        <v>186.66666666666669</v>
      </c>
      <c r="AD14" s="27">
        <v>186.66666666666669</v>
      </c>
      <c r="AE14" s="27">
        <v>186.66666666666669</v>
      </c>
      <c r="AF14" s="27">
        <v>186.66666666666669</v>
      </c>
      <c r="AG14" s="27">
        <v>186.66666666666669</v>
      </c>
      <c r="AH14" s="27">
        <v>186.66666666666669</v>
      </c>
      <c r="AI14" s="27">
        <v>186.66666666666669</v>
      </c>
      <c r="AJ14" s="27">
        <v>186.66666666666669</v>
      </c>
      <c r="AK14" s="27">
        <v>186.66666666666669</v>
      </c>
      <c r="AL14" s="27">
        <v>186.66666666666669</v>
      </c>
      <c r="AM14" s="27">
        <v>186.66666666666669</v>
      </c>
      <c r="AN14" s="27">
        <v>186.66666666666669</v>
      </c>
      <c r="AO14" s="27">
        <v>186.66666666666669</v>
      </c>
      <c r="AP14" s="27">
        <v>186.66666666666669</v>
      </c>
      <c r="AQ14" s="27">
        <v>186.66666666666669</v>
      </c>
      <c r="AR14" s="27">
        <v>186.66666666666669</v>
      </c>
      <c r="AS14" s="27">
        <v>186.66666666666669</v>
      </c>
      <c r="AT14" s="27">
        <v>186.66666666666669</v>
      </c>
      <c r="AU14" s="27">
        <v>186.66666666666669</v>
      </c>
      <c r="AV14" s="27">
        <v>186.66666666666669</v>
      </c>
      <c r="AW14" s="27">
        <v>186.66666666666669</v>
      </c>
      <c r="AX14" s="27">
        <v>186.66666666666669</v>
      </c>
      <c r="AY14" s="27">
        <v>186.66666666666669</v>
      </c>
      <c r="AZ14" s="27">
        <v>186.66666666666669</v>
      </c>
      <c r="BA14" s="27">
        <v>186.66666666666669</v>
      </c>
      <c r="BB14" s="27">
        <v>186.66666666666669</v>
      </c>
      <c r="BC14" s="27">
        <v>186.66666666666669</v>
      </c>
      <c r="BD14" s="27">
        <v>186.66666666666669</v>
      </c>
      <c r="BE14" s="27">
        <v>186.66666666666669</v>
      </c>
      <c r="BF14" s="27">
        <v>186.66666666666669</v>
      </c>
      <c r="BG14" s="27">
        <v>186.66666666666669</v>
      </c>
      <c r="BH14" s="27">
        <v>186.66666666666669</v>
      </c>
    </row>
    <row r="15" spans="1:60" ht="21" hidden="1" customHeight="1" outlineLevel="1" x14ac:dyDescent="0.25">
      <c r="A15" s="26" t="s">
        <v>150</v>
      </c>
      <c r="B15" s="27">
        <v>62.222222222222229</v>
      </c>
      <c r="C15" s="27">
        <v>62.222222222222229</v>
      </c>
      <c r="D15" s="27">
        <v>62.222222222222229</v>
      </c>
      <c r="E15" s="27">
        <v>62.222222222222229</v>
      </c>
      <c r="F15" s="27">
        <v>62.222222222222229</v>
      </c>
      <c r="G15" s="27">
        <v>62.222222222222229</v>
      </c>
      <c r="H15" s="27">
        <v>62.222222222222229</v>
      </c>
      <c r="I15" s="27">
        <v>62.222222222222229</v>
      </c>
      <c r="J15" s="27">
        <v>62.222222222222229</v>
      </c>
      <c r="K15" s="27">
        <v>62.222222222222229</v>
      </c>
      <c r="L15" s="27">
        <v>62.222222222222229</v>
      </c>
      <c r="M15" s="27">
        <v>62.222222222222229</v>
      </c>
      <c r="N15" s="27">
        <v>62.222222222222229</v>
      </c>
      <c r="O15" s="27">
        <v>62.222222222222229</v>
      </c>
      <c r="P15" s="27">
        <v>62.222222222222229</v>
      </c>
      <c r="Q15" s="27">
        <v>62.222222222222229</v>
      </c>
      <c r="R15" s="27">
        <v>62.222222222222229</v>
      </c>
      <c r="S15" s="27">
        <v>62.222222222222229</v>
      </c>
      <c r="T15" s="27">
        <v>62.222222222222229</v>
      </c>
      <c r="U15" s="27">
        <v>62.222222222222229</v>
      </c>
      <c r="V15" s="27">
        <v>62.222222222222229</v>
      </c>
      <c r="W15" s="27">
        <v>62.222222222222229</v>
      </c>
      <c r="X15" s="27">
        <v>62.222222222222229</v>
      </c>
      <c r="Y15" s="27">
        <v>62.222222222222229</v>
      </c>
      <c r="Z15" s="27">
        <v>62.222222222222229</v>
      </c>
      <c r="AA15" s="27">
        <v>62.222222222222229</v>
      </c>
      <c r="AB15" s="27">
        <v>62.222222222222229</v>
      </c>
      <c r="AC15" s="27">
        <v>62.222222222222229</v>
      </c>
      <c r="AD15" s="27">
        <v>62.222222222222229</v>
      </c>
      <c r="AE15" s="27">
        <v>62.222222222222229</v>
      </c>
      <c r="AF15" s="27">
        <v>62.222222222222229</v>
      </c>
      <c r="AG15" s="27">
        <v>62.222222222222229</v>
      </c>
      <c r="AH15" s="27">
        <v>62.222222222222229</v>
      </c>
      <c r="AI15" s="27">
        <v>62.222222222222229</v>
      </c>
      <c r="AJ15" s="27">
        <v>62.222222222222229</v>
      </c>
      <c r="AK15" s="27">
        <v>62.222222222222229</v>
      </c>
      <c r="AL15" s="27">
        <v>62.222222222222229</v>
      </c>
      <c r="AM15" s="27">
        <v>62.222222222222229</v>
      </c>
      <c r="AN15" s="27">
        <v>62.222222222222229</v>
      </c>
      <c r="AO15" s="27">
        <v>62.222222222222229</v>
      </c>
      <c r="AP15" s="27">
        <v>62.222222222222229</v>
      </c>
      <c r="AQ15" s="27">
        <v>62.222222222222229</v>
      </c>
      <c r="AR15" s="27">
        <v>62.222222222222229</v>
      </c>
      <c r="AS15" s="27">
        <v>62.222222222222229</v>
      </c>
      <c r="AT15" s="27">
        <v>62.222222222222229</v>
      </c>
      <c r="AU15" s="27">
        <v>62.222222222222229</v>
      </c>
      <c r="AV15" s="27">
        <v>62.222222222222229</v>
      </c>
      <c r="AW15" s="27">
        <v>62.222222222222229</v>
      </c>
      <c r="AX15" s="27">
        <v>62.222222222222229</v>
      </c>
      <c r="AY15" s="27">
        <v>62.222222222222229</v>
      </c>
      <c r="AZ15" s="27">
        <v>62.222222222222229</v>
      </c>
      <c r="BA15" s="27">
        <v>62.222222222222229</v>
      </c>
      <c r="BB15" s="27">
        <v>62.222222222222229</v>
      </c>
      <c r="BC15" s="27">
        <v>62.222222222222229</v>
      </c>
      <c r="BD15" s="27">
        <v>62.222222222222229</v>
      </c>
      <c r="BE15" s="27">
        <v>62.222222222222229</v>
      </c>
      <c r="BF15" s="27">
        <v>62.222222222222229</v>
      </c>
      <c r="BG15" s="27">
        <v>62.222222222222229</v>
      </c>
      <c r="BH15" s="27">
        <v>62.222222222222229</v>
      </c>
    </row>
    <row r="16" spans="1:60" ht="21" hidden="1" customHeight="1" outlineLevel="1" x14ac:dyDescent="0.25">
      <c r="A16" s="26" t="s">
        <v>151</v>
      </c>
      <c r="B16" s="27">
        <v>175.00000000000003</v>
      </c>
      <c r="C16" s="27">
        <v>175.00000000000003</v>
      </c>
      <c r="D16" s="27">
        <v>175.00000000000003</v>
      </c>
      <c r="E16" s="27">
        <v>175.00000000000003</v>
      </c>
      <c r="F16" s="27">
        <v>175.00000000000003</v>
      </c>
      <c r="G16" s="27">
        <v>175.00000000000003</v>
      </c>
      <c r="H16" s="27">
        <v>175.00000000000003</v>
      </c>
      <c r="I16" s="27">
        <v>175.00000000000003</v>
      </c>
      <c r="J16" s="27">
        <v>175.00000000000003</v>
      </c>
      <c r="K16" s="27">
        <v>175.00000000000003</v>
      </c>
      <c r="L16" s="27">
        <v>175.00000000000003</v>
      </c>
      <c r="M16" s="27">
        <v>175.00000000000003</v>
      </c>
      <c r="N16" s="27">
        <v>175.00000000000003</v>
      </c>
      <c r="O16" s="27">
        <v>175.00000000000003</v>
      </c>
      <c r="P16" s="27">
        <v>175.00000000000003</v>
      </c>
      <c r="Q16" s="27">
        <v>175.00000000000003</v>
      </c>
      <c r="R16" s="27">
        <v>175.00000000000003</v>
      </c>
      <c r="S16" s="27">
        <v>175.00000000000003</v>
      </c>
      <c r="T16" s="27">
        <v>175.00000000000003</v>
      </c>
      <c r="U16" s="27">
        <v>175.00000000000003</v>
      </c>
      <c r="V16" s="27">
        <v>175.00000000000003</v>
      </c>
      <c r="W16" s="27">
        <v>175.00000000000003</v>
      </c>
      <c r="X16" s="27">
        <v>175.00000000000003</v>
      </c>
      <c r="Y16" s="27">
        <v>175.00000000000003</v>
      </c>
      <c r="Z16" s="27">
        <v>175.00000000000003</v>
      </c>
      <c r="AA16" s="27">
        <v>175.00000000000003</v>
      </c>
      <c r="AB16" s="27">
        <v>175.00000000000003</v>
      </c>
      <c r="AC16" s="27">
        <v>175.00000000000003</v>
      </c>
      <c r="AD16" s="27">
        <v>175.00000000000003</v>
      </c>
      <c r="AE16" s="27">
        <v>175.00000000000003</v>
      </c>
      <c r="AF16" s="27">
        <v>175.00000000000003</v>
      </c>
      <c r="AG16" s="27">
        <v>175.00000000000003</v>
      </c>
      <c r="AH16" s="27">
        <v>175.00000000000003</v>
      </c>
      <c r="AI16" s="27">
        <v>175.00000000000003</v>
      </c>
      <c r="AJ16" s="27">
        <v>175.00000000000003</v>
      </c>
      <c r="AK16" s="27">
        <v>175.00000000000003</v>
      </c>
      <c r="AL16" s="27">
        <v>175.00000000000003</v>
      </c>
      <c r="AM16" s="27">
        <v>175.00000000000003</v>
      </c>
      <c r="AN16" s="27">
        <v>175.00000000000003</v>
      </c>
      <c r="AO16" s="27">
        <v>175.00000000000003</v>
      </c>
      <c r="AP16" s="27">
        <v>175.00000000000003</v>
      </c>
      <c r="AQ16" s="27">
        <v>175.00000000000003</v>
      </c>
      <c r="AR16" s="27">
        <v>175.00000000000003</v>
      </c>
      <c r="AS16" s="27">
        <v>175.00000000000003</v>
      </c>
      <c r="AT16" s="27">
        <v>175.00000000000003</v>
      </c>
      <c r="AU16" s="27">
        <v>175.00000000000003</v>
      </c>
      <c r="AV16" s="27">
        <v>175.00000000000003</v>
      </c>
      <c r="AW16" s="27">
        <v>175.00000000000003</v>
      </c>
      <c r="AX16" s="27">
        <v>175.00000000000003</v>
      </c>
      <c r="AY16" s="27">
        <v>175.00000000000003</v>
      </c>
      <c r="AZ16" s="27">
        <v>175.00000000000003</v>
      </c>
      <c r="BA16" s="27">
        <v>175.00000000000003</v>
      </c>
      <c r="BB16" s="27">
        <v>175.00000000000003</v>
      </c>
      <c r="BC16" s="27">
        <v>175.00000000000003</v>
      </c>
      <c r="BD16" s="27">
        <v>175.00000000000003</v>
      </c>
      <c r="BE16" s="27">
        <v>175.00000000000003</v>
      </c>
      <c r="BF16" s="27">
        <v>175.00000000000003</v>
      </c>
      <c r="BG16" s="27">
        <v>175.00000000000003</v>
      </c>
      <c r="BH16" s="27">
        <v>175.00000000000003</v>
      </c>
    </row>
    <row r="17" spans="1:60" ht="21" hidden="1" customHeight="1" outlineLevel="1" x14ac:dyDescent="0.25">
      <c r="A17" s="26" t="s">
        <v>152</v>
      </c>
      <c r="B17" s="27">
        <v>194.44444444444446</v>
      </c>
      <c r="C17" s="27">
        <v>194.44444444444446</v>
      </c>
      <c r="D17" s="27">
        <v>194.44444444444446</v>
      </c>
      <c r="E17" s="27">
        <v>194.44444444444446</v>
      </c>
      <c r="F17" s="27">
        <v>194.44444444444446</v>
      </c>
      <c r="G17" s="27">
        <v>194.44444444444446</v>
      </c>
      <c r="H17" s="27">
        <v>194.44444444444446</v>
      </c>
      <c r="I17" s="27">
        <v>194.44444444444446</v>
      </c>
      <c r="J17" s="27">
        <v>194.44444444444446</v>
      </c>
      <c r="K17" s="27">
        <v>194.44444444444446</v>
      </c>
      <c r="L17" s="27">
        <v>194.44444444444446</v>
      </c>
      <c r="M17" s="27">
        <v>194.44444444444446</v>
      </c>
      <c r="N17" s="27">
        <v>194.44444444444446</v>
      </c>
      <c r="O17" s="27">
        <v>194.44444444444446</v>
      </c>
      <c r="P17" s="27">
        <v>194.44444444444446</v>
      </c>
      <c r="Q17" s="27">
        <v>194.44444444444446</v>
      </c>
      <c r="R17" s="27">
        <v>194.44444444444446</v>
      </c>
      <c r="S17" s="27">
        <v>194.44444444444446</v>
      </c>
      <c r="T17" s="27">
        <v>194.44444444444446</v>
      </c>
      <c r="U17" s="27">
        <v>194.44444444444446</v>
      </c>
      <c r="V17" s="27">
        <v>194.44444444444446</v>
      </c>
      <c r="W17" s="27">
        <v>194.44444444444446</v>
      </c>
      <c r="X17" s="27">
        <v>194.44444444444446</v>
      </c>
      <c r="Y17" s="27">
        <v>194.44444444444446</v>
      </c>
      <c r="Z17" s="27">
        <v>194.44444444444446</v>
      </c>
      <c r="AA17" s="27">
        <v>194.44444444444446</v>
      </c>
      <c r="AB17" s="27">
        <v>194.44444444444446</v>
      </c>
      <c r="AC17" s="27">
        <v>194.44444444444446</v>
      </c>
      <c r="AD17" s="27">
        <v>194.44444444444446</v>
      </c>
      <c r="AE17" s="27">
        <v>194.44444444444446</v>
      </c>
      <c r="AF17" s="27">
        <v>194.44444444444446</v>
      </c>
      <c r="AG17" s="27">
        <v>194.44444444444446</v>
      </c>
      <c r="AH17" s="27">
        <v>194.44444444444446</v>
      </c>
      <c r="AI17" s="27">
        <v>194.44444444444446</v>
      </c>
      <c r="AJ17" s="27">
        <v>194.44444444444446</v>
      </c>
      <c r="AK17" s="27">
        <v>194.44444444444446</v>
      </c>
      <c r="AL17" s="27">
        <v>194.44444444444446</v>
      </c>
      <c r="AM17" s="27">
        <v>194.44444444444446</v>
      </c>
      <c r="AN17" s="27">
        <v>194.44444444444446</v>
      </c>
      <c r="AO17" s="27">
        <v>194.44444444444446</v>
      </c>
      <c r="AP17" s="27">
        <v>194.44444444444446</v>
      </c>
      <c r="AQ17" s="27">
        <v>194.44444444444446</v>
      </c>
      <c r="AR17" s="27">
        <v>194.44444444444446</v>
      </c>
      <c r="AS17" s="27">
        <v>194.44444444444446</v>
      </c>
      <c r="AT17" s="27">
        <v>194.44444444444446</v>
      </c>
      <c r="AU17" s="27">
        <v>194.44444444444446</v>
      </c>
      <c r="AV17" s="27">
        <v>194.44444444444446</v>
      </c>
      <c r="AW17" s="27">
        <v>194.44444444444446</v>
      </c>
      <c r="AX17" s="27">
        <v>194.44444444444446</v>
      </c>
      <c r="AY17" s="27">
        <v>194.44444444444446</v>
      </c>
      <c r="AZ17" s="27">
        <v>194.44444444444446</v>
      </c>
      <c r="BA17" s="27">
        <v>194.44444444444446</v>
      </c>
      <c r="BB17" s="27">
        <v>194.44444444444446</v>
      </c>
      <c r="BC17" s="27">
        <v>194.44444444444446</v>
      </c>
      <c r="BD17" s="27">
        <v>194.44444444444446</v>
      </c>
      <c r="BE17" s="27">
        <v>194.44444444444446</v>
      </c>
      <c r="BF17" s="27">
        <v>194.44444444444446</v>
      </c>
      <c r="BG17" s="27">
        <v>194.44444444444446</v>
      </c>
      <c r="BH17" s="27">
        <v>194.44444444444446</v>
      </c>
    </row>
    <row r="18" spans="1:60" ht="21" hidden="1" customHeight="1" outlineLevel="1" x14ac:dyDescent="0.25">
      <c r="A18" s="26" t="s">
        <v>153</v>
      </c>
      <c r="B18" s="27">
        <v>38.888888888888893</v>
      </c>
      <c r="C18" s="27">
        <v>38.888888888888893</v>
      </c>
      <c r="D18" s="27">
        <v>38.888888888888893</v>
      </c>
      <c r="E18" s="27">
        <v>38.888888888888893</v>
      </c>
      <c r="F18" s="27">
        <v>38.888888888888893</v>
      </c>
      <c r="G18" s="27">
        <v>38.888888888888893</v>
      </c>
      <c r="H18" s="27">
        <v>38.888888888888893</v>
      </c>
      <c r="I18" s="27">
        <v>38.888888888888893</v>
      </c>
      <c r="J18" s="27">
        <v>38.888888888888893</v>
      </c>
      <c r="K18" s="27">
        <v>38.888888888888893</v>
      </c>
      <c r="L18" s="27">
        <v>38.888888888888893</v>
      </c>
      <c r="M18" s="27">
        <v>38.888888888888893</v>
      </c>
      <c r="N18" s="27">
        <v>38.888888888888893</v>
      </c>
      <c r="O18" s="27">
        <v>38.888888888888893</v>
      </c>
      <c r="P18" s="27">
        <v>38.888888888888893</v>
      </c>
      <c r="Q18" s="27">
        <v>38.888888888888893</v>
      </c>
      <c r="R18" s="27">
        <v>38.888888888888893</v>
      </c>
      <c r="S18" s="27">
        <v>38.888888888888893</v>
      </c>
      <c r="T18" s="27">
        <v>38.888888888888893</v>
      </c>
      <c r="U18" s="27">
        <v>38.888888888888893</v>
      </c>
      <c r="V18" s="27">
        <v>38.888888888888893</v>
      </c>
      <c r="W18" s="27">
        <v>38.888888888888893</v>
      </c>
      <c r="X18" s="27">
        <v>38.888888888888893</v>
      </c>
      <c r="Y18" s="27">
        <v>38.888888888888893</v>
      </c>
      <c r="Z18" s="27">
        <v>38.888888888888893</v>
      </c>
      <c r="AA18" s="27">
        <v>38.888888888888893</v>
      </c>
      <c r="AB18" s="27">
        <v>38.888888888888893</v>
      </c>
      <c r="AC18" s="27">
        <v>38.888888888888893</v>
      </c>
      <c r="AD18" s="27">
        <v>38.888888888888893</v>
      </c>
      <c r="AE18" s="27">
        <v>38.888888888888893</v>
      </c>
      <c r="AF18" s="27">
        <v>38.888888888888893</v>
      </c>
      <c r="AG18" s="27">
        <v>38.888888888888893</v>
      </c>
      <c r="AH18" s="27">
        <v>38.888888888888893</v>
      </c>
      <c r="AI18" s="27">
        <v>38.888888888888893</v>
      </c>
      <c r="AJ18" s="27">
        <v>38.888888888888893</v>
      </c>
      <c r="AK18" s="27">
        <v>38.888888888888893</v>
      </c>
      <c r="AL18" s="27">
        <v>38.888888888888893</v>
      </c>
      <c r="AM18" s="27">
        <v>38.888888888888893</v>
      </c>
      <c r="AN18" s="27">
        <v>38.888888888888893</v>
      </c>
      <c r="AO18" s="27">
        <v>38.888888888888893</v>
      </c>
      <c r="AP18" s="27">
        <v>38.888888888888893</v>
      </c>
      <c r="AQ18" s="27">
        <v>38.888888888888893</v>
      </c>
      <c r="AR18" s="27">
        <v>38.888888888888893</v>
      </c>
      <c r="AS18" s="27">
        <v>38.888888888888893</v>
      </c>
      <c r="AT18" s="27">
        <v>38.888888888888893</v>
      </c>
      <c r="AU18" s="27">
        <v>38.888888888888893</v>
      </c>
      <c r="AV18" s="27">
        <v>38.888888888888893</v>
      </c>
      <c r="AW18" s="27">
        <v>38.888888888888893</v>
      </c>
      <c r="AX18" s="27">
        <v>38.888888888888893</v>
      </c>
      <c r="AY18" s="27">
        <v>38.888888888888893</v>
      </c>
      <c r="AZ18" s="27">
        <v>38.888888888888893</v>
      </c>
      <c r="BA18" s="27">
        <v>38.888888888888893</v>
      </c>
      <c r="BB18" s="27">
        <v>38.888888888888893</v>
      </c>
      <c r="BC18" s="27">
        <v>38.888888888888893</v>
      </c>
      <c r="BD18" s="27">
        <v>38.888888888888893</v>
      </c>
      <c r="BE18" s="27">
        <v>38.888888888888893</v>
      </c>
      <c r="BF18" s="27">
        <v>38.888888888888893</v>
      </c>
      <c r="BG18" s="27">
        <v>38.888888888888893</v>
      </c>
      <c r="BH18" s="27">
        <v>38.888888888888893</v>
      </c>
    </row>
    <row r="19" spans="1:60" ht="21" hidden="1" customHeight="1" outlineLevel="1" x14ac:dyDescent="0.25">
      <c r="A19" s="26" t="s">
        <v>154</v>
      </c>
      <c r="B19" s="27">
        <v>78.766181666666668</v>
      </c>
      <c r="C19" s="27">
        <v>78.766181666666668</v>
      </c>
      <c r="D19" s="27">
        <v>78.766181666666668</v>
      </c>
      <c r="E19" s="27">
        <v>78.766181666666668</v>
      </c>
      <c r="F19" s="27">
        <v>78.766181666666668</v>
      </c>
      <c r="G19" s="27">
        <v>78.766181666666668</v>
      </c>
      <c r="H19" s="27">
        <v>78.766181666666668</v>
      </c>
      <c r="I19" s="27">
        <v>78.766181666666668</v>
      </c>
      <c r="J19" s="27">
        <v>78.766181666666668</v>
      </c>
      <c r="K19" s="27">
        <v>78.766181666666668</v>
      </c>
      <c r="L19" s="27">
        <v>78.766181666666668</v>
      </c>
      <c r="M19" s="27">
        <v>78.766181666666668</v>
      </c>
      <c r="N19" s="27">
        <v>78.766181666666668</v>
      </c>
      <c r="O19" s="27">
        <v>78.766181666666668</v>
      </c>
      <c r="P19" s="27">
        <v>78.766181666666668</v>
      </c>
      <c r="Q19" s="27">
        <v>78.766181666666668</v>
      </c>
      <c r="R19" s="27">
        <v>78.766181666666668</v>
      </c>
      <c r="S19" s="27">
        <v>78.766181666666668</v>
      </c>
      <c r="T19" s="27">
        <v>78.766181666666668</v>
      </c>
      <c r="U19" s="27">
        <v>78.766181666666668</v>
      </c>
      <c r="V19" s="27">
        <v>78.766181666666668</v>
      </c>
      <c r="W19" s="27">
        <v>78.766181666666668</v>
      </c>
      <c r="X19" s="27">
        <v>78.766181666666668</v>
      </c>
      <c r="Y19" s="27">
        <v>78.766181666666668</v>
      </c>
      <c r="Z19" s="27">
        <v>78.766181666666668</v>
      </c>
      <c r="AA19" s="27">
        <v>78.766181666666668</v>
      </c>
      <c r="AB19" s="27">
        <v>78.766181666666668</v>
      </c>
      <c r="AC19" s="27">
        <v>78.766181666666668</v>
      </c>
      <c r="AD19" s="27">
        <v>78.766181666666668</v>
      </c>
      <c r="AE19" s="27">
        <v>78.766181666666668</v>
      </c>
      <c r="AF19" s="27">
        <v>78.766181666666668</v>
      </c>
      <c r="AG19" s="27">
        <v>78.766181666666668</v>
      </c>
      <c r="AH19" s="27">
        <v>78.766181666666668</v>
      </c>
      <c r="AI19" s="27">
        <v>78.766181666666668</v>
      </c>
      <c r="AJ19" s="27">
        <v>78.766181666666668</v>
      </c>
      <c r="AK19" s="27">
        <v>78.766181666666668</v>
      </c>
      <c r="AL19" s="27">
        <v>78.766181666666668</v>
      </c>
      <c r="AM19" s="27">
        <v>78.766181666666668</v>
      </c>
      <c r="AN19" s="27">
        <v>78.766181666666668</v>
      </c>
      <c r="AO19" s="27">
        <v>78.766181666666668</v>
      </c>
      <c r="AP19" s="27">
        <v>78.766181666666668</v>
      </c>
      <c r="AQ19" s="27">
        <v>78.766181666666668</v>
      </c>
      <c r="AR19" s="27">
        <v>78.766181666666668</v>
      </c>
      <c r="AS19" s="27">
        <v>78.766181666666668</v>
      </c>
      <c r="AT19" s="27">
        <v>78.766181666666668</v>
      </c>
      <c r="AU19" s="27">
        <v>78.766181666666668</v>
      </c>
      <c r="AV19" s="27">
        <v>78.766181666666668</v>
      </c>
      <c r="AW19" s="27">
        <v>78.766181666666668</v>
      </c>
      <c r="AX19" s="27">
        <v>78.766181666666668</v>
      </c>
      <c r="AY19" s="27">
        <v>78.766181666666668</v>
      </c>
      <c r="AZ19" s="27">
        <v>78.766181666666668</v>
      </c>
      <c r="BA19" s="27">
        <v>78.766181666666668</v>
      </c>
      <c r="BB19" s="27">
        <v>78.766181666666668</v>
      </c>
      <c r="BC19" s="27">
        <v>78.766181666666668</v>
      </c>
      <c r="BD19" s="27">
        <v>78.766181666666668</v>
      </c>
      <c r="BE19" s="27">
        <v>78.766181666666668</v>
      </c>
      <c r="BF19" s="27">
        <v>78.766181666666668</v>
      </c>
      <c r="BG19" s="27">
        <v>78.766181666666668</v>
      </c>
      <c r="BH19" s="27">
        <v>78.766181666666668</v>
      </c>
    </row>
    <row r="20" spans="1:60" ht="21" hidden="1" customHeight="1" outlineLevel="1" x14ac:dyDescent="0.25">
      <c r="A20" s="26" t="s">
        <v>155</v>
      </c>
      <c r="B20" s="27">
        <v>38.888888888888893</v>
      </c>
      <c r="C20" s="27">
        <v>38.888888888888893</v>
      </c>
      <c r="D20" s="27">
        <v>38.888888888888893</v>
      </c>
      <c r="E20" s="27">
        <v>38.888888888888893</v>
      </c>
      <c r="F20" s="27">
        <v>38.888888888888893</v>
      </c>
      <c r="G20" s="27">
        <v>38.888888888888893</v>
      </c>
      <c r="H20" s="27">
        <v>38.888888888888893</v>
      </c>
      <c r="I20" s="27">
        <v>38.888888888888893</v>
      </c>
      <c r="J20" s="27">
        <v>38.888888888888893</v>
      </c>
      <c r="K20" s="27">
        <v>38.888888888888893</v>
      </c>
      <c r="L20" s="27">
        <v>38.888888888888893</v>
      </c>
      <c r="M20" s="27">
        <v>38.888888888888893</v>
      </c>
      <c r="N20" s="27">
        <v>38.888888888888893</v>
      </c>
      <c r="O20" s="27">
        <v>38.888888888888893</v>
      </c>
      <c r="P20" s="27">
        <v>38.888888888888893</v>
      </c>
      <c r="Q20" s="27">
        <v>38.888888888888893</v>
      </c>
      <c r="R20" s="27">
        <v>38.888888888888893</v>
      </c>
      <c r="S20" s="27">
        <v>38.888888888888893</v>
      </c>
      <c r="T20" s="27">
        <v>38.888888888888893</v>
      </c>
      <c r="U20" s="27">
        <v>38.888888888888893</v>
      </c>
      <c r="V20" s="27">
        <v>38.888888888888893</v>
      </c>
      <c r="W20" s="27">
        <v>38.888888888888893</v>
      </c>
      <c r="X20" s="27">
        <v>38.888888888888893</v>
      </c>
      <c r="Y20" s="27">
        <v>38.888888888888893</v>
      </c>
      <c r="Z20" s="27">
        <v>38.888888888888893</v>
      </c>
      <c r="AA20" s="27">
        <v>38.888888888888893</v>
      </c>
      <c r="AB20" s="27">
        <v>38.888888888888893</v>
      </c>
      <c r="AC20" s="27">
        <v>38.888888888888893</v>
      </c>
      <c r="AD20" s="27">
        <v>38.888888888888893</v>
      </c>
      <c r="AE20" s="27">
        <v>38.888888888888893</v>
      </c>
      <c r="AF20" s="27">
        <v>38.888888888888893</v>
      </c>
      <c r="AG20" s="27">
        <v>38.888888888888893</v>
      </c>
      <c r="AH20" s="27">
        <v>38.888888888888893</v>
      </c>
      <c r="AI20" s="27">
        <v>38.888888888888893</v>
      </c>
      <c r="AJ20" s="27">
        <v>38.888888888888893</v>
      </c>
      <c r="AK20" s="27">
        <v>38.888888888888893</v>
      </c>
      <c r="AL20" s="27">
        <v>38.888888888888893</v>
      </c>
      <c r="AM20" s="27">
        <v>38.888888888888893</v>
      </c>
      <c r="AN20" s="27">
        <v>38.888888888888893</v>
      </c>
      <c r="AO20" s="27">
        <v>38.888888888888893</v>
      </c>
      <c r="AP20" s="27">
        <v>38.888888888888893</v>
      </c>
      <c r="AQ20" s="27">
        <v>38.888888888888893</v>
      </c>
      <c r="AR20" s="27">
        <v>38.888888888888893</v>
      </c>
      <c r="AS20" s="27">
        <v>38.888888888888893</v>
      </c>
      <c r="AT20" s="27">
        <v>38.888888888888893</v>
      </c>
      <c r="AU20" s="27">
        <v>38.888888888888893</v>
      </c>
      <c r="AV20" s="27">
        <v>38.888888888888893</v>
      </c>
      <c r="AW20" s="27">
        <v>38.888888888888893</v>
      </c>
      <c r="AX20" s="27">
        <v>38.888888888888893</v>
      </c>
      <c r="AY20" s="27">
        <v>38.888888888888893</v>
      </c>
      <c r="AZ20" s="27">
        <v>38.888888888888893</v>
      </c>
      <c r="BA20" s="27">
        <v>38.888888888888893</v>
      </c>
      <c r="BB20" s="27">
        <v>38.888888888888893</v>
      </c>
      <c r="BC20" s="27">
        <v>38.888888888888893</v>
      </c>
      <c r="BD20" s="27">
        <v>38.888888888888893</v>
      </c>
      <c r="BE20" s="27">
        <v>38.888888888888893</v>
      </c>
      <c r="BF20" s="27">
        <v>38.888888888888893</v>
      </c>
      <c r="BG20" s="27">
        <v>38.888888888888893</v>
      </c>
      <c r="BH20" s="27">
        <v>38.888888888888893</v>
      </c>
    </row>
    <row r="21" spans="1:60" ht="21" hidden="1" customHeight="1" outlineLevel="1" x14ac:dyDescent="0.25">
      <c r="A21" s="26" t="s">
        <v>156</v>
      </c>
      <c r="B21" s="27">
        <v>38.888888888888893</v>
      </c>
      <c r="C21" s="27">
        <v>38.888888888888893</v>
      </c>
      <c r="D21" s="27">
        <v>38.888888888888893</v>
      </c>
      <c r="E21" s="27">
        <v>38.888888888888893</v>
      </c>
      <c r="F21" s="27">
        <v>38.888888888888893</v>
      </c>
      <c r="G21" s="27">
        <v>38.888888888888893</v>
      </c>
      <c r="H21" s="27">
        <v>38.888888888888893</v>
      </c>
      <c r="I21" s="27">
        <v>38.888888888888893</v>
      </c>
      <c r="J21" s="27">
        <v>38.888888888888893</v>
      </c>
      <c r="K21" s="27">
        <v>38.888888888888893</v>
      </c>
      <c r="L21" s="27">
        <v>38.888888888888893</v>
      </c>
      <c r="M21" s="27">
        <v>38.888888888888893</v>
      </c>
      <c r="N21" s="27">
        <v>38.888888888888893</v>
      </c>
      <c r="O21" s="27">
        <v>38.888888888888893</v>
      </c>
      <c r="P21" s="27">
        <v>38.888888888888893</v>
      </c>
      <c r="Q21" s="27">
        <v>38.888888888888893</v>
      </c>
      <c r="R21" s="27">
        <v>38.888888888888893</v>
      </c>
      <c r="S21" s="27">
        <v>38.888888888888893</v>
      </c>
      <c r="T21" s="27">
        <v>38.888888888888893</v>
      </c>
      <c r="U21" s="27">
        <v>38.888888888888893</v>
      </c>
      <c r="V21" s="27">
        <v>38.888888888888893</v>
      </c>
      <c r="W21" s="27">
        <v>38.888888888888893</v>
      </c>
      <c r="X21" s="27">
        <v>38.888888888888893</v>
      </c>
      <c r="Y21" s="27">
        <v>38.888888888888893</v>
      </c>
      <c r="Z21" s="27">
        <v>38.888888888888893</v>
      </c>
      <c r="AA21" s="27">
        <v>38.888888888888893</v>
      </c>
      <c r="AB21" s="27">
        <v>38.888888888888893</v>
      </c>
      <c r="AC21" s="27">
        <v>38.888888888888893</v>
      </c>
      <c r="AD21" s="27">
        <v>38.888888888888893</v>
      </c>
      <c r="AE21" s="27">
        <v>38.888888888888893</v>
      </c>
      <c r="AF21" s="27">
        <v>38.888888888888893</v>
      </c>
      <c r="AG21" s="27">
        <v>38.888888888888893</v>
      </c>
      <c r="AH21" s="27">
        <v>38.888888888888893</v>
      </c>
      <c r="AI21" s="27">
        <v>38.888888888888893</v>
      </c>
      <c r="AJ21" s="27">
        <v>38.888888888888893</v>
      </c>
      <c r="AK21" s="27">
        <v>38.888888888888893</v>
      </c>
      <c r="AL21" s="27">
        <v>38.888888888888893</v>
      </c>
      <c r="AM21" s="27">
        <v>38.888888888888893</v>
      </c>
      <c r="AN21" s="27">
        <v>38.888888888888893</v>
      </c>
      <c r="AO21" s="27">
        <v>38.888888888888893</v>
      </c>
      <c r="AP21" s="27">
        <v>38.888888888888893</v>
      </c>
      <c r="AQ21" s="27">
        <v>38.888888888888893</v>
      </c>
      <c r="AR21" s="27">
        <v>38.888888888888893</v>
      </c>
      <c r="AS21" s="27">
        <v>38.888888888888893</v>
      </c>
      <c r="AT21" s="27">
        <v>38.888888888888893</v>
      </c>
      <c r="AU21" s="27">
        <v>38.888888888888893</v>
      </c>
      <c r="AV21" s="27">
        <v>38.888888888888893</v>
      </c>
      <c r="AW21" s="27">
        <v>38.888888888888893</v>
      </c>
      <c r="AX21" s="27">
        <v>38.888888888888893</v>
      </c>
      <c r="AY21" s="27">
        <v>38.888888888888893</v>
      </c>
      <c r="AZ21" s="27">
        <v>38.888888888888893</v>
      </c>
      <c r="BA21" s="27">
        <v>38.888888888888893</v>
      </c>
      <c r="BB21" s="27">
        <v>38.888888888888893</v>
      </c>
      <c r="BC21" s="27">
        <v>38.888888888888893</v>
      </c>
      <c r="BD21" s="27">
        <v>38.888888888888893</v>
      </c>
      <c r="BE21" s="27">
        <v>38.888888888888893</v>
      </c>
      <c r="BF21" s="27">
        <v>38.888888888888893</v>
      </c>
      <c r="BG21" s="27">
        <v>38.888888888888893</v>
      </c>
      <c r="BH21" s="27">
        <v>38.888888888888893</v>
      </c>
    </row>
    <row r="22" spans="1:60" ht="21" hidden="1" customHeight="1" outlineLevel="1" x14ac:dyDescent="0.25">
      <c r="A22" s="26" t="s">
        <v>157</v>
      </c>
      <c r="B22" s="27">
        <v>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23.333333333333336</v>
      </c>
      <c r="U22" s="27">
        <v>23.333333333333336</v>
      </c>
      <c r="V22" s="27">
        <v>23.333333333333336</v>
      </c>
      <c r="W22" s="27">
        <v>23.333333333333336</v>
      </c>
      <c r="X22" s="27">
        <v>23.333333333333336</v>
      </c>
      <c r="Y22" s="27">
        <v>23.333333333333336</v>
      </c>
      <c r="Z22" s="27">
        <v>23.333333333333336</v>
      </c>
      <c r="AA22" s="27">
        <v>23.333333333333336</v>
      </c>
      <c r="AB22" s="27">
        <v>23.333333333333336</v>
      </c>
      <c r="AC22" s="27">
        <v>23.333333333333336</v>
      </c>
      <c r="AD22" s="27">
        <v>23.333333333333336</v>
      </c>
      <c r="AE22" s="27">
        <v>23.333333333333336</v>
      </c>
      <c r="AF22" s="27">
        <v>23.333333333333336</v>
      </c>
      <c r="AG22" s="27">
        <v>23.333333333333336</v>
      </c>
      <c r="AH22" s="27">
        <v>23.333333333333336</v>
      </c>
      <c r="AI22" s="27">
        <v>23.333333333333336</v>
      </c>
      <c r="AJ22" s="27">
        <v>23.333333333333336</v>
      </c>
      <c r="AK22" s="27">
        <v>23.333333333333336</v>
      </c>
      <c r="AL22" s="27">
        <v>23.333333333333336</v>
      </c>
      <c r="AM22" s="27">
        <v>23.333333333333336</v>
      </c>
      <c r="AN22" s="27">
        <v>23.333333333333336</v>
      </c>
      <c r="AO22" s="27">
        <v>23.333333333333336</v>
      </c>
      <c r="AP22" s="27">
        <v>23.333333333333336</v>
      </c>
      <c r="AQ22" s="27">
        <v>23.333333333333336</v>
      </c>
      <c r="AR22" s="27">
        <v>23.333333333333336</v>
      </c>
      <c r="AS22" s="27">
        <v>23.333333333333336</v>
      </c>
      <c r="AT22" s="27">
        <v>23.333333333333336</v>
      </c>
      <c r="AU22" s="27">
        <v>23.333333333333336</v>
      </c>
      <c r="AV22" s="27">
        <v>23.333333333333336</v>
      </c>
      <c r="AW22" s="27">
        <v>23.333333333333336</v>
      </c>
      <c r="AX22" s="27">
        <v>23.333333333333336</v>
      </c>
      <c r="AY22" s="27">
        <v>23.333333333333336</v>
      </c>
      <c r="AZ22" s="27">
        <v>23.333333333333336</v>
      </c>
      <c r="BA22" s="27">
        <v>23.333333333333336</v>
      </c>
      <c r="BB22" s="27">
        <v>23.333333333333336</v>
      </c>
      <c r="BC22" s="27">
        <v>23.333333333333336</v>
      </c>
      <c r="BD22" s="27">
        <v>23.333333333333336</v>
      </c>
      <c r="BE22" s="27">
        <v>23.333333333333336</v>
      </c>
      <c r="BF22" s="27">
        <v>23.333333333333336</v>
      </c>
      <c r="BG22" s="27">
        <v>23.333333333333336</v>
      </c>
      <c r="BH22" s="27">
        <v>23.333333333333336</v>
      </c>
    </row>
    <row r="23" spans="1:60" ht="21" hidden="1" customHeight="1" outlineLevel="1" x14ac:dyDescent="0.25">
      <c r="A23" s="26" t="s">
        <v>158</v>
      </c>
      <c r="B23" s="27">
        <v>0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19.444444444444446</v>
      </c>
      <c r="V23" s="27">
        <v>19.444444444444446</v>
      </c>
      <c r="W23" s="27">
        <v>19.444444444444446</v>
      </c>
      <c r="X23" s="27">
        <v>19.444444444444446</v>
      </c>
      <c r="Y23" s="27">
        <v>19.444444444444446</v>
      </c>
      <c r="Z23" s="27">
        <v>19.444444444444446</v>
      </c>
      <c r="AA23" s="27">
        <v>19.444444444444446</v>
      </c>
      <c r="AB23" s="27">
        <v>19.444444444444446</v>
      </c>
      <c r="AC23" s="27">
        <v>19.444444444444446</v>
      </c>
      <c r="AD23" s="27">
        <v>19.444444444444446</v>
      </c>
      <c r="AE23" s="27">
        <v>19.444444444444446</v>
      </c>
      <c r="AF23" s="27">
        <v>19.444444444444446</v>
      </c>
      <c r="AG23" s="27">
        <v>19.444444444444446</v>
      </c>
      <c r="AH23" s="27">
        <v>19.444444444444446</v>
      </c>
      <c r="AI23" s="27">
        <v>19.444444444444446</v>
      </c>
      <c r="AJ23" s="27">
        <v>19.444444444444446</v>
      </c>
      <c r="AK23" s="27">
        <v>19.444444444444446</v>
      </c>
      <c r="AL23" s="27">
        <v>19.444444444444446</v>
      </c>
      <c r="AM23" s="27">
        <v>19.444444444444446</v>
      </c>
      <c r="AN23" s="27">
        <v>19.444444444444446</v>
      </c>
      <c r="AO23" s="27">
        <v>19.444444444444446</v>
      </c>
      <c r="AP23" s="27">
        <v>19.444444444444446</v>
      </c>
      <c r="AQ23" s="27">
        <v>19.444444444444446</v>
      </c>
      <c r="AR23" s="27">
        <v>19.444444444444446</v>
      </c>
      <c r="AS23" s="27">
        <v>19.444444444444446</v>
      </c>
      <c r="AT23" s="27">
        <v>19.444444444444446</v>
      </c>
      <c r="AU23" s="27">
        <v>19.444444444444446</v>
      </c>
      <c r="AV23" s="27">
        <v>19.444444444444446</v>
      </c>
      <c r="AW23" s="27">
        <v>19.444444444444446</v>
      </c>
      <c r="AX23" s="27">
        <v>19.444444444444446</v>
      </c>
      <c r="AY23" s="27">
        <v>19.444444444444446</v>
      </c>
      <c r="AZ23" s="27">
        <v>19.444444444444446</v>
      </c>
      <c r="BA23" s="27">
        <v>19.444444444444446</v>
      </c>
      <c r="BB23" s="27">
        <v>19.444444444444446</v>
      </c>
      <c r="BC23" s="27">
        <v>19.444444444444446</v>
      </c>
      <c r="BD23" s="27">
        <v>19.444444444444446</v>
      </c>
      <c r="BE23" s="27">
        <v>19.444444444444446</v>
      </c>
      <c r="BF23" s="27">
        <v>19.444444444444446</v>
      </c>
      <c r="BG23" s="27">
        <v>19.444444444444446</v>
      </c>
      <c r="BH23" s="27">
        <v>19.444444444444446</v>
      </c>
    </row>
    <row r="24" spans="1:60" ht="21" hidden="1" customHeight="1" outlineLevel="1" x14ac:dyDescent="0.25">
      <c r="A24" s="26" t="s">
        <v>159</v>
      </c>
      <c r="B24" s="27">
        <v>0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38.888888888888893</v>
      </c>
      <c r="W24" s="27">
        <v>38.888888888888893</v>
      </c>
      <c r="X24" s="27">
        <v>38.888888888888893</v>
      </c>
      <c r="Y24" s="27">
        <v>38.888888888888893</v>
      </c>
      <c r="Z24" s="27">
        <v>38.888888888888893</v>
      </c>
      <c r="AA24" s="27">
        <v>38.888888888888893</v>
      </c>
      <c r="AB24" s="27">
        <v>38.888888888888893</v>
      </c>
      <c r="AC24" s="27">
        <v>38.888888888888893</v>
      </c>
      <c r="AD24" s="27">
        <v>38.888888888888893</v>
      </c>
      <c r="AE24" s="27">
        <v>38.888888888888893</v>
      </c>
      <c r="AF24" s="27">
        <v>38.888888888888893</v>
      </c>
      <c r="AG24" s="27">
        <v>38.888888888888893</v>
      </c>
      <c r="AH24" s="27">
        <v>38.888888888888893</v>
      </c>
      <c r="AI24" s="27">
        <v>38.888888888888893</v>
      </c>
      <c r="AJ24" s="27">
        <v>38.888888888888893</v>
      </c>
      <c r="AK24" s="27">
        <v>38.888888888888893</v>
      </c>
      <c r="AL24" s="27">
        <v>38.888888888888893</v>
      </c>
      <c r="AM24" s="27">
        <v>38.888888888888893</v>
      </c>
      <c r="AN24" s="27">
        <v>38.888888888888893</v>
      </c>
      <c r="AO24" s="27">
        <v>38.888888888888893</v>
      </c>
      <c r="AP24" s="27">
        <v>38.888888888888893</v>
      </c>
      <c r="AQ24" s="27">
        <v>38.888888888888893</v>
      </c>
      <c r="AR24" s="27">
        <v>38.888888888888893</v>
      </c>
      <c r="AS24" s="27">
        <v>38.888888888888893</v>
      </c>
      <c r="AT24" s="27">
        <v>38.888888888888893</v>
      </c>
      <c r="AU24" s="27">
        <v>38.888888888888893</v>
      </c>
      <c r="AV24" s="27">
        <v>38.888888888888893</v>
      </c>
      <c r="AW24" s="27">
        <v>38.888888888888893</v>
      </c>
      <c r="AX24" s="27">
        <v>38.888888888888893</v>
      </c>
      <c r="AY24" s="27">
        <v>38.888888888888893</v>
      </c>
      <c r="AZ24" s="27">
        <v>38.888888888888893</v>
      </c>
      <c r="BA24" s="27">
        <v>38.888888888888893</v>
      </c>
      <c r="BB24" s="27">
        <v>38.888888888888893</v>
      </c>
      <c r="BC24" s="27">
        <v>38.888888888888893</v>
      </c>
      <c r="BD24" s="27">
        <v>38.888888888888893</v>
      </c>
      <c r="BE24" s="27">
        <v>38.888888888888893</v>
      </c>
      <c r="BF24" s="27">
        <v>38.888888888888893</v>
      </c>
      <c r="BG24" s="27">
        <v>38.888888888888893</v>
      </c>
      <c r="BH24" s="27">
        <v>38.888888888888893</v>
      </c>
    </row>
    <row r="25" spans="1:60" ht="21" hidden="1" customHeight="1" outlineLevel="1" x14ac:dyDescent="0.25">
      <c r="A25" s="26" t="s">
        <v>160</v>
      </c>
      <c r="B25" s="27">
        <v>85.555555555555557</v>
      </c>
      <c r="C25" s="27">
        <v>85.555555555555557</v>
      </c>
      <c r="D25" s="27">
        <v>85.555555555555557</v>
      </c>
      <c r="E25" s="27">
        <v>85.555555555555557</v>
      </c>
      <c r="F25" s="27">
        <v>85.555555555555557</v>
      </c>
      <c r="G25" s="27">
        <v>85.555555555555557</v>
      </c>
      <c r="H25" s="27">
        <v>85.555555555555557</v>
      </c>
      <c r="I25" s="27">
        <v>85.555555555555557</v>
      </c>
      <c r="J25" s="27">
        <v>85.555555555555557</v>
      </c>
      <c r="K25" s="27">
        <v>85.555555555555557</v>
      </c>
      <c r="L25" s="27">
        <v>85.555555555555557</v>
      </c>
      <c r="M25" s="27">
        <v>85.555555555555557</v>
      </c>
      <c r="N25" s="27">
        <v>85.555555555555557</v>
      </c>
      <c r="O25" s="27">
        <v>85.555555555555557</v>
      </c>
      <c r="P25" s="27">
        <v>85.555555555555557</v>
      </c>
      <c r="Q25" s="27">
        <v>85.555555555555557</v>
      </c>
      <c r="R25" s="27">
        <v>85.555555555555557</v>
      </c>
      <c r="S25" s="27">
        <v>85.555555555555557</v>
      </c>
      <c r="T25" s="27">
        <v>85.555555555555557</v>
      </c>
      <c r="U25" s="27">
        <v>85.555555555555557</v>
      </c>
      <c r="V25" s="27">
        <v>85.555555555555557</v>
      </c>
      <c r="W25" s="27">
        <v>85.555555555555557</v>
      </c>
      <c r="X25" s="27">
        <v>85.555555555555557</v>
      </c>
      <c r="Y25" s="27">
        <v>85.555555555555557</v>
      </c>
      <c r="Z25" s="27">
        <v>85.555555555555557</v>
      </c>
      <c r="AA25" s="27">
        <v>85.555555555555557</v>
      </c>
      <c r="AB25" s="27">
        <v>85.555555555555557</v>
      </c>
      <c r="AC25" s="27">
        <v>85.555555555555557</v>
      </c>
      <c r="AD25" s="27">
        <v>85.555555555555557</v>
      </c>
      <c r="AE25" s="27">
        <v>85.555555555555557</v>
      </c>
      <c r="AF25" s="27">
        <v>85.555555555555557</v>
      </c>
      <c r="AG25" s="27">
        <v>85.555555555555557</v>
      </c>
      <c r="AH25" s="27">
        <v>85.555555555555557</v>
      </c>
      <c r="AI25" s="27">
        <v>85.555555555555557</v>
      </c>
      <c r="AJ25" s="27">
        <v>85.555555555555557</v>
      </c>
      <c r="AK25" s="27">
        <v>85.555555555555557</v>
      </c>
      <c r="AL25" s="27">
        <v>85.555555555555557</v>
      </c>
      <c r="AM25" s="27">
        <v>85.555555555555557</v>
      </c>
      <c r="AN25" s="27">
        <v>85.555555555555557</v>
      </c>
      <c r="AO25" s="27">
        <v>85.555555555555557</v>
      </c>
      <c r="AP25" s="27">
        <v>85.555555555555557</v>
      </c>
      <c r="AQ25" s="27">
        <v>85.555555555555557</v>
      </c>
      <c r="AR25" s="27">
        <v>85.555555555555557</v>
      </c>
      <c r="AS25" s="27">
        <v>85.555555555555557</v>
      </c>
      <c r="AT25" s="27">
        <v>85.555555555555557</v>
      </c>
      <c r="AU25" s="27">
        <v>85.555555555555557</v>
      </c>
      <c r="AV25" s="27">
        <v>85.555555555555557</v>
      </c>
      <c r="AW25" s="27">
        <v>85.555555555555557</v>
      </c>
      <c r="AX25" s="27">
        <v>85.555555555555557</v>
      </c>
      <c r="AY25" s="27">
        <v>85.555555555555557</v>
      </c>
      <c r="AZ25" s="27">
        <v>85.555555555555557</v>
      </c>
      <c r="BA25" s="27">
        <v>85.555555555555557</v>
      </c>
      <c r="BB25" s="27">
        <v>85.555555555555557</v>
      </c>
      <c r="BC25" s="27">
        <v>85.555555555555557</v>
      </c>
      <c r="BD25" s="27">
        <v>85.555555555555557</v>
      </c>
      <c r="BE25" s="27">
        <v>85.555555555555557</v>
      </c>
      <c r="BF25" s="27">
        <v>85.555555555555557</v>
      </c>
      <c r="BG25" s="27">
        <v>85.555555555555557</v>
      </c>
      <c r="BH25" s="27">
        <v>85.555555555555557</v>
      </c>
    </row>
    <row r="26" spans="1:60" ht="21" hidden="1" customHeight="1" outlineLevel="1" x14ac:dyDescent="0.25">
      <c r="A26" s="26" t="s">
        <v>161</v>
      </c>
      <c r="B26" s="27">
        <v>0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</row>
    <row r="27" spans="1:60" ht="21" hidden="1" customHeight="1" outlineLevel="1" x14ac:dyDescent="0.25">
      <c r="A27" s="26" t="s">
        <v>162</v>
      </c>
      <c r="B27" s="27">
        <v>38.888888888888893</v>
      </c>
      <c r="C27" s="27">
        <v>38.888888888888893</v>
      </c>
      <c r="D27" s="27">
        <v>38.888888888888893</v>
      </c>
      <c r="E27" s="27">
        <v>38.888888888888893</v>
      </c>
      <c r="F27" s="27">
        <v>38.888888888888893</v>
      </c>
      <c r="G27" s="27">
        <v>38.888888888888893</v>
      </c>
      <c r="H27" s="27">
        <v>38.888888888888893</v>
      </c>
      <c r="I27" s="27">
        <v>38.888888888888893</v>
      </c>
      <c r="J27" s="27">
        <v>38.888888888888893</v>
      </c>
      <c r="K27" s="27">
        <v>38.888888888888893</v>
      </c>
      <c r="L27" s="27">
        <v>38.888888888888893</v>
      </c>
      <c r="M27" s="27">
        <v>38.888888888888893</v>
      </c>
      <c r="N27" s="27">
        <v>38.888888888888893</v>
      </c>
      <c r="O27" s="27">
        <v>38.888888888888893</v>
      </c>
      <c r="P27" s="27">
        <v>38.888888888888893</v>
      </c>
      <c r="Q27" s="27">
        <v>38.888888888888893</v>
      </c>
      <c r="R27" s="27">
        <v>38.888888888888893</v>
      </c>
      <c r="S27" s="27">
        <v>38.888888888888893</v>
      </c>
      <c r="T27" s="27">
        <v>38.888888888888893</v>
      </c>
      <c r="U27" s="27">
        <v>38.888888888888893</v>
      </c>
      <c r="V27" s="27">
        <v>38.888888888888893</v>
      </c>
      <c r="W27" s="27">
        <v>38.888888888888893</v>
      </c>
      <c r="X27" s="27">
        <v>38.888888888888893</v>
      </c>
      <c r="Y27" s="27">
        <v>38.888888888888893</v>
      </c>
      <c r="Z27" s="27">
        <v>38.888888888888893</v>
      </c>
      <c r="AA27" s="27">
        <v>38.888888888888893</v>
      </c>
      <c r="AB27" s="27">
        <v>38.888888888888893</v>
      </c>
      <c r="AC27" s="27">
        <v>38.888888888888893</v>
      </c>
      <c r="AD27" s="27">
        <v>38.888888888888893</v>
      </c>
      <c r="AE27" s="27">
        <v>38.888888888888893</v>
      </c>
      <c r="AF27" s="27">
        <v>38.888888888888893</v>
      </c>
      <c r="AG27" s="27">
        <v>38.888888888888893</v>
      </c>
      <c r="AH27" s="27">
        <v>38.888888888888893</v>
      </c>
      <c r="AI27" s="27">
        <v>38.888888888888893</v>
      </c>
      <c r="AJ27" s="27">
        <v>38.888888888888893</v>
      </c>
      <c r="AK27" s="27">
        <v>38.888888888888893</v>
      </c>
      <c r="AL27" s="27">
        <v>38.888888888888893</v>
      </c>
      <c r="AM27" s="27">
        <v>38.888888888888893</v>
      </c>
      <c r="AN27" s="27">
        <v>38.888888888888893</v>
      </c>
      <c r="AO27" s="27">
        <v>38.888888888888893</v>
      </c>
      <c r="AP27" s="27">
        <v>38.888888888888893</v>
      </c>
      <c r="AQ27" s="27">
        <v>38.888888888888893</v>
      </c>
      <c r="AR27" s="27">
        <v>38.888888888888893</v>
      </c>
      <c r="AS27" s="27">
        <v>38.888888888888893</v>
      </c>
      <c r="AT27" s="27">
        <v>38.888888888888893</v>
      </c>
      <c r="AU27" s="27">
        <v>38.888888888888893</v>
      </c>
      <c r="AV27" s="27">
        <v>38.888888888888893</v>
      </c>
      <c r="AW27" s="27">
        <v>38.888888888888893</v>
      </c>
      <c r="AX27" s="27">
        <v>38.888888888888893</v>
      </c>
      <c r="AY27" s="27">
        <v>38.888888888888893</v>
      </c>
      <c r="AZ27" s="27">
        <v>38.888888888888893</v>
      </c>
      <c r="BA27" s="27">
        <v>38.888888888888893</v>
      </c>
      <c r="BB27" s="27">
        <v>38.888888888888893</v>
      </c>
      <c r="BC27" s="27">
        <v>38.888888888888893</v>
      </c>
      <c r="BD27" s="27">
        <v>38.888888888888893</v>
      </c>
      <c r="BE27" s="27">
        <v>38.888888888888893</v>
      </c>
      <c r="BF27" s="27">
        <v>38.888888888888893</v>
      </c>
      <c r="BG27" s="27">
        <v>38.888888888888893</v>
      </c>
      <c r="BH27" s="27">
        <v>38.888888888888893</v>
      </c>
    </row>
    <row r="28" spans="1:60" ht="21" hidden="1" customHeight="1" outlineLevel="1" x14ac:dyDescent="0.25">
      <c r="A28" s="26" t="s">
        <v>163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19.444444444444446</v>
      </c>
      <c r="AI28" s="27">
        <v>19.444444444444446</v>
      </c>
      <c r="AJ28" s="27">
        <v>19.444444444444446</v>
      </c>
      <c r="AK28" s="27">
        <v>19.444444444444446</v>
      </c>
      <c r="AL28" s="27">
        <v>19.444444444444446</v>
      </c>
      <c r="AM28" s="27">
        <v>19.444444444444446</v>
      </c>
      <c r="AN28" s="27">
        <v>19.444444444444446</v>
      </c>
      <c r="AO28" s="27">
        <v>19.444444444444446</v>
      </c>
      <c r="AP28" s="27">
        <v>19.444444444444446</v>
      </c>
      <c r="AQ28" s="27">
        <v>19.444444444444446</v>
      </c>
      <c r="AR28" s="27">
        <v>19.444444444444446</v>
      </c>
      <c r="AS28" s="27">
        <v>19.444444444444446</v>
      </c>
      <c r="AT28" s="27">
        <v>19.444444444444446</v>
      </c>
      <c r="AU28" s="27">
        <v>19.444444444444446</v>
      </c>
      <c r="AV28" s="27">
        <v>19.444444444444446</v>
      </c>
      <c r="AW28" s="27">
        <v>19.444444444444446</v>
      </c>
      <c r="AX28" s="27">
        <v>19.444444444444446</v>
      </c>
      <c r="AY28" s="27">
        <v>19.444444444444446</v>
      </c>
      <c r="AZ28" s="27">
        <v>19.444444444444446</v>
      </c>
      <c r="BA28" s="27">
        <v>19.444444444444446</v>
      </c>
      <c r="BB28" s="27">
        <v>19.444444444444446</v>
      </c>
      <c r="BC28" s="27">
        <v>19.444444444444446</v>
      </c>
      <c r="BD28" s="27">
        <v>19.444444444444446</v>
      </c>
      <c r="BE28" s="27">
        <v>19.444444444444446</v>
      </c>
      <c r="BF28" s="27">
        <v>19.444444444444446</v>
      </c>
      <c r="BG28" s="27">
        <v>19.444444444444446</v>
      </c>
      <c r="BH28" s="27">
        <v>19.444444444444446</v>
      </c>
    </row>
    <row r="29" spans="1:60" ht="21" hidden="1" customHeight="1" outlineLevel="1" x14ac:dyDescent="0.25">
      <c r="A29" s="26" t="s">
        <v>164</v>
      </c>
      <c r="B29" s="27">
        <v>123.876655</v>
      </c>
      <c r="C29" s="27">
        <v>123.876655</v>
      </c>
      <c r="D29" s="27">
        <v>123.876655</v>
      </c>
      <c r="E29" s="27">
        <v>123.876655</v>
      </c>
      <c r="F29" s="27">
        <v>123.876655</v>
      </c>
      <c r="G29" s="27">
        <v>123.876655</v>
      </c>
      <c r="H29" s="27">
        <v>123.876655</v>
      </c>
      <c r="I29" s="27">
        <v>123.876655</v>
      </c>
      <c r="J29" s="27">
        <v>123.876655</v>
      </c>
      <c r="K29" s="27">
        <v>123.876655</v>
      </c>
      <c r="L29" s="27">
        <v>123.876655</v>
      </c>
      <c r="M29" s="27">
        <v>123.876655</v>
      </c>
      <c r="N29" s="27">
        <v>123.876655</v>
      </c>
      <c r="O29" s="27">
        <v>123.876655</v>
      </c>
      <c r="P29" s="27">
        <v>123.876655</v>
      </c>
      <c r="Q29" s="27">
        <v>123.876655</v>
      </c>
      <c r="R29" s="27">
        <v>123.876655</v>
      </c>
      <c r="S29" s="27">
        <v>123.876655</v>
      </c>
      <c r="T29" s="27">
        <v>123.876655</v>
      </c>
      <c r="U29" s="27">
        <v>123.876655</v>
      </c>
      <c r="V29" s="27">
        <v>123.876655</v>
      </c>
      <c r="W29" s="27">
        <v>123.876655</v>
      </c>
      <c r="X29" s="27">
        <v>123.876655</v>
      </c>
      <c r="Y29" s="27">
        <v>123.876655</v>
      </c>
      <c r="Z29" s="27">
        <v>123.876655</v>
      </c>
      <c r="AA29" s="27">
        <v>123.876655</v>
      </c>
      <c r="AB29" s="27">
        <v>123.876655</v>
      </c>
      <c r="AC29" s="27">
        <v>123.876655</v>
      </c>
      <c r="AD29" s="27">
        <v>123.876655</v>
      </c>
      <c r="AE29" s="27">
        <v>123.876655</v>
      </c>
      <c r="AF29" s="27">
        <v>123.876655</v>
      </c>
      <c r="AG29" s="27">
        <v>123.876655</v>
      </c>
      <c r="AH29" s="27">
        <v>123.876655</v>
      </c>
      <c r="AI29" s="27">
        <v>123.876655</v>
      </c>
      <c r="AJ29" s="27">
        <v>123.876655</v>
      </c>
      <c r="AK29" s="27">
        <v>123.876655</v>
      </c>
      <c r="AL29" s="27">
        <v>123.876655</v>
      </c>
      <c r="AM29" s="27">
        <v>123.876655</v>
      </c>
      <c r="AN29" s="27">
        <v>123.876655</v>
      </c>
      <c r="AO29" s="27">
        <v>123.876655</v>
      </c>
      <c r="AP29" s="27">
        <v>123.876655</v>
      </c>
      <c r="AQ29" s="27">
        <v>123.876655</v>
      </c>
      <c r="AR29" s="27">
        <v>123.876655</v>
      </c>
      <c r="AS29" s="27">
        <v>123.876655</v>
      </c>
      <c r="AT29" s="27">
        <v>123.876655</v>
      </c>
      <c r="AU29" s="27">
        <v>123.876655</v>
      </c>
      <c r="AV29" s="27">
        <v>123.876655</v>
      </c>
      <c r="AW29" s="27">
        <v>123.876655</v>
      </c>
      <c r="AX29" s="27">
        <v>123.876655</v>
      </c>
      <c r="AY29" s="27">
        <v>123.876655</v>
      </c>
      <c r="AZ29" s="27">
        <v>123.876655</v>
      </c>
      <c r="BA29" s="27">
        <v>123.876655</v>
      </c>
      <c r="BB29" s="27">
        <v>123.876655</v>
      </c>
      <c r="BC29" s="27">
        <v>123.876655</v>
      </c>
      <c r="BD29" s="27">
        <v>123.876655</v>
      </c>
      <c r="BE29" s="27">
        <v>123.876655</v>
      </c>
      <c r="BF29" s="27">
        <v>123.876655</v>
      </c>
      <c r="BG29" s="27">
        <v>123.876655</v>
      </c>
      <c r="BH29" s="27">
        <v>123.876655</v>
      </c>
    </row>
    <row r="30" spans="1:60" ht="21" hidden="1" customHeight="1" outlineLevel="1" x14ac:dyDescent="0.25">
      <c r="A30" s="26" t="s">
        <v>165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38.888888888888893</v>
      </c>
      <c r="AJ30" s="27">
        <v>38.888888888888893</v>
      </c>
      <c r="AK30" s="27">
        <v>38.888888888888893</v>
      </c>
      <c r="AL30" s="27">
        <v>38.888888888888893</v>
      </c>
      <c r="AM30" s="27">
        <v>38.888888888888893</v>
      </c>
      <c r="AN30" s="27">
        <v>38.888888888888893</v>
      </c>
      <c r="AO30" s="27">
        <v>38.888888888888893</v>
      </c>
      <c r="AP30" s="27">
        <v>38.888888888888893</v>
      </c>
      <c r="AQ30" s="27">
        <v>38.888888888888893</v>
      </c>
      <c r="AR30" s="27">
        <v>38.888888888888893</v>
      </c>
      <c r="AS30" s="27">
        <v>38.888888888888893</v>
      </c>
      <c r="AT30" s="27">
        <v>38.888888888888893</v>
      </c>
      <c r="AU30" s="27">
        <v>38.888888888888893</v>
      </c>
      <c r="AV30" s="27">
        <v>38.888888888888893</v>
      </c>
      <c r="AW30" s="27">
        <v>38.888888888888893</v>
      </c>
      <c r="AX30" s="27">
        <v>38.888888888888893</v>
      </c>
      <c r="AY30" s="27">
        <v>38.888888888888893</v>
      </c>
      <c r="AZ30" s="27">
        <v>38.888888888888893</v>
      </c>
      <c r="BA30" s="27">
        <v>38.888888888888893</v>
      </c>
      <c r="BB30" s="27">
        <v>38.888888888888893</v>
      </c>
      <c r="BC30" s="27">
        <v>38.888888888888893</v>
      </c>
      <c r="BD30" s="27">
        <v>38.888888888888893</v>
      </c>
      <c r="BE30" s="27">
        <v>38.888888888888893</v>
      </c>
      <c r="BF30" s="27">
        <v>38.888888888888893</v>
      </c>
      <c r="BG30" s="27">
        <v>38.888888888888893</v>
      </c>
      <c r="BH30" s="27">
        <v>38.888888888888893</v>
      </c>
    </row>
    <row r="31" spans="1:60" ht="21" hidden="1" customHeight="1" outlineLevel="1" x14ac:dyDescent="0.25">
      <c r="A31" s="26" t="s">
        <v>166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213.88888888888891</v>
      </c>
      <c r="V31" s="27">
        <v>213.88888888888891</v>
      </c>
      <c r="W31" s="27">
        <v>213.88888888888891</v>
      </c>
      <c r="X31" s="27">
        <v>213.88888888888891</v>
      </c>
      <c r="Y31" s="27">
        <v>213.88888888888891</v>
      </c>
      <c r="Z31" s="27">
        <v>213.88888888888891</v>
      </c>
      <c r="AA31" s="27">
        <v>213.88888888888891</v>
      </c>
      <c r="AB31" s="27">
        <v>213.88888888888891</v>
      </c>
      <c r="AC31" s="27">
        <v>213.88888888888891</v>
      </c>
      <c r="AD31" s="27">
        <v>213.88888888888891</v>
      </c>
      <c r="AE31" s="27">
        <v>213.88888888888891</v>
      </c>
      <c r="AF31" s="27">
        <v>213.88888888888891</v>
      </c>
      <c r="AG31" s="27">
        <v>213.88888888888891</v>
      </c>
      <c r="AH31" s="27">
        <v>213.88888888888891</v>
      </c>
      <c r="AI31" s="27">
        <v>213.88888888888891</v>
      </c>
      <c r="AJ31" s="27">
        <v>213.88888888888891</v>
      </c>
      <c r="AK31" s="27">
        <v>213.88888888888891</v>
      </c>
      <c r="AL31" s="27">
        <v>213.88888888888891</v>
      </c>
      <c r="AM31" s="27">
        <v>213.88888888888891</v>
      </c>
      <c r="AN31" s="27">
        <v>213.88888888888891</v>
      </c>
      <c r="AO31" s="27">
        <v>213.88888888888891</v>
      </c>
      <c r="AP31" s="27">
        <v>213.88888888888891</v>
      </c>
      <c r="AQ31" s="27">
        <v>213.88888888888891</v>
      </c>
      <c r="AR31" s="27">
        <v>213.88888888888891</v>
      </c>
      <c r="AS31" s="27">
        <v>213.88888888888891</v>
      </c>
      <c r="AT31" s="27">
        <v>213.88888888888891</v>
      </c>
      <c r="AU31" s="27">
        <v>213.88888888888891</v>
      </c>
      <c r="AV31" s="27">
        <v>213.88888888888891</v>
      </c>
      <c r="AW31" s="27">
        <v>213.88888888888891</v>
      </c>
      <c r="AX31" s="27">
        <v>213.88888888888891</v>
      </c>
      <c r="AY31" s="27">
        <v>213.88888888888891</v>
      </c>
      <c r="AZ31" s="27">
        <v>213.88888888888891</v>
      </c>
      <c r="BA31" s="27">
        <v>213.88888888888891</v>
      </c>
      <c r="BB31" s="27">
        <v>213.88888888888891</v>
      </c>
      <c r="BC31" s="27">
        <v>213.88888888888891</v>
      </c>
      <c r="BD31" s="27">
        <v>213.88888888888891</v>
      </c>
      <c r="BE31" s="27">
        <v>213.88888888888891</v>
      </c>
      <c r="BF31" s="27">
        <v>213.88888888888891</v>
      </c>
      <c r="BG31" s="27">
        <v>213.88888888888891</v>
      </c>
      <c r="BH31" s="27">
        <v>213.88888888888891</v>
      </c>
    </row>
    <row r="32" spans="1:60" ht="21" hidden="1" customHeight="1" outlineLevel="1" x14ac:dyDescent="0.25">
      <c r="A32" s="26" t="s">
        <v>167</v>
      </c>
      <c r="B32" s="27">
        <v>0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</row>
    <row r="33" spans="1:60" ht="21" hidden="1" customHeight="1" outlineLevel="1" x14ac:dyDescent="0.25">
      <c r="A33" s="26" t="s">
        <v>168</v>
      </c>
      <c r="B33" s="27">
        <v>26.604273888888894</v>
      </c>
      <c r="C33" s="27">
        <v>26.604273888888894</v>
      </c>
      <c r="D33" s="27">
        <v>26.604273888888894</v>
      </c>
      <c r="E33" s="27">
        <v>26.604273888888894</v>
      </c>
      <c r="F33" s="27">
        <v>26.604273888888894</v>
      </c>
      <c r="G33" s="27">
        <v>26.604273888888894</v>
      </c>
      <c r="H33" s="27">
        <v>26.604273888888894</v>
      </c>
      <c r="I33" s="27">
        <v>26.604273888888894</v>
      </c>
      <c r="J33" s="27">
        <v>26.604273888888894</v>
      </c>
      <c r="K33" s="27">
        <v>26.604273888888894</v>
      </c>
      <c r="L33" s="27">
        <v>26.604273888888894</v>
      </c>
      <c r="M33" s="27">
        <v>26.604273888888894</v>
      </c>
      <c r="N33" s="27">
        <v>26.604273888888894</v>
      </c>
      <c r="O33" s="27">
        <v>26.604273888888894</v>
      </c>
      <c r="P33" s="27">
        <v>26.604273888888894</v>
      </c>
      <c r="Q33" s="27">
        <v>26.604273888888894</v>
      </c>
      <c r="R33" s="27">
        <v>26.604273888888894</v>
      </c>
      <c r="S33" s="27">
        <v>26.604273888888894</v>
      </c>
      <c r="T33" s="27">
        <v>26.604273888888894</v>
      </c>
      <c r="U33" s="27">
        <v>26.604273888888894</v>
      </c>
      <c r="V33" s="27">
        <v>26.604273888888894</v>
      </c>
      <c r="W33" s="27">
        <v>26.604273888888894</v>
      </c>
      <c r="X33" s="27">
        <v>26.604273888888894</v>
      </c>
      <c r="Y33" s="27">
        <v>26.604273888888894</v>
      </c>
      <c r="Z33" s="27">
        <v>26.604273888888894</v>
      </c>
      <c r="AA33" s="27">
        <v>26.604273888888894</v>
      </c>
      <c r="AB33" s="27">
        <v>26.604273888888894</v>
      </c>
      <c r="AC33" s="27">
        <v>26.604273888888894</v>
      </c>
      <c r="AD33" s="27">
        <v>26.604273888888894</v>
      </c>
      <c r="AE33" s="27">
        <v>26.604273888888894</v>
      </c>
      <c r="AF33" s="27">
        <v>26.604273888888894</v>
      </c>
      <c r="AG33" s="27">
        <v>26.604273888888894</v>
      </c>
      <c r="AH33" s="27">
        <v>26.604273888888894</v>
      </c>
      <c r="AI33" s="27">
        <v>26.604273888888894</v>
      </c>
      <c r="AJ33" s="27">
        <v>26.604273888888894</v>
      </c>
      <c r="AK33" s="27">
        <v>26.604273888888894</v>
      </c>
      <c r="AL33" s="27">
        <v>26.604273888888894</v>
      </c>
      <c r="AM33" s="27">
        <v>26.604273888888894</v>
      </c>
      <c r="AN33" s="27">
        <v>26.604273888888894</v>
      </c>
      <c r="AO33" s="27">
        <v>26.604273888888894</v>
      </c>
      <c r="AP33" s="27">
        <v>26.604273888888894</v>
      </c>
      <c r="AQ33" s="27">
        <v>26.604273888888894</v>
      </c>
      <c r="AR33" s="27">
        <v>26.604273888888894</v>
      </c>
      <c r="AS33" s="27">
        <v>26.604273888888894</v>
      </c>
      <c r="AT33" s="27">
        <v>26.604273888888894</v>
      </c>
      <c r="AU33" s="27">
        <v>26.604273888888894</v>
      </c>
      <c r="AV33" s="27">
        <v>26.604273888888894</v>
      </c>
      <c r="AW33" s="27">
        <v>26.604273888888894</v>
      </c>
      <c r="AX33" s="27">
        <v>26.604273888888894</v>
      </c>
      <c r="AY33" s="27">
        <v>26.604273888888894</v>
      </c>
      <c r="AZ33" s="27">
        <v>26.604273888888894</v>
      </c>
      <c r="BA33" s="27">
        <v>26.604273888888894</v>
      </c>
      <c r="BB33" s="27">
        <v>26.604273888888894</v>
      </c>
      <c r="BC33" s="27">
        <v>26.604273888888894</v>
      </c>
      <c r="BD33" s="27">
        <v>26.604273888888894</v>
      </c>
      <c r="BE33" s="27">
        <v>26.604273888888894</v>
      </c>
      <c r="BF33" s="27">
        <v>26.604273888888894</v>
      </c>
      <c r="BG33" s="27">
        <v>26.604273888888894</v>
      </c>
      <c r="BH33" s="27">
        <v>26.604273888888894</v>
      </c>
    </row>
    <row r="34" spans="1:60" ht="21" hidden="1" customHeight="1" outlineLevel="1" x14ac:dyDescent="0.25">
      <c r="A34" s="26" t="s">
        <v>169</v>
      </c>
      <c r="B34" s="27">
        <v>19.444444444444446</v>
      </c>
      <c r="C34" s="27">
        <v>19.444444444444446</v>
      </c>
      <c r="D34" s="27">
        <v>19.444444444444446</v>
      </c>
      <c r="E34" s="27">
        <v>19.444444444444446</v>
      </c>
      <c r="F34" s="27">
        <v>19.444444444444446</v>
      </c>
      <c r="G34" s="27">
        <v>19.444444444444446</v>
      </c>
      <c r="H34" s="27">
        <v>19.444444444444446</v>
      </c>
      <c r="I34" s="27">
        <v>19.444444444444446</v>
      </c>
      <c r="J34" s="27">
        <v>19.444444444444446</v>
      </c>
      <c r="K34" s="27">
        <v>19.444444444444446</v>
      </c>
      <c r="L34" s="27">
        <v>19.444444444444446</v>
      </c>
      <c r="M34" s="27">
        <v>19.444444444444446</v>
      </c>
      <c r="N34" s="27">
        <v>19.444444444444446</v>
      </c>
      <c r="O34" s="27">
        <v>19.444444444444446</v>
      </c>
      <c r="P34" s="27">
        <v>19.444444444444446</v>
      </c>
      <c r="Q34" s="27">
        <v>19.444444444444446</v>
      </c>
      <c r="R34" s="27">
        <v>19.444444444444446</v>
      </c>
      <c r="S34" s="27">
        <v>19.444444444444446</v>
      </c>
      <c r="T34" s="27">
        <v>19.444444444444446</v>
      </c>
      <c r="U34" s="27">
        <v>19.444444444444446</v>
      </c>
      <c r="V34" s="27">
        <v>19.444444444444446</v>
      </c>
      <c r="W34" s="27">
        <v>19.444444444444446</v>
      </c>
      <c r="X34" s="27">
        <v>19.444444444444446</v>
      </c>
      <c r="Y34" s="27">
        <v>19.444444444444446</v>
      </c>
      <c r="Z34" s="27">
        <v>19.444444444444446</v>
      </c>
      <c r="AA34" s="27">
        <v>19.444444444444446</v>
      </c>
      <c r="AB34" s="27">
        <v>19.444444444444446</v>
      </c>
      <c r="AC34" s="27">
        <v>19.444444444444446</v>
      </c>
      <c r="AD34" s="27">
        <v>19.444444444444446</v>
      </c>
      <c r="AE34" s="27">
        <v>19.444444444444446</v>
      </c>
      <c r="AF34" s="27">
        <v>19.444444444444446</v>
      </c>
      <c r="AG34" s="27">
        <v>19.444444444444446</v>
      </c>
      <c r="AH34" s="27">
        <v>19.444444444444446</v>
      </c>
      <c r="AI34" s="27">
        <v>19.444444444444446</v>
      </c>
      <c r="AJ34" s="27">
        <v>19.444444444444446</v>
      </c>
      <c r="AK34" s="27">
        <v>19.444444444444446</v>
      </c>
      <c r="AL34" s="27">
        <v>19.444444444444446</v>
      </c>
      <c r="AM34" s="27">
        <v>19.444444444444446</v>
      </c>
      <c r="AN34" s="27">
        <v>19.444444444444446</v>
      </c>
      <c r="AO34" s="27">
        <v>19.444444444444446</v>
      </c>
      <c r="AP34" s="27">
        <v>19.444444444444446</v>
      </c>
      <c r="AQ34" s="27">
        <v>19.444444444444446</v>
      </c>
      <c r="AR34" s="27">
        <v>19.444444444444446</v>
      </c>
      <c r="AS34" s="27">
        <v>19.444444444444446</v>
      </c>
      <c r="AT34" s="27">
        <v>19.444444444444446</v>
      </c>
      <c r="AU34" s="27">
        <v>19.444444444444446</v>
      </c>
      <c r="AV34" s="27">
        <v>19.444444444444446</v>
      </c>
      <c r="AW34" s="27">
        <v>19.444444444444446</v>
      </c>
      <c r="AX34" s="27">
        <v>19.444444444444446</v>
      </c>
      <c r="AY34" s="27">
        <v>19.444444444444446</v>
      </c>
      <c r="AZ34" s="27">
        <v>19.444444444444446</v>
      </c>
      <c r="BA34" s="27">
        <v>19.444444444444446</v>
      </c>
      <c r="BB34" s="27">
        <v>19.444444444444446</v>
      </c>
      <c r="BC34" s="27">
        <v>19.444444444444446</v>
      </c>
      <c r="BD34" s="27">
        <v>19.444444444444446</v>
      </c>
      <c r="BE34" s="27">
        <v>19.444444444444446</v>
      </c>
      <c r="BF34" s="27">
        <v>19.444444444444446</v>
      </c>
      <c r="BG34" s="27">
        <v>19.444444444444446</v>
      </c>
      <c r="BH34" s="27">
        <v>19.444444444444446</v>
      </c>
    </row>
    <row r="35" spans="1:60" ht="21" hidden="1" customHeight="1" outlineLevel="1" x14ac:dyDescent="0.25">
      <c r="A35" s="26" t="s">
        <v>170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58.333333333333336</v>
      </c>
      <c r="AZ35" s="27">
        <v>58.333333333333336</v>
      </c>
      <c r="BA35" s="27">
        <v>58.333333333333336</v>
      </c>
      <c r="BB35" s="27">
        <v>58.333333333333336</v>
      </c>
      <c r="BC35" s="27">
        <v>58.333333333333336</v>
      </c>
      <c r="BD35" s="27">
        <v>58.333333333333336</v>
      </c>
      <c r="BE35" s="27">
        <v>58.333333333333336</v>
      </c>
      <c r="BF35" s="27">
        <v>58.333333333333336</v>
      </c>
      <c r="BG35" s="27">
        <v>58.333333333333336</v>
      </c>
      <c r="BH35" s="27">
        <v>58.333333333333336</v>
      </c>
    </row>
    <row r="36" spans="1:60" ht="21" hidden="1" customHeight="1" outlineLevel="1" x14ac:dyDescent="0.25">
      <c r="A36" s="26" t="s">
        <v>171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</row>
    <row r="37" spans="1:60" ht="21" hidden="1" customHeight="1" outlineLevel="1" x14ac:dyDescent="0.25">
      <c r="A37" s="26" t="s">
        <v>172</v>
      </c>
      <c r="B37" s="27">
        <v>0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</row>
    <row r="38" spans="1:60" ht="21" hidden="1" customHeight="1" outlineLevel="1" x14ac:dyDescent="0.25">
      <c r="A38" s="26" t="s">
        <v>173</v>
      </c>
      <c r="B38" s="27">
        <v>0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31.111111111111114</v>
      </c>
      <c r="BE38" s="27">
        <v>31.111111111111114</v>
      </c>
      <c r="BF38" s="27">
        <v>31.111111111111114</v>
      </c>
      <c r="BG38" s="27">
        <v>31.111111111111114</v>
      </c>
      <c r="BH38" s="27">
        <v>31.111111111111114</v>
      </c>
    </row>
    <row r="39" spans="1:60" ht="21" hidden="1" customHeight="1" outlineLevel="1" x14ac:dyDescent="0.25">
      <c r="A39" s="26" t="s">
        <v>174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</row>
    <row r="40" spans="1:60" ht="21" hidden="1" customHeight="1" outlineLevel="1" x14ac:dyDescent="0.25">
      <c r="A40" s="26" t="s">
        <v>175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</row>
    <row r="41" spans="1:60" ht="21" hidden="1" customHeight="1" outlineLevel="1" x14ac:dyDescent="0.25">
      <c r="A41" s="26" t="s">
        <v>176</v>
      </c>
      <c r="B41" s="27">
        <v>20.460016111111113</v>
      </c>
      <c r="C41" s="27">
        <v>20.460016111111113</v>
      </c>
      <c r="D41" s="27">
        <v>20.460016111111113</v>
      </c>
      <c r="E41" s="27">
        <v>20.460016111111113</v>
      </c>
      <c r="F41" s="27">
        <v>20.460016111111113</v>
      </c>
      <c r="G41" s="27">
        <v>20.460016111111113</v>
      </c>
      <c r="H41" s="27">
        <v>20.460016111111113</v>
      </c>
      <c r="I41" s="27">
        <v>20.460016111111113</v>
      </c>
      <c r="J41" s="27">
        <v>20.460016111111113</v>
      </c>
      <c r="K41" s="27">
        <v>20.460016111111113</v>
      </c>
      <c r="L41" s="27">
        <v>20.460016111111113</v>
      </c>
      <c r="M41" s="27">
        <v>20.460016111111113</v>
      </c>
      <c r="N41" s="27">
        <v>20.460016111111113</v>
      </c>
      <c r="O41" s="27">
        <v>20.460016111111113</v>
      </c>
      <c r="P41" s="27">
        <v>20.460016111111113</v>
      </c>
      <c r="Q41" s="27">
        <v>20.460016111111113</v>
      </c>
      <c r="R41" s="27">
        <v>20.460016111111113</v>
      </c>
      <c r="S41" s="27">
        <v>20.460016111111113</v>
      </c>
      <c r="T41" s="27">
        <v>20.460016111111113</v>
      </c>
      <c r="U41" s="27">
        <v>20.460016111111113</v>
      </c>
      <c r="V41" s="27">
        <v>20.460016111111113</v>
      </c>
      <c r="W41" s="27">
        <v>20.460016111111113</v>
      </c>
      <c r="X41" s="27">
        <v>20.460016111111113</v>
      </c>
      <c r="Y41" s="27">
        <v>20.460016111111113</v>
      </c>
      <c r="Z41" s="27">
        <v>20.460016111111113</v>
      </c>
      <c r="AA41" s="27">
        <v>20.460016111111113</v>
      </c>
      <c r="AB41" s="27">
        <v>20.460016111111113</v>
      </c>
      <c r="AC41" s="27">
        <v>20.460016111111113</v>
      </c>
      <c r="AD41" s="27">
        <v>20.460016111111113</v>
      </c>
      <c r="AE41" s="27">
        <v>20.460016111111113</v>
      </c>
      <c r="AF41" s="27">
        <v>20.460016111111113</v>
      </c>
      <c r="AG41" s="27">
        <v>20.460016111111113</v>
      </c>
      <c r="AH41" s="27">
        <v>20.460016111111113</v>
      </c>
      <c r="AI41" s="27">
        <v>20.460016111111113</v>
      </c>
      <c r="AJ41" s="27">
        <v>20.460016111111113</v>
      </c>
      <c r="AK41" s="27">
        <v>20.460016111111113</v>
      </c>
      <c r="AL41" s="27">
        <v>20.460016111111113</v>
      </c>
      <c r="AM41" s="27">
        <v>20.460016111111113</v>
      </c>
      <c r="AN41" s="27">
        <v>20.460016111111113</v>
      </c>
      <c r="AO41" s="27">
        <v>20.460016111111113</v>
      </c>
      <c r="AP41" s="27">
        <v>20.460016111111113</v>
      </c>
      <c r="AQ41" s="27">
        <v>20.460016111111113</v>
      </c>
      <c r="AR41" s="27">
        <v>20.460016111111113</v>
      </c>
      <c r="AS41" s="27">
        <v>20.460016111111113</v>
      </c>
      <c r="AT41" s="27">
        <v>20.460016111111113</v>
      </c>
      <c r="AU41" s="27">
        <v>20.460016111111113</v>
      </c>
      <c r="AV41" s="27">
        <v>20.460016111111113</v>
      </c>
      <c r="AW41" s="27">
        <v>20.460016111111113</v>
      </c>
      <c r="AX41" s="27">
        <v>20.460016111111113</v>
      </c>
      <c r="AY41" s="27">
        <v>20.460016111111113</v>
      </c>
      <c r="AZ41" s="27">
        <v>20.460016111111113</v>
      </c>
      <c r="BA41" s="27">
        <v>20.460016111111113</v>
      </c>
      <c r="BB41" s="27">
        <v>20.460016111111113</v>
      </c>
      <c r="BC41" s="27">
        <v>20.460016111111113</v>
      </c>
      <c r="BD41" s="27">
        <v>20.460016111111113</v>
      </c>
      <c r="BE41" s="27">
        <v>20.460016111111113</v>
      </c>
      <c r="BF41" s="27">
        <v>20.460016111111113</v>
      </c>
      <c r="BG41" s="27">
        <v>20.460016111111113</v>
      </c>
      <c r="BH41" s="27">
        <v>20.460016111111113</v>
      </c>
    </row>
    <row r="42" spans="1:60" ht="21" hidden="1" customHeight="1" outlineLevel="1" x14ac:dyDescent="0.25">
      <c r="A42" s="26" t="s">
        <v>177</v>
      </c>
      <c r="B42" s="27">
        <v>21.777777777777779</v>
      </c>
      <c r="C42" s="27">
        <v>21.777777777777779</v>
      </c>
      <c r="D42" s="27">
        <v>21.777777777777779</v>
      </c>
      <c r="E42" s="27">
        <v>21.777777777777779</v>
      </c>
      <c r="F42" s="27">
        <v>21.777777777777779</v>
      </c>
      <c r="G42" s="27">
        <v>21.777777777777779</v>
      </c>
      <c r="H42" s="27">
        <v>21.777777777777779</v>
      </c>
      <c r="I42" s="27">
        <v>21.777777777777779</v>
      </c>
      <c r="J42" s="27">
        <v>21.777777777777779</v>
      </c>
      <c r="K42" s="27">
        <v>21.777777777777779</v>
      </c>
      <c r="L42" s="27">
        <v>21.777777777777779</v>
      </c>
      <c r="M42" s="27">
        <v>21.777777777777779</v>
      </c>
      <c r="N42" s="27">
        <v>21.777777777777779</v>
      </c>
      <c r="O42" s="27">
        <v>21.777777777777779</v>
      </c>
      <c r="P42" s="27">
        <v>21.777777777777779</v>
      </c>
      <c r="Q42" s="27">
        <v>21.777777777777779</v>
      </c>
      <c r="R42" s="27">
        <v>21.777777777777779</v>
      </c>
      <c r="S42" s="27">
        <v>21.777777777777779</v>
      </c>
      <c r="T42" s="27">
        <v>21.777777777777779</v>
      </c>
      <c r="U42" s="27">
        <v>21.777777777777779</v>
      </c>
      <c r="V42" s="27">
        <v>21.777777777777779</v>
      </c>
      <c r="W42" s="27">
        <v>21.777777777777779</v>
      </c>
      <c r="X42" s="27">
        <v>21.777777777777779</v>
      </c>
      <c r="Y42" s="27">
        <v>21.777777777777779</v>
      </c>
      <c r="Z42" s="27">
        <v>21.777777777777779</v>
      </c>
      <c r="AA42" s="27">
        <v>21.777777777777779</v>
      </c>
      <c r="AB42" s="27">
        <v>21.777777777777779</v>
      </c>
      <c r="AC42" s="27">
        <v>21.777777777777779</v>
      </c>
      <c r="AD42" s="27">
        <v>21.777777777777779</v>
      </c>
      <c r="AE42" s="27">
        <v>21.777777777777779</v>
      </c>
      <c r="AF42" s="27">
        <v>21.777777777777779</v>
      </c>
      <c r="AG42" s="27">
        <v>21.777777777777779</v>
      </c>
      <c r="AH42" s="27">
        <v>21.777777777777779</v>
      </c>
      <c r="AI42" s="27">
        <v>21.777777777777779</v>
      </c>
      <c r="AJ42" s="27">
        <v>21.777777777777779</v>
      </c>
      <c r="AK42" s="27">
        <v>21.777777777777779</v>
      </c>
      <c r="AL42" s="27">
        <v>21.777777777777779</v>
      </c>
      <c r="AM42" s="27">
        <v>21.777777777777779</v>
      </c>
      <c r="AN42" s="27">
        <v>21.777777777777779</v>
      </c>
      <c r="AO42" s="27">
        <v>21.777777777777779</v>
      </c>
      <c r="AP42" s="27">
        <v>21.777777777777779</v>
      </c>
      <c r="AQ42" s="27">
        <v>21.777777777777779</v>
      </c>
      <c r="AR42" s="27">
        <v>21.777777777777779</v>
      </c>
      <c r="AS42" s="27">
        <v>21.777777777777779</v>
      </c>
      <c r="AT42" s="27">
        <v>21.777777777777779</v>
      </c>
      <c r="AU42" s="27">
        <v>21.777777777777779</v>
      </c>
      <c r="AV42" s="27">
        <v>21.777777777777779</v>
      </c>
      <c r="AW42" s="27">
        <v>21.777777777777779</v>
      </c>
      <c r="AX42" s="27">
        <v>21.777777777777779</v>
      </c>
      <c r="AY42" s="27">
        <v>21.777777777777779</v>
      </c>
      <c r="AZ42" s="27">
        <v>21.777777777777779</v>
      </c>
      <c r="BA42" s="27">
        <v>21.777777777777779</v>
      </c>
      <c r="BB42" s="27">
        <v>21.777777777777779</v>
      </c>
      <c r="BC42" s="27">
        <v>21.777777777777779</v>
      </c>
      <c r="BD42" s="27">
        <v>21.777777777777779</v>
      </c>
      <c r="BE42" s="27">
        <v>21.777777777777779</v>
      </c>
      <c r="BF42" s="27">
        <v>21.777777777777779</v>
      </c>
      <c r="BG42" s="27">
        <v>21.777777777777779</v>
      </c>
      <c r="BH42" s="27">
        <v>21.777777777777779</v>
      </c>
    </row>
    <row r="43" spans="1:60" ht="21" hidden="1" customHeight="1" outlineLevel="1" x14ac:dyDescent="0.25">
      <c r="A43" s="26" t="s">
        <v>178</v>
      </c>
      <c r="B43" s="27">
        <v>38.888888888888893</v>
      </c>
      <c r="C43" s="27">
        <v>38.888888888888893</v>
      </c>
      <c r="D43" s="27">
        <v>38.888888888888893</v>
      </c>
      <c r="E43" s="27">
        <v>38.888888888888893</v>
      </c>
      <c r="F43" s="27">
        <v>38.888888888888893</v>
      </c>
      <c r="G43" s="27">
        <v>38.888888888888893</v>
      </c>
      <c r="H43" s="27">
        <v>38.888888888888893</v>
      </c>
      <c r="I43" s="27">
        <v>38.888888888888893</v>
      </c>
      <c r="J43" s="27">
        <v>38.888888888888893</v>
      </c>
      <c r="K43" s="27">
        <v>38.888888888888893</v>
      </c>
      <c r="L43" s="27">
        <v>38.888888888888893</v>
      </c>
      <c r="M43" s="27">
        <v>38.888888888888893</v>
      </c>
      <c r="N43" s="27">
        <v>38.888888888888893</v>
      </c>
      <c r="O43" s="27">
        <v>38.888888888888893</v>
      </c>
      <c r="P43" s="27">
        <v>38.888888888888893</v>
      </c>
      <c r="Q43" s="27">
        <v>38.888888888888893</v>
      </c>
      <c r="R43" s="27">
        <v>38.888888888888893</v>
      </c>
      <c r="S43" s="27">
        <v>38.888888888888893</v>
      </c>
      <c r="T43" s="27">
        <v>38.888888888888893</v>
      </c>
      <c r="U43" s="27">
        <v>38.888888888888893</v>
      </c>
      <c r="V43" s="27">
        <v>38.888888888888893</v>
      </c>
      <c r="W43" s="27">
        <v>38.888888888888893</v>
      </c>
      <c r="X43" s="27">
        <v>38.888888888888893</v>
      </c>
      <c r="Y43" s="27">
        <v>38.888888888888893</v>
      </c>
      <c r="Z43" s="27">
        <v>38.888888888888893</v>
      </c>
      <c r="AA43" s="27">
        <v>38.888888888888893</v>
      </c>
      <c r="AB43" s="27">
        <v>38.888888888888893</v>
      </c>
      <c r="AC43" s="27">
        <v>38.888888888888893</v>
      </c>
      <c r="AD43" s="27">
        <v>38.888888888888893</v>
      </c>
      <c r="AE43" s="27">
        <v>38.888888888888893</v>
      </c>
      <c r="AF43" s="27">
        <v>38.888888888888893</v>
      </c>
      <c r="AG43" s="27">
        <v>38.888888888888893</v>
      </c>
      <c r="AH43" s="27">
        <v>38.888888888888893</v>
      </c>
      <c r="AI43" s="27">
        <v>38.888888888888893</v>
      </c>
      <c r="AJ43" s="27">
        <v>38.888888888888893</v>
      </c>
      <c r="AK43" s="27">
        <v>38.888888888888893</v>
      </c>
      <c r="AL43" s="27">
        <v>38.888888888888893</v>
      </c>
      <c r="AM43" s="27">
        <v>38.888888888888893</v>
      </c>
      <c r="AN43" s="27">
        <v>38.888888888888893</v>
      </c>
      <c r="AO43" s="27">
        <v>38.888888888888893</v>
      </c>
      <c r="AP43" s="27">
        <v>38.888888888888893</v>
      </c>
      <c r="AQ43" s="27">
        <v>38.888888888888893</v>
      </c>
      <c r="AR43" s="27">
        <v>38.888888888888893</v>
      </c>
      <c r="AS43" s="27">
        <v>38.888888888888893</v>
      </c>
      <c r="AT43" s="27">
        <v>38.888888888888893</v>
      </c>
      <c r="AU43" s="27">
        <v>38.888888888888893</v>
      </c>
      <c r="AV43" s="27">
        <v>38.888888888888893</v>
      </c>
      <c r="AW43" s="27">
        <v>38.888888888888893</v>
      </c>
      <c r="AX43" s="27">
        <v>38.888888888888893</v>
      </c>
      <c r="AY43" s="27">
        <v>38.888888888888893</v>
      </c>
      <c r="AZ43" s="27">
        <v>38.888888888888893</v>
      </c>
      <c r="BA43" s="27">
        <v>38.888888888888893</v>
      </c>
      <c r="BB43" s="27">
        <v>38.888888888888893</v>
      </c>
      <c r="BC43" s="27">
        <v>38.888888888888893</v>
      </c>
      <c r="BD43" s="27">
        <v>38.888888888888893</v>
      </c>
      <c r="BE43" s="27">
        <v>38.888888888888893</v>
      </c>
      <c r="BF43" s="27">
        <v>38.888888888888893</v>
      </c>
      <c r="BG43" s="27">
        <v>38.888888888888893</v>
      </c>
      <c r="BH43" s="27">
        <v>38.888888888888893</v>
      </c>
    </row>
    <row r="44" spans="1:60" ht="21" hidden="1" customHeight="1" outlineLevel="1" x14ac:dyDescent="0.25">
      <c r="A44" s="26" t="s">
        <v>179</v>
      </c>
      <c r="B44" s="27">
        <v>0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7">
        <v>0</v>
      </c>
      <c r="AY44" s="27">
        <v>0</v>
      </c>
      <c r="AZ44" s="27">
        <v>0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</row>
    <row r="45" spans="1:60" ht="21" hidden="1" customHeight="1" outlineLevel="1" x14ac:dyDescent="0.25">
      <c r="A45" s="26" t="s">
        <v>180</v>
      </c>
      <c r="B45" s="27">
        <v>264.94840944444445</v>
      </c>
      <c r="C45" s="27">
        <v>264.94840944444445</v>
      </c>
      <c r="D45" s="27">
        <v>264.94840944444445</v>
      </c>
      <c r="E45" s="27">
        <v>264.94840944444445</v>
      </c>
      <c r="F45" s="27">
        <v>264.94840944444445</v>
      </c>
      <c r="G45" s="27">
        <v>264.94840944444445</v>
      </c>
      <c r="H45" s="27">
        <v>264.94840944444445</v>
      </c>
      <c r="I45" s="27">
        <v>264.94840944444445</v>
      </c>
      <c r="J45" s="27">
        <v>264.94840944444445</v>
      </c>
      <c r="K45" s="27">
        <v>264.94840944444445</v>
      </c>
      <c r="L45" s="27">
        <v>264.94840944444445</v>
      </c>
      <c r="M45" s="27">
        <v>264.94840944444445</v>
      </c>
      <c r="N45" s="27">
        <v>264.94840944444445</v>
      </c>
      <c r="O45" s="27">
        <v>264.94840944444445</v>
      </c>
      <c r="P45" s="27">
        <v>264.94840944444445</v>
      </c>
      <c r="Q45" s="27">
        <v>264.94840944444445</v>
      </c>
      <c r="R45" s="27">
        <v>264.94840944444445</v>
      </c>
      <c r="S45" s="27">
        <v>264.94840944444445</v>
      </c>
      <c r="T45" s="27">
        <v>264.94840944444445</v>
      </c>
      <c r="U45" s="27">
        <v>264.94840944444445</v>
      </c>
      <c r="V45" s="27">
        <v>264.94840944444445</v>
      </c>
      <c r="W45" s="27">
        <v>264.94840944444445</v>
      </c>
      <c r="X45" s="27">
        <v>264.94840944444445</v>
      </c>
      <c r="Y45" s="27">
        <v>264.94840944444445</v>
      </c>
      <c r="Z45" s="27">
        <v>264.94840944444445</v>
      </c>
      <c r="AA45" s="27">
        <v>264.94840944444445</v>
      </c>
      <c r="AB45" s="27">
        <v>264.94840944444445</v>
      </c>
      <c r="AC45" s="27">
        <v>264.94840944444445</v>
      </c>
      <c r="AD45" s="27">
        <v>264.94840944444445</v>
      </c>
      <c r="AE45" s="27">
        <v>264.94840944444445</v>
      </c>
      <c r="AF45" s="27">
        <v>264.94840944444445</v>
      </c>
      <c r="AG45" s="27">
        <v>264.94840944444445</v>
      </c>
      <c r="AH45" s="27">
        <v>264.94840944444445</v>
      </c>
      <c r="AI45" s="27">
        <v>264.94840944444445</v>
      </c>
      <c r="AJ45" s="27">
        <v>264.94840944444445</v>
      </c>
      <c r="AK45" s="27">
        <v>264.94840944444445</v>
      </c>
      <c r="AL45" s="27">
        <v>264.94840944444445</v>
      </c>
      <c r="AM45" s="27">
        <v>264.94840944444445</v>
      </c>
      <c r="AN45" s="27">
        <v>264.94840944444445</v>
      </c>
      <c r="AO45" s="27">
        <v>264.94840944444445</v>
      </c>
      <c r="AP45" s="27">
        <v>264.94840944444445</v>
      </c>
      <c r="AQ45" s="27">
        <v>264.94840944444445</v>
      </c>
      <c r="AR45" s="27">
        <v>264.94840944444445</v>
      </c>
      <c r="AS45" s="27">
        <v>264.94840944444445</v>
      </c>
      <c r="AT45" s="27">
        <v>264.94840944444445</v>
      </c>
      <c r="AU45" s="27">
        <v>264.94840944444445</v>
      </c>
      <c r="AV45" s="27">
        <v>264.94840944444445</v>
      </c>
      <c r="AW45" s="27">
        <v>264.94840944444445</v>
      </c>
      <c r="AX45" s="27">
        <v>264.94840944444445</v>
      </c>
      <c r="AY45" s="27">
        <v>264.94840944444445</v>
      </c>
      <c r="AZ45" s="27">
        <v>264.94840944444445</v>
      </c>
      <c r="BA45" s="27">
        <v>264.94840944444445</v>
      </c>
      <c r="BB45" s="27">
        <v>264.94840944444445</v>
      </c>
      <c r="BC45" s="27">
        <v>264.94840944444445</v>
      </c>
      <c r="BD45" s="27">
        <v>264.94840944444445</v>
      </c>
      <c r="BE45" s="27">
        <v>264.94840944444445</v>
      </c>
      <c r="BF45" s="27">
        <v>264.94840944444445</v>
      </c>
      <c r="BG45" s="27">
        <v>264.94840944444445</v>
      </c>
      <c r="BH45" s="27">
        <v>264.94840944444445</v>
      </c>
    </row>
    <row r="46" spans="1:60" ht="21" hidden="1" customHeight="1" outlineLevel="1" x14ac:dyDescent="0.25">
      <c r="A46" s="26" t="s">
        <v>181</v>
      </c>
      <c r="B46" s="27">
        <v>27.276818333333335</v>
      </c>
      <c r="C46" s="27">
        <v>27.276818333333335</v>
      </c>
      <c r="D46" s="27">
        <v>27.276818333333335</v>
      </c>
      <c r="E46" s="27">
        <v>27.276818333333335</v>
      </c>
      <c r="F46" s="27">
        <v>27.276818333333335</v>
      </c>
      <c r="G46" s="27">
        <v>27.276818333333335</v>
      </c>
      <c r="H46" s="27">
        <v>27.276818333333335</v>
      </c>
      <c r="I46" s="27">
        <v>27.276818333333335</v>
      </c>
      <c r="J46" s="27">
        <v>27.276818333333335</v>
      </c>
      <c r="K46" s="27">
        <v>27.276818333333335</v>
      </c>
      <c r="L46" s="27">
        <v>27.276818333333335</v>
      </c>
      <c r="M46" s="27">
        <v>27.276818333333335</v>
      </c>
      <c r="N46" s="27">
        <v>27.276818333333335</v>
      </c>
      <c r="O46" s="27">
        <v>27.276818333333335</v>
      </c>
      <c r="P46" s="27">
        <v>27.276818333333335</v>
      </c>
      <c r="Q46" s="27">
        <v>27.276818333333335</v>
      </c>
      <c r="R46" s="27">
        <v>27.276818333333335</v>
      </c>
      <c r="S46" s="27">
        <v>27.276818333333335</v>
      </c>
      <c r="T46" s="27">
        <v>27.276818333333335</v>
      </c>
      <c r="U46" s="27">
        <v>27.276818333333335</v>
      </c>
      <c r="V46" s="27">
        <v>27.276818333333335</v>
      </c>
      <c r="W46" s="27">
        <v>27.276818333333335</v>
      </c>
      <c r="X46" s="27">
        <v>27.276818333333335</v>
      </c>
      <c r="Y46" s="27">
        <v>27.276818333333335</v>
      </c>
      <c r="Z46" s="27">
        <v>27.276818333333335</v>
      </c>
      <c r="AA46" s="27">
        <v>27.276818333333335</v>
      </c>
      <c r="AB46" s="27">
        <v>27.276818333333335</v>
      </c>
      <c r="AC46" s="27">
        <v>27.276818333333335</v>
      </c>
      <c r="AD46" s="27">
        <v>27.276818333333335</v>
      </c>
      <c r="AE46" s="27">
        <v>27.276818333333335</v>
      </c>
      <c r="AF46" s="27">
        <v>27.276818333333335</v>
      </c>
      <c r="AG46" s="27">
        <v>27.276818333333335</v>
      </c>
      <c r="AH46" s="27">
        <v>27.276818333333335</v>
      </c>
      <c r="AI46" s="27">
        <v>27.276818333333335</v>
      </c>
      <c r="AJ46" s="27">
        <v>27.276818333333335</v>
      </c>
      <c r="AK46" s="27">
        <v>27.276818333333335</v>
      </c>
      <c r="AL46" s="27">
        <v>27.276818333333335</v>
      </c>
      <c r="AM46" s="27">
        <v>27.276818333333335</v>
      </c>
      <c r="AN46" s="27">
        <v>27.276818333333335</v>
      </c>
      <c r="AO46" s="27">
        <v>27.276818333333335</v>
      </c>
      <c r="AP46" s="27">
        <v>27.276818333333335</v>
      </c>
      <c r="AQ46" s="27">
        <v>27.276818333333335</v>
      </c>
      <c r="AR46" s="27">
        <v>27.276818333333335</v>
      </c>
      <c r="AS46" s="27">
        <v>27.276818333333335</v>
      </c>
      <c r="AT46" s="27">
        <v>27.276818333333335</v>
      </c>
      <c r="AU46" s="27">
        <v>27.276818333333335</v>
      </c>
      <c r="AV46" s="27">
        <v>27.276818333333335</v>
      </c>
      <c r="AW46" s="27">
        <v>27.276818333333335</v>
      </c>
      <c r="AX46" s="27">
        <v>27.276818333333335</v>
      </c>
      <c r="AY46" s="27">
        <v>27.276818333333335</v>
      </c>
      <c r="AZ46" s="27">
        <v>27.276818333333335</v>
      </c>
      <c r="BA46" s="27">
        <v>27.276818333333335</v>
      </c>
      <c r="BB46" s="27">
        <v>27.276818333333335</v>
      </c>
      <c r="BC46" s="27">
        <v>27.276818333333335</v>
      </c>
      <c r="BD46" s="27">
        <v>27.276818333333335</v>
      </c>
      <c r="BE46" s="27">
        <v>27.276818333333335</v>
      </c>
      <c r="BF46" s="27">
        <v>27.276818333333335</v>
      </c>
      <c r="BG46" s="27">
        <v>27.276818333333335</v>
      </c>
      <c r="BH46" s="27">
        <v>27.276818333333335</v>
      </c>
    </row>
    <row r="47" spans="1:60" ht="21" hidden="1" customHeight="1" outlineLevel="1" x14ac:dyDescent="0.25">
      <c r="A47" s="26" t="s">
        <v>182</v>
      </c>
      <c r="B47" s="27">
        <v>213.88888888888891</v>
      </c>
      <c r="C47" s="27">
        <v>213.88888888888891</v>
      </c>
      <c r="D47" s="27">
        <v>213.88888888888891</v>
      </c>
      <c r="E47" s="27">
        <v>213.88888888888891</v>
      </c>
      <c r="F47" s="27">
        <v>213.88888888888891</v>
      </c>
      <c r="G47" s="27">
        <v>213.88888888888891</v>
      </c>
      <c r="H47" s="27">
        <v>213.88888888888891</v>
      </c>
      <c r="I47" s="27">
        <v>213.88888888888891</v>
      </c>
      <c r="J47" s="27">
        <v>213.88888888888891</v>
      </c>
      <c r="K47" s="27">
        <v>213.88888888888891</v>
      </c>
      <c r="L47" s="27">
        <v>213.88888888888891</v>
      </c>
      <c r="M47" s="27">
        <v>213.88888888888891</v>
      </c>
      <c r="N47" s="27">
        <v>213.88888888888891</v>
      </c>
      <c r="O47" s="27">
        <v>213.88888888888891</v>
      </c>
      <c r="P47" s="27">
        <v>213.88888888888891</v>
      </c>
      <c r="Q47" s="27">
        <v>213.88888888888891</v>
      </c>
      <c r="R47" s="27">
        <v>213.88888888888891</v>
      </c>
      <c r="S47" s="27">
        <v>213.88888888888891</v>
      </c>
      <c r="T47" s="27">
        <v>213.88888888888891</v>
      </c>
      <c r="U47" s="27">
        <v>213.88888888888891</v>
      </c>
      <c r="V47" s="27">
        <v>213.88888888888891</v>
      </c>
      <c r="W47" s="27">
        <v>213.88888888888891</v>
      </c>
      <c r="X47" s="27">
        <v>213.88888888888891</v>
      </c>
      <c r="Y47" s="27">
        <v>213.88888888888891</v>
      </c>
      <c r="Z47" s="27">
        <v>213.88888888888891</v>
      </c>
      <c r="AA47" s="27">
        <v>213.88888888888891</v>
      </c>
      <c r="AB47" s="27">
        <v>213.88888888888891</v>
      </c>
      <c r="AC47" s="27">
        <v>213.88888888888891</v>
      </c>
      <c r="AD47" s="27">
        <v>213.88888888888891</v>
      </c>
      <c r="AE47" s="27">
        <v>213.88888888888891</v>
      </c>
      <c r="AF47" s="27">
        <v>213.88888888888891</v>
      </c>
      <c r="AG47" s="27">
        <v>213.88888888888891</v>
      </c>
      <c r="AH47" s="27">
        <v>213.88888888888891</v>
      </c>
      <c r="AI47" s="27">
        <v>213.88888888888891</v>
      </c>
      <c r="AJ47" s="27">
        <v>213.88888888888891</v>
      </c>
      <c r="AK47" s="27">
        <v>213.88888888888891</v>
      </c>
      <c r="AL47" s="27">
        <v>213.88888888888891</v>
      </c>
      <c r="AM47" s="27">
        <v>213.88888888888891</v>
      </c>
      <c r="AN47" s="27">
        <v>213.88888888888891</v>
      </c>
      <c r="AO47" s="27">
        <v>213.88888888888891</v>
      </c>
      <c r="AP47" s="27">
        <v>213.88888888888891</v>
      </c>
      <c r="AQ47" s="27">
        <v>213.88888888888891</v>
      </c>
      <c r="AR47" s="27">
        <v>213.88888888888891</v>
      </c>
      <c r="AS47" s="27">
        <v>213.88888888888891</v>
      </c>
      <c r="AT47" s="27">
        <v>213.88888888888891</v>
      </c>
      <c r="AU47" s="27">
        <v>213.88888888888891</v>
      </c>
      <c r="AV47" s="27">
        <v>213.88888888888891</v>
      </c>
      <c r="AW47" s="27">
        <v>213.88888888888891</v>
      </c>
      <c r="AX47" s="27">
        <v>213.88888888888891</v>
      </c>
      <c r="AY47" s="27">
        <v>213.88888888888891</v>
      </c>
      <c r="AZ47" s="27">
        <v>213.88888888888891</v>
      </c>
      <c r="BA47" s="27">
        <v>213.88888888888891</v>
      </c>
      <c r="BB47" s="27">
        <v>213.88888888888891</v>
      </c>
      <c r="BC47" s="27">
        <v>213.88888888888891</v>
      </c>
      <c r="BD47" s="27">
        <v>213.88888888888891</v>
      </c>
      <c r="BE47" s="27">
        <v>213.88888888888891</v>
      </c>
      <c r="BF47" s="27">
        <v>213.88888888888891</v>
      </c>
      <c r="BG47" s="27">
        <v>213.88888888888891</v>
      </c>
      <c r="BH47" s="27">
        <v>213.88888888888891</v>
      </c>
    </row>
    <row r="48" spans="1:60" ht="21" hidden="1" customHeight="1" outlineLevel="1" x14ac:dyDescent="0.25">
      <c r="A48" s="26" t="s">
        <v>183</v>
      </c>
      <c r="B48" s="27">
        <v>31.111111111111114</v>
      </c>
      <c r="C48" s="27">
        <v>31.111111111111114</v>
      </c>
      <c r="D48" s="27">
        <v>31.111111111111114</v>
      </c>
      <c r="E48" s="27">
        <v>31.111111111111114</v>
      </c>
      <c r="F48" s="27">
        <v>31.111111111111114</v>
      </c>
      <c r="G48" s="27">
        <v>31.111111111111114</v>
      </c>
      <c r="H48" s="27">
        <v>31.111111111111114</v>
      </c>
      <c r="I48" s="27">
        <v>31.111111111111114</v>
      </c>
      <c r="J48" s="27">
        <v>31.111111111111114</v>
      </c>
      <c r="K48" s="27">
        <v>31.111111111111114</v>
      </c>
      <c r="L48" s="27">
        <v>31.111111111111114</v>
      </c>
      <c r="M48" s="27">
        <v>31.111111111111114</v>
      </c>
      <c r="N48" s="27">
        <v>31.111111111111114</v>
      </c>
      <c r="O48" s="27">
        <v>31.111111111111114</v>
      </c>
      <c r="P48" s="27">
        <v>31.111111111111114</v>
      </c>
      <c r="Q48" s="27">
        <v>31.111111111111114</v>
      </c>
      <c r="R48" s="27">
        <v>31.111111111111114</v>
      </c>
      <c r="S48" s="27">
        <v>31.111111111111114</v>
      </c>
      <c r="T48" s="27">
        <v>31.111111111111114</v>
      </c>
      <c r="U48" s="27">
        <v>31.111111111111114</v>
      </c>
      <c r="V48" s="27">
        <v>31.111111111111114</v>
      </c>
      <c r="W48" s="27">
        <v>31.111111111111114</v>
      </c>
      <c r="X48" s="27">
        <v>31.111111111111114</v>
      </c>
      <c r="Y48" s="27">
        <v>31.111111111111114</v>
      </c>
      <c r="Z48" s="27">
        <v>31.111111111111114</v>
      </c>
      <c r="AA48" s="27">
        <v>31.111111111111114</v>
      </c>
      <c r="AB48" s="27">
        <v>31.111111111111114</v>
      </c>
      <c r="AC48" s="27">
        <v>31.111111111111114</v>
      </c>
      <c r="AD48" s="27">
        <v>31.111111111111114</v>
      </c>
      <c r="AE48" s="27">
        <v>31.111111111111114</v>
      </c>
      <c r="AF48" s="27">
        <v>31.111111111111114</v>
      </c>
      <c r="AG48" s="27">
        <v>31.111111111111114</v>
      </c>
      <c r="AH48" s="27">
        <v>31.111111111111114</v>
      </c>
      <c r="AI48" s="27">
        <v>31.111111111111114</v>
      </c>
      <c r="AJ48" s="27">
        <v>31.111111111111114</v>
      </c>
      <c r="AK48" s="27">
        <v>31.111111111111114</v>
      </c>
      <c r="AL48" s="27">
        <v>31.111111111111114</v>
      </c>
      <c r="AM48" s="27">
        <v>31.111111111111114</v>
      </c>
      <c r="AN48" s="27">
        <v>31.111111111111114</v>
      </c>
      <c r="AO48" s="27">
        <v>31.111111111111114</v>
      </c>
      <c r="AP48" s="27">
        <v>31.111111111111114</v>
      </c>
      <c r="AQ48" s="27">
        <v>31.111111111111114</v>
      </c>
      <c r="AR48" s="27">
        <v>31.111111111111114</v>
      </c>
      <c r="AS48" s="27">
        <v>31.111111111111114</v>
      </c>
      <c r="AT48" s="27">
        <v>31.111111111111114</v>
      </c>
      <c r="AU48" s="27">
        <v>31.111111111111114</v>
      </c>
      <c r="AV48" s="27">
        <v>31.111111111111114</v>
      </c>
      <c r="AW48" s="27">
        <v>31.111111111111114</v>
      </c>
      <c r="AX48" s="27">
        <v>31.111111111111114</v>
      </c>
      <c r="AY48" s="27">
        <v>31.111111111111114</v>
      </c>
      <c r="AZ48" s="27">
        <v>31.111111111111114</v>
      </c>
      <c r="BA48" s="27">
        <v>31.111111111111114</v>
      </c>
      <c r="BB48" s="27">
        <v>31.111111111111114</v>
      </c>
      <c r="BC48" s="27">
        <v>31.111111111111114</v>
      </c>
      <c r="BD48" s="27">
        <v>31.111111111111114</v>
      </c>
      <c r="BE48" s="27">
        <v>31.111111111111114</v>
      </c>
      <c r="BF48" s="27">
        <v>31.111111111111114</v>
      </c>
      <c r="BG48" s="27">
        <v>31.111111111111114</v>
      </c>
      <c r="BH48" s="27">
        <v>31.111111111111114</v>
      </c>
    </row>
    <row r="49" spans="1:60" ht="21" hidden="1" customHeight="1" outlineLevel="1" x14ac:dyDescent="0.25">
      <c r="A49" s="26" t="s">
        <v>184</v>
      </c>
      <c r="B49" s="27">
        <v>0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0</v>
      </c>
      <c r="AR49" s="27">
        <v>0</v>
      </c>
      <c r="AS49" s="27">
        <v>0</v>
      </c>
      <c r="AT49" s="27">
        <v>0</v>
      </c>
      <c r="AU49" s="27">
        <v>0</v>
      </c>
      <c r="AV49" s="27">
        <v>0</v>
      </c>
      <c r="AW49" s="27">
        <v>0</v>
      </c>
      <c r="AX49" s="27">
        <v>0</v>
      </c>
      <c r="AY49" s="27">
        <v>0</v>
      </c>
      <c r="AZ49" s="27">
        <v>0</v>
      </c>
      <c r="BA49" s="27">
        <v>0</v>
      </c>
      <c r="BB49" s="27">
        <v>0</v>
      </c>
      <c r="BC49" s="27">
        <v>0</v>
      </c>
      <c r="BD49" s="27">
        <v>0</v>
      </c>
      <c r="BE49" s="27">
        <v>0</v>
      </c>
      <c r="BF49" s="27">
        <v>0</v>
      </c>
      <c r="BG49" s="27">
        <v>0</v>
      </c>
      <c r="BH49" s="27">
        <v>0</v>
      </c>
    </row>
    <row r="50" spans="1:60" ht="21" hidden="1" customHeight="1" outlineLevel="1" x14ac:dyDescent="0.25">
      <c r="A50" s="26" t="s">
        <v>185</v>
      </c>
      <c r="B50" s="27">
        <v>37.438628888888893</v>
      </c>
      <c r="C50" s="27">
        <v>37.438628888888893</v>
      </c>
      <c r="D50" s="27">
        <v>37.438628888888893</v>
      </c>
      <c r="E50" s="27">
        <v>37.438628888888893</v>
      </c>
      <c r="F50" s="27">
        <v>37.438628888888893</v>
      </c>
      <c r="G50" s="27">
        <v>37.438628888888893</v>
      </c>
      <c r="H50" s="27">
        <v>37.438628888888893</v>
      </c>
      <c r="I50" s="27">
        <v>37.438628888888893</v>
      </c>
      <c r="J50" s="27">
        <v>37.438628888888893</v>
      </c>
      <c r="K50" s="27">
        <v>37.438628888888893</v>
      </c>
      <c r="L50" s="27">
        <v>37.438628888888893</v>
      </c>
      <c r="M50" s="27">
        <v>37.438628888888893</v>
      </c>
      <c r="N50" s="27">
        <v>37.438628888888893</v>
      </c>
      <c r="O50" s="27">
        <v>37.438628888888893</v>
      </c>
      <c r="P50" s="27">
        <v>37.438628888888893</v>
      </c>
      <c r="Q50" s="27">
        <v>37.438628888888893</v>
      </c>
      <c r="R50" s="27">
        <v>37.438628888888893</v>
      </c>
      <c r="S50" s="27">
        <v>37.438628888888893</v>
      </c>
      <c r="T50" s="27">
        <v>37.438628888888893</v>
      </c>
      <c r="U50" s="27">
        <v>37.438628888888893</v>
      </c>
      <c r="V50" s="27">
        <v>37.438628888888893</v>
      </c>
      <c r="W50" s="27">
        <v>37.438628888888893</v>
      </c>
      <c r="X50" s="27">
        <v>37.438628888888893</v>
      </c>
      <c r="Y50" s="27">
        <v>37.438628888888893</v>
      </c>
      <c r="Z50" s="27">
        <v>37.438628888888893</v>
      </c>
      <c r="AA50" s="27">
        <v>37.438628888888893</v>
      </c>
      <c r="AB50" s="27">
        <v>37.438628888888893</v>
      </c>
      <c r="AC50" s="27">
        <v>37.438628888888893</v>
      </c>
      <c r="AD50" s="27">
        <v>37.438628888888893</v>
      </c>
      <c r="AE50" s="27">
        <v>37.438628888888893</v>
      </c>
      <c r="AF50" s="27">
        <v>37.438628888888893</v>
      </c>
      <c r="AG50" s="27">
        <v>37.438628888888893</v>
      </c>
      <c r="AH50" s="27">
        <v>37.438628888888893</v>
      </c>
      <c r="AI50" s="27">
        <v>37.438628888888893</v>
      </c>
      <c r="AJ50" s="27">
        <v>37.438628888888893</v>
      </c>
      <c r="AK50" s="27">
        <v>37.438628888888893</v>
      </c>
      <c r="AL50" s="27">
        <v>37.438628888888893</v>
      </c>
      <c r="AM50" s="27">
        <v>37.438628888888893</v>
      </c>
      <c r="AN50" s="27">
        <v>37.438628888888893</v>
      </c>
      <c r="AO50" s="27">
        <v>37.438628888888893</v>
      </c>
      <c r="AP50" s="27">
        <v>37.438628888888893</v>
      </c>
      <c r="AQ50" s="27">
        <v>37.438628888888893</v>
      </c>
      <c r="AR50" s="27">
        <v>37.438628888888893</v>
      </c>
      <c r="AS50" s="27">
        <v>37.438628888888893</v>
      </c>
      <c r="AT50" s="27">
        <v>37.438628888888893</v>
      </c>
      <c r="AU50" s="27">
        <v>37.438628888888893</v>
      </c>
      <c r="AV50" s="27">
        <v>37.438628888888893</v>
      </c>
      <c r="AW50" s="27">
        <v>37.438628888888893</v>
      </c>
      <c r="AX50" s="27">
        <v>37.438628888888893</v>
      </c>
      <c r="AY50" s="27">
        <v>37.438628888888893</v>
      </c>
      <c r="AZ50" s="27">
        <v>37.438628888888893</v>
      </c>
      <c r="BA50" s="27">
        <v>37.438628888888893</v>
      </c>
      <c r="BB50" s="27">
        <v>37.438628888888893</v>
      </c>
      <c r="BC50" s="27">
        <v>37.438628888888893</v>
      </c>
      <c r="BD50" s="27">
        <v>37.438628888888893</v>
      </c>
      <c r="BE50" s="27">
        <v>37.438628888888893</v>
      </c>
      <c r="BF50" s="27">
        <v>37.438628888888893</v>
      </c>
      <c r="BG50" s="27">
        <v>37.438628888888893</v>
      </c>
      <c r="BH50" s="27">
        <v>37.438628888888893</v>
      </c>
    </row>
    <row r="51" spans="1:60" ht="21" hidden="1" customHeight="1" outlineLevel="1" x14ac:dyDescent="0.25">
      <c r="A51" s="26" t="s">
        <v>186</v>
      </c>
      <c r="B51" s="27">
        <v>77.777777777777786</v>
      </c>
      <c r="C51" s="27">
        <v>77.777777777777786</v>
      </c>
      <c r="D51" s="27">
        <v>77.777777777777786</v>
      </c>
      <c r="E51" s="27">
        <v>77.777777777777786</v>
      </c>
      <c r="F51" s="27">
        <v>77.777777777777786</v>
      </c>
      <c r="G51" s="27">
        <v>77.777777777777786</v>
      </c>
      <c r="H51" s="27">
        <v>77.777777777777786</v>
      </c>
      <c r="I51" s="27">
        <v>77.777777777777786</v>
      </c>
      <c r="J51" s="27">
        <v>77.777777777777786</v>
      </c>
      <c r="K51" s="27">
        <v>77.777777777777786</v>
      </c>
      <c r="L51" s="27">
        <v>77.777777777777786</v>
      </c>
      <c r="M51" s="27">
        <v>77.777777777777786</v>
      </c>
      <c r="N51" s="27">
        <v>77.777777777777786</v>
      </c>
      <c r="O51" s="27">
        <v>77.777777777777786</v>
      </c>
      <c r="P51" s="27">
        <v>77.777777777777786</v>
      </c>
      <c r="Q51" s="27">
        <v>77.777777777777786</v>
      </c>
      <c r="R51" s="27">
        <v>77.777777777777786</v>
      </c>
      <c r="S51" s="27">
        <v>77.777777777777786</v>
      </c>
      <c r="T51" s="27">
        <v>77.777777777777786</v>
      </c>
      <c r="U51" s="27">
        <v>77.777777777777786</v>
      </c>
      <c r="V51" s="27">
        <v>77.777777777777786</v>
      </c>
      <c r="W51" s="27">
        <v>77.777777777777786</v>
      </c>
      <c r="X51" s="27">
        <v>77.777777777777786</v>
      </c>
      <c r="Y51" s="27">
        <v>77.777777777777786</v>
      </c>
      <c r="Z51" s="27">
        <v>77.777777777777786</v>
      </c>
      <c r="AA51" s="27">
        <v>77.777777777777786</v>
      </c>
      <c r="AB51" s="27">
        <v>77.777777777777786</v>
      </c>
      <c r="AC51" s="27">
        <v>77.777777777777786</v>
      </c>
      <c r="AD51" s="27">
        <v>77.777777777777786</v>
      </c>
      <c r="AE51" s="27">
        <v>77.777777777777786</v>
      </c>
      <c r="AF51" s="27">
        <v>77.777777777777786</v>
      </c>
      <c r="AG51" s="27">
        <v>77.777777777777786</v>
      </c>
      <c r="AH51" s="27">
        <v>77.777777777777786</v>
      </c>
      <c r="AI51" s="27">
        <v>77.777777777777786</v>
      </c>
      <c r="AJ51" s="27">
        <v>77.777777777777786</v>
      </c>
      <c r="AK51" s="27">
        <v>77.777777777777786</v>
      </c>
      <c r="AL51" s="27">
        <v>77.777777777777786</v>
      </c>
      <c r="AM51" s="27">
        <v>77.777777777777786</v>
      </c>
      <c r="AN51" s="27">
        <v>77.777777777777786</v>
      </c>
      <c r="AO51" s="27">
        <v>77.777777777777786</v>
      </c>
      <c r="AP51" s="27">
        <v>77.777777777777786</v>
      </c>
      <c r="AQ51" s="27">
        <v>77.777777777777786</v>
      </c>
      <c r="AR51" s="27">
        <v>77.777777777777786</v>
      </c>
      <c r="AS51" s="27">
        <v>77.777777777777786</v>
      </c>
      <c r="AT51" s="27">
        <v>77.777777777777786</v>
      </c>
      <c r="AU51" s="27">
        <v>77.777777777777786</v>
      </c>
      <c r="AV51" s="27">
        <v>77.777777777777786</v>
      </c>
      <c r="AW51" s="27">
        <v>77.777777777777786</v>
      </c>
      <c r="AX51" s="27">
        <v>77.777777777777786</v>
      </c>
      <c r="AY51" s="27">
        <v>77.777777777777786</v>
      </c>
      <c r="AZ51" s="27">
        <v>77.777777777777786</v>
      </c>
      <c r="BA51" s="27">
        <v>77.777777777777786</v>
      </c>
      <c r="BB51" s="27">
        <v>77.777777777777786</v>
      </c>
      <c r="BC51" s="27">
        <v>77.777777777777786</v>
      </c>
      <c r="BD51" s="27">
        <v>77.777777777777786</v>
      </c>
      <c r="BE51" s="27">
        <v>77.777777777777786</v>
      </c>
      <c r="BF51" s="27">
        <v>77.777777777777786</v>
      </c>
      <c r="BG51" s="27">
        <v>77.777777777777786</v>
      </c>
      <c r="BH51" s="27">
        <v>77.777777777777786</v>
      </c>
    </row>
    <row r="52" spans="1:60" ht="21" hidden="1" customHeight="1" outlineLevel="1" x14ac:dyDescent="0.25">
      <c r="A52" s="26" t="s">
        <v>187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27">
        <v>0</v>
      </c>
      <c r="AS52" s="27">
        <v>0</v>
      </c>
      <c r="AT52" s="27">
        <v>0</v>
      </c>
      <c r="AU52" s="27">
        <v>0</v>
      </c>
      <c r="AV52" s="27">
        <v>0</v>
      </c>
      <c r="AW52" s="27">
        <v>0</v>
      </c>
      <c r="AX52" s="27">
        <v>0</v>
      </c>
      <c r="AY52" s="27">
        <v>0</v>
      </c>
      <c r="AZ52" s="27">
        <v>0</v>
      </c>
      <c r="BA52" s="27">
        <v>0</v>
      </c>
      <c r="BB52" s="27">
        <v>0</v>
      </c>
      <c r="BC52" s="27">
        <v>0</v>
      </c>
      <c r="BD52" s="27">
        <v>0</v>
      </c>
      <c r="BE52" s="27">
        <v>0</v>
      </c>
      <c r="BF52" s="27">
        <v>0</v>
      </c>
      <c r="BG52" s="27">
        <v>0</v>
      </c>
      <c r="BH52" s="27">
        <v>0</v>
      </c>
    </row>
    <row r="53" spans="1:60" ht="21" hidden="1" customHeight="1" outlineLevel="1" x14ac:dyDescent="0.25">
      <c r="A53" s="26" t="s">
        <v>188</v>
      </c>
      <c r="B53" s="27">
        <v>94.653813333333332</v>
      </c>
      <c r="C53" s="27">
        <v>94.653813333333332</v>
      </c>
      <c r="D53" s="27">
        <v>94.653813333333332</v>
      </c>
      <c r="E53" s="27">
        <v>94.653813333333332</v>
      </c>
      <c r="F53" s="27">
        <v>94.653813333333332</v>
      </c>
      <c r="G53" s="27">
        <v>94.653813333333332</v>
      </c>
      <c r="H53" s="27">
        <v>94.653813333333332</v>
      </c>
      <c r="I53" s="27">
        <v>94.653813333333332</v>
      </c>
      <c r="J53" s="27">
        <v>94.653813333333332</v>
      </c>
      <c r="K53" s="27">
        <v>94.653813333333332</v>
      </c>
      <c r="L53" s="27">
        <v>94.653813333333332</v>
      </c>
      <c r="M53" s="27">
        <v>94.653813333333332</v>
      </c>
      <c r="N53" s="27">
        <v>94.653813333333332</v>
      </c>
      <c r="O53" s="27">
        <v>94.653813333333332</v>
      </c>
      <c r="P53" s="27">
        <v>94.653813333333332</v>
      </c>
      <c r="Q53" s="27">
        <v>94.653813333333332</v>
      </c>
      <c r="R53" s="27">
        <v>94.653813333333332</v>
      </c>
      <c r="S53" s="27">
        <v>94.653813333333332</v>
      </c>
      <c r="T53" s="27">
        <v>94.653813333333332</v>
      </c>
      <c r="U53" s="27">
        <v>94.653813333333332</v>
      </c>
      <c r="V53" s="27">
        <v>94.653813333333332</v>
      </c>
      <c r="W53" s="27">
        <v>94.653813333333332</v>
      </c>
      <c r="X53" s="27">
        <v>94.653813333333332</v>
      </c>
      <c r="Y53" s="27">
        <v>94.653813333333332</v>
      </c>
      <c r="Z53" s="27">
        <v>94.653813333333332</v>
      </c>
      <c r="AA53" s="27">
        <v>94.653813333333332</v>
      </c>
      <c r="AB53" s="27">
        <v>94.653813333333332</v>
      </c>
      <c r="AC53" s="27">
        <v>94.653813333333332</v>
      </c>
      <c r="AD53" s="27">
        <v>94.653813333333332</v>
      </c>
      <c r="AE53" s="27">
        <v>94.653813333333332</v>
      </c>
      <c r="AF53" s="27">
        <v>94.653813333333332</v>
      </c>
      <c r="AG53" s="27">
        <v>94.653813333333332</v>
      </c>
      <c r="AH53" s="27">
        <v>94.653813333333332</v>
      </c>
      <c r="AI53" s="27">
        <v>94.653813333333332</v>
      </c>
      <c r="AJ53" s="27">
        <v>94.653813333333332</v>
      </c>
      <c r="AK53" s="27">
        <v>94.653813333333332</v>
      </c>
      <c r="AL53" s="27">
        <v>94.653813333333332</v>
      </c>
      <c r="AM53" s="27">
        <v>94.653813333333332</v>
      </c>
      <c r="AN53" s="27">
        <v>94.653813333333332</v>
      </c>
      <c r="AO53" s="27">
        <v>94.653813333333332</v>
      </c>
      <c r="AP53" s="27">
        <v>94.653813333333332</v>
      </c>
      <c r="AQ53" s="27">
        <v>94.653813333333332</v>
      </c>
      <c r="AR53" s="27">
        <v>94.653813333333332</v>
      </c>
      <c r="AS53" s="27">
        <v>94.653813333333332</v>
      </c>
      <c r="AT53" s="27">
        <v>94.653813333333332</v>
      </c>
      <c r="AU53" s="27">
        <v>94.653813333333332</v>
      </c>
      <c r="AV53" s="27">
        <v>94.653813333333332</v>
      </c>
      <c r="AW53" s="27">
        <v>94.653813333333332</v>
      </c>
      <c r="AX53" s="27">
        <v>94.653813333333332</v>
      </c>
      <c r="AY53" s="27">
        <v>94.653813333333332</v>
      </c>
      <c r="AZ53" s="27">
        <v>94.653813333333332</v>
      </c>
      <c r="BA53" s="27">
        <v>94.653813333333332</v>
      </c>
      <c r="BB53" s="27">
        <v>94.653813333333332</v>
      </c>
      <c r="BC53" s="27">
        <v>94.653813333333332</v>
      </c>
      <c r="BD53" s="27">
        <v>94.653813333333332</v>
      </c>
      <c r="BE53" s="27">
        <v>94.653813333333332</v>
      </c>
      <c r="BF53" s="27">
        <v>94.653813333333332</v>
      </c>
      <c r="BG53" s="27">
        <v>94.653813333333332</v>
      </c>
      <c r="BH53" s="27">
        <v>94.653813333333332</v>
      </c>
    </row>
    <row r="54" spans="1:60" ht="21" hidden="1" customHeight="1" outlineLevel="1" x14ac:dyDescent="0.25">
      <c r="A54" s="26" t="s">
        <v>189</v>
      </c>
      <c r="B54" s="27">
        <v>19.833333333333336</v>
      </c>
      <c r="C54" s="27">
        <v>19.833333333333336</v>
      </c>
      <c r="D54" s="27">
        <v>19.833333333333336</v>
      </c>
      <c r="E54" s="27">
        <v>19.833333333333336</v>
      </c>
      <c r="F54" s="27">
        <v>19.833333333333336</v>
      </c>
      <c r="G54" s="27">
        <v>19.833333333333336</v>
      </c>
      <c r="H54" s="27">
        <v>19.833333333333336</v>
      </c>
      <c r="I54" s="27">
        <v>19.833333333333336</v>
      </c>
      <c r="J54" s="27">
        <v>19.833333333333336</v>
      </c>
      <c r="K54" s="27">
        <v>19.833333333333336</v>
      </c>
      <c r="L54" s="27">
        <v>19.833333333333336</v>
      </c>
      <c r="M54" s="27">
        <v>19.833333333333336</v>
      </c>
      <c r="N54" s="27">
        <v>19.833333333333336</v>
      </c>
      <c r="O54" s="27">
        <v>19.833333333333336</v>
      </c>
      <c r="P54" s="27">
        <v>19.833333333333336</v>
      </c>
      <c r="Q54" s="27">
        <v>19.833333333333336</v>
      </c>
      <c r="R54" s="27">
        <v>19.833333333333336</v>
      </c>
      <c r="S54" s="27">
        <v>19.833333333333336</v>
      </c>
      <c r="T54" s="27">
        <v>19.833333333333336</v>
      </c>
      <c r="U54" s="27">
        <v>19.833333333333336</v>
      </c>
      <c r="V54" s="27">
        <v>19.833333333333336</v>
      </c>
      <c r="W54" s="27">
        <v>19.833333333333336</v>
      </c>
      <c r="X54" s="27">
        <v>19.833333333333336</v>
      </c>
      <c r="Y54" s="27">
        <v>19.833333333333336</v>
      </c>
      <c r="Z54" s="27">
        <v>19.833333333333336</v>
      </c>
      <c r="AA54" s="27">
        <v>19.833333333333336</v>
      </c>
      <c r="AB54" s="27">
        <v>19.833333333333336</v>
      </c>
      <c r="AC54" s="27">
        <v>19.833333333333336</v>
      </c>
      <c r="AD54" s="27">
        <v>19.833333333333336</v>
      </c>
      <c r="AE54" s="27">
        <v>19.833333333333336</v>
      </c>
      <c r="AF54" s="27">
        <v>19.833333333333336</v>
      </c>
      <c r="AG54" s="27">
        <v>19.833333333333336</v>
      </c>
      <c r="AH54" s="27">
        <v>19.833333333333336</v>
      </c>
      <c r="AI54" s="27">
        <v>19.833333333333336</v>
      </c>
      <c r="AJ54" s="27">
        <v>19.833333333333336</v>
      </c>
      <c r="AK54" s="27">
        <v>19.833333333333336</v>
      </c>
      <c r="AL54" s="27">
        <v>19.833333333333336</v>
      </c>
      <c r="AM54" s="27">
        <v>19.833333333333336</v>
      </c>
      <c r="AN54" s="27">
        <v>19.833333333333336</v>
      </c>
      <c r="AO54" s="27">
        <v>19.833333333333336</v>
      </c>
      <c r="AP54" s="27">
        <v>19.833333333333336</v>
      </c>
      <c r="AQ54" s="27">
        <v>19.833333333333336</v>
      </c>
      <c r="AR54" s="27">
        <v>19.833333333333336</v>
      </c>
      <c r="AS54" s="27">
        <v>19.833333333333336</v>
      </c>
      <c r="AT54" s="27">
        <v>19.833333333333336</v>
      </c>
      <c r="AU54" s="27">
        <v>19.833333333333336</v>
      </c>
      <c r="AV54" s="27">
        <v>19.833333333333336</v>
      </c>
      <c r="AW54" s="27">
        <v>19.833333333333336</v>
      </c>
      <c r="AX54" s="27">
        <v>19.833333333333336</v>
      </c>
      <c r="AY54" s="27">
        <v>19.833333333333336</v>
      </c>
      <c r="AZ54" s="27">
        <v>19.833333333333336</v>
      </c>
      <c r="BA54" s="27">
        <v>19.833333333333336</v>
      </c>
      <c r="BB54" s="27">
        <v>19.833333333333336</v>
      </c>
      <c r="BC54" s="27">
        <v>19.833333333333336</v>
      </c>
      <c r="BD54" s="27">
        <v>19.833333333333336</v>
      </c>
      <c r="BE54" s="27">
        <v>19.833333333333336</v>
      </c>
      <c r="BF54" s="27">
        <v>19.833333333333336</v>
      </c>
      <c r="BG54" s="27">
        <v>19.833333333333336</v>
      </c>
      <c r="BH54" s="27">
        <v>19.833333333333336</v>
      </c>
    </row>
    <row r="55" spans="1:60" ht="21" hidden="1" customHeight="1" outlineLevel="1" x14ac:dyDescent="0.25">
      <c r="A55" s="26" t="s">
        <v>190</v>
      </c>
      <c r="B55" s="27">
        <v>122.52271500000001</v>
      </c>
      <c r="C55" s="27">
        <v>122.52271500000001</v>
      </c>
      <c r="D55" s="27">
        <v>122.52271500000001</v>
      </c>
      <c r="E55" s="27">
        <v>122.52271500000001</v>
      </c>
      <c r="F55" s="27">
        <v>122.52271500000001</v>
      </c>
      <c r="G55" s="27">
        <v>122.52271500000001</v>
      </c>
      <c r="H55" s="27">
        <v>122.52271500000001</v>
      </c>
      <c r="I55" s="27">
        <v>122.52271500000001</v>
      </c>
      <c r="J55" s="27">
        <v>122.52271500000001</v>
      </c>
      <c r="K55" s="27">
        <v>122.52271500000001</v>
      </c>
      <c r="L55" s="27">
        <v>122.52271500000001</v>
      </c>
      <c r="M55" s="27">
        <v>122.52271500000001</v>
      </c>
      <c r="N55" s="27">
        <v>122.52271500000001</v>
      </c>
      <c r="O55" s="27">
        <v>122.52271500000001</v>
      </c>
      <c r="P55" s="27">
        <v>122.52271500000001</v>
      </c>
      <c r="Q55" s="27">
        <v>122.52271500000001</v>
      </c>
      <c r="R55" s="27">
        <v>122.52271500000001</v>
      </c>
      <c r="S55" s="27">
        <v>122.52271500000001</v>
      </c>
      <c r="T55" s="27">
        <v>122.52271500000001</v>
      </c>
      <c r="U55" s="27">
        <v>122.52271500000001</v>
      </c>
      <c r="V55" s="27">
        <v>122.52271500000001</v>
      </c>
      <c r="W55" s="27">
        <v>122.52271500000001</v>
      </c>
      <c r="X55" s="27">
        <v>122.52271500000001</v>
      </c>
      <c r="Y55" s="27">
        <v>122.52271500000001</v>
      </c>
      <c r="Z55" s="27">
        <v>122.52271500000001</v>
      </c>
      <c r="AA55" s="27">
        <v>122.52271500000001</v>
      </c>
      <c r="AB55" s="27">
        <v>122.52271500000001</v>
      </c>
      <c r="AC55" s="27">
        <v>122.52271500000001</v>
      </c>
      <c r="AD55" s="27">
        <v>122.52271500000001</v>
      </c>
      <c r="AE55" s="27">
        <v>122.52271500000001</v>
      </c>
      <c r="AF55" s="27">
        <v>122.52271500000001</v>
      </c>
      <c r="AG55" s="27">
        <v>122.52271500000001</v>
      </c>
      <c r="AH55" s="27">
        <v>122.52271500000001</v>
      </c>
      <c r="AI55" s="27">
        <v>122.52271500000001</v>
      </c>
      <c r="AJ55" s="27">
        <v>122.52271500000001</v>
      </c>
      <c r="AK55" s="27">
        <v>122.52271500000001</v>
      </c>
      <c r="AL55" s="27">
        <v>122.52271500000001</v>
      </c>
      <c r="AM55" s="27">
        <v>122.52271500000001</v>
      </c>
      <c r="AN55" s="27">
        <v>122.52271500000001</v>
      </c>
      <c r="AO55" s="27">
        <v>122.52271500000001</v>
      </c>
      <c r="AP55" s="27">
        <v>122.52271500000001</v>
      </c>
      <c r="AQ55" s="27">
        <v>122.52271500000001</v>
      </c>
      <c r="AR55" s="27">
        <v>122.52271500000001</v>
      </c>
      <c r="AS55" s="27">
        <v>122.52271500000001</v>
      </c>
      <c r="AT55" s="27">
        <v>122.52271500000001</v>
      </c>
      <c r="AU55" s="27">
        <v>122.52271500000001</v>
      </c>
      <c r="AV55" s="27">
        <v>122.52271500000001</v>
      </c>
      <c r="AW55" s="27">
        <v>122.52271500000001</v>
      </c>
      <c r="AX55" s="27">
        <v>122.52271500000001</v>
      </c>
      <c r="AY55" s="27">
        <v>122.52271500000001</v>
      </c>
      <c r="AZ55" s="27">
        <v>122.52271500000001</v>
      </c>
      <c r="BA55" s="27">
        <v>122.52271500000001</v>
      </c>
      <c r="BB55" s="27">
        <v>122.52271500000001</v>
      </c>
      <c r="BC55" s="27">
        <v>122.52271500000001</v>
      </c>
      <c r="BD55" s="27">
        <v>122.52271500000001</v>
      </c>
      <c r="BE55" s="27">
        <v>122.52271500000001</v>
      </c>
      <c r="BF55" s="27">
        <v>122.52271500000001</v>
      </c>
      <c r="BG55" s="27">
        <v>122.52271500000001</v>
      </c>
      <c r="BH55" s="27">
        <v>122.52271500000001</v>
      </c>
    </row>
    <row r="56" spans="1:60" ht="21" hidden="1" customHeight="1" outlineLevel="1" x14ac:dyDescent="0.25">
      <c r="A56" s="26" t="s">
        <v>191</v>
      </c>
      <c r="B56" s="27">
        <v>30.349184444444443</v>
      </c>
      <c r="C56" s="27">
        <v>30.349184444444443</v>
      </c>
      <c r="D56" s="27">
        <v>30.349184444444443</v>
      </c>
      <c r="E56" s="27">
        <v>30.349184444444443</v>
      </c>
      <c r="F56" s="27">
        <v>30.349184444444443</v>
      </c>
      <c r="G56" s="27">
        <v>30.349184444444443</v>
      </c>
      <c r="H56" s="27">
        <v>30.349184444444443</v>
      </c>
      <c r="I56" s="27">
        <v>30.349184444444443</v>
      </c>
      <c r="J56" s="27">
        <v>30.349184444444443</v>
      </c>
      <c r="K56" s="27">
        <v>30.349184444444443</v>
      </c>
      <c r="L56" s="27">
        <v>30.349184444444443</v>
      </c>
      <c r="M56" s="27">
        <v>30.349184444444443</v>
      </c>
      <c r="N56" s="27">
        <v>30.349184444444443</v>
      </c>
      <c r="O56" s="27">
        <v>30.349184444444443</v>
      </c>
      <c r="P56" s="27">
        <v>30.349184444444443</v>
      </c>
      <c r="Q56" s="27">
        <v>30.349184444444443</v>
      </c>
      <c r="R56" s="27">
        <v>30.349184444444443</v>
      </c>
      <c r="S56" s="27">
        <v>30.349184444444443</v>
      </c>
      <c r="T56" s="27">
        <v>30.349184444444443</v>
      </c>
      <c r="U56" s="27">
        <v>30.349184444444443</v>
      </c>
      <c r="V56" s="27">
        <v>30.349184444444443</v>
      </c>
      <c r="W56" s="27">
        <v>30.349184444444443</v>
      </c>
      <c r="X56" s="27">
        <v>30.349184444444443</v>
      </c>
      <c r="Y56" s="27">
        <v>30.349184444444443</v>
      </c>
      <c r="Z56" s="27">
        <v>30.349184444444443</v>
      </c>
      <c r="AA56" s="27">
        <v>30.349184444444443</v>
      </c>
      <c r="AB56" s="27">
        <v>30.349184444444443</v>
      </c>
      <c r="AC56" s="27">
        <v>30.349184444444443</v>
      </c>
      <c r="AD56" s="27">
        <v>30.349184444444443</v>
      </c>
      <c r="AE56" s="27">
        <v>30.349184444444443</v>
      </c>
      <c r="AF56" s="27">
        <v>30.349184444444443</v>
      </c>
      <c r="AG56" s="27">
        <v>30.349184444444443</v>
      </c>
      <c r="AH56" s="27">
        <v>30.349184444444443</v>
      </c>
      <c r="AI56" s="27">
        <v>30.349184444444443</v>
      </c>
      <c r="AJ56" s="27">
        <v>30.349184444444443</v>
      </c>
      <c r="AK56" s="27">
        <v>30.349184444444443</v>
      </c>
      <c r="AL56" s="27">
        <v>30.349184444444443</v>
      </c>
      <c r="AM56" s="27">
        <v>30.349184444444443</v>
      </c>
      <c r="AN56" s="27">
        <v>30.349184444444443</v>
      </c>
      <c r="AO56" s="27">
        <v>30.349184444444443</v>
      </c>
      <c r="AP56" s="27">
        <v>30.349184444444443</v>
      </c>
      <c r="AQ56" s="27">
        <v>30.349184444444443</v>
      </c>
      <c r="AR56" s="27">
        <v>30.349184444444443</v>
      </c>
      <c r="AS56" s="27">
        <v>30.349184444444443</v>
      </c>
      <c r="AT56" s="27">
        <v>30.349184444444443</v>
      </c>
      <c r="AU56" s="27">
        <v>30.349184444444443</v>
      </c>
      <c r="AV56" s="27">
        <v>30.349184444444443</v>
      </c>
      <c r="AW56" s="27">
        <v>30.349184444444443</v>
      </c>
      <c r="AX56" s="27">
        <v>30.349184444444443</v>
      </c>
      <c r="AY56" s="27">
        <v>30.349184444444443</v>
      </c>
      <c r="AZ56" s="27">
        <v>30.349184444444443</v>
      </c>
      <c r="BA56" s="27">
        <v>30.349184444444443</v>
      </c>
      <c r="BB56" s="27">
        <v>30.349184444444443</v>
      </c>
      <c r="BC56" s="27">
        <v>30.349184444444443</v>
      </c>
      <c r="BD56" s="27">
        <v>30.349184444444443</v>
      </c>
      <c r="BE56" s="27">
        <v>30.349184444444443</v>
      </c>
      <c r="BF56" s="27">
        <v>30.349184444444443</v>
      </c>
      <c r="BG56" s="27">
        <v>30.349184444444443</v>
      </c>
      <c r="BH56" s="27">
        <v>30.349184444444443</v>
      </c>
    </row>
    <row r="57" spans="1:60" ht="21" hidden="1" customHeight="1" outlineLevel="1" x14ac:dyDescent="0.25">
      <c r="A57" s="26" t="s">
        <v>192</v>
      </c>
      <c r="B57" s="27">
        <v>19.663832222222222</v>
      </c>
      <c r="C57" s="27">
        <v>19.663832222222222</v>
      </c>
      <c r="D57" s="27">
        <v>19.663832222222222</v>
      </c>
      <c r="E57" s="27">
        <v>19.663832222222222</v>
      </c>
      <c r="F57" s="27">
        <v>19.663832222222222</v>
      </c>
      <c r="G57" s="27">
        <v>19.663832222222222</v>
      </c>
      <c r="H57" s="27">
        <v>19.663832222222222</v>
      </c>
      <c r="I57" s="27">
        <v>19.663832222222222</v>
      </c>
      <c r="J57" s="27">
        <v>19.663832222222222</v>
      </c>
      <c r="K57" s="27">
        <v>19.663832222222222</v>
      </c>
      <c r="L57" s="27">
        <v>19.663832222222222</v>
      </c>
      <c r="M57" s="27">
        <v>19.663832222222222</v>
      </c>
      <c r="N57" s="27">
        <v>19.663832222222222</v>
      </c>
      <c r="O57" s="27">
        <v>19.663832222222222</v>
      </c>
      <c r="P57" s="27">
        <v>19.663832222222222</v>
      </c>
      <c r="Q57" s="27">
        <v>19.663832222222222</v>
      </c>
      <c r="R57" s="27">
        <v>19.663832222222222</v>
      </c>
      <c r="S57" s="27">
        <v>19.663832222222222</v>
      </c>
      <c r="T57" s="27">
        <v>19.663832222222222</v>
      </c>
      <c r="U57" s="27">
        <v>19.663832222222222</v>
      </c>
      <c r="V57" s="27">
        <v>19.663832222222222</v>
      </c>
      <c r="W57" s="27">
        <v>19.663832222222222</v>
      </c>
      <c r="X57" s="27">
        <v>19.663832222222222</v>
      </c>
      <c r="Y57" s="27">
        <v>19.663832222222222</v>
      </c>
      <c r="Z57" s="27">
        <v>19.663832222222222</v>
      </c>
      <c r="AA57" s="27">
        <v>19.663832222222222</v>
      </c>
      <c r="AB57" s="27">
        <v>19.663832222222222</v>
      </c>
      <c r="AC57" s="27">
        <v>19.663832222222222</v>
      </c>
      <c r="AD57" s="27">
        <v>19.663832222222222</v>
      </c>
      <c r="AE57" s="27">
        <v>19.663832222222222</v>
      </c>
      <c r="AF57" s="27">
        <v>19.663832222222222</v>
      </c>
      <c r="AG57" s="27">
        <v>19.663832222222222</v>
      </c>
      <c r="AH57" s="27">
        <v>19.663832222222222</v>
      </c>
      <c r="AI57" s="27">
        <v>19.663832222222222</v>
      </c>
      <c r="AJ57" s="27">
        <v>19.663832222222222</v>
      </c>
      <c r="AK57" s="27">
        <v>19.663832222222222</v>
      </c>
      <c r="AL57" s="27">
        <v>19.663832222222222</v>
      </c>
      <c r="AM57" s="27">
        <v>19.663832222222222</v>
      </c>
      <c r="AN57" s="27">
        <v>19.663832222222222</v>
      </c>
      <c r="AO57" s="27">
        <v>19.663832222222222</v>
      </c>
      <c r="AP57" s="27">
        <v>19.663832222222222</v>
      </c>
      <c r="AQ57" s="27">
        <v>19.663832222222222</v>
      </c>
      <c r="AR57" s="27">
        <v>19.663832222222222</v>
      </c>
      <c r="AS57" s="27">
        <v>19.663832222222222</v>
      </c>
      <c r="AT57" s="27">
        <v>19.663832222222222</v>
      </c>
      <c r="AU57" s="27">
        <v>19.663832222222222</v>
      </c>
      <c r="AV57" s="27">
        <v>19.663832222222222</v>
      </c>
      <c r="AW57" s="27">
        <v>19.663832222222222</v>
      </c>
      <c r="AX57" s="27">
        <v>19.663832222222222</v>
      </c>
      <c r="AY57" s="27">
        <v>19.663832222222222</v>
      </c>
      <c r="AZ57" s="27">
        <v>19.663832222222222</v>
      </c>
      <c r="BA57" s="27">
        <v>19.663832222222222</v>
      </c>
      <c r="BB57" s="27">
        <v>19.663832222222222</v>
      </c>
      <c r="BC57" s="27">
        <v>19.663832222222222</v>
      </c>
      <c r="BD57" s="27">
        <v>19.663832222222222</v>
      </c>
      <c r="BE57" s="27">
        <v>19.663832222222222</v>
      </c>
      <c r="BF57" s="27">
        <v>19.663832222222222</v>
      </c>
      <c r="BG57" s="27">
        <v>19.663832222222222</v>
      </c>
      <c r="BH57" s="27">
        <v>19.663832222222222</v>
      </c>
    </row>
    <row r="58" spans="1:60" ht="21" hidden="1" customHeight="1" outlineLevel="1" x14ac:dyDescent="0.25">
      <c r="A58" s="26" t="s">
        <v>193</v>
      </c>
      <c r="B58" s="27">
        <v>27.222222222222225</v>
      </c>
      <c r="C58" s="27">
        <v>27.222222222222225</v>
      </c>
      <c r="D58" s="27">
        <v>27.222222222222225</v>
      </c>
      <c r="E58" s="27">
        <v>27.222222222222225</v>
      </c>
      <c r="F58" s="27">
        <v>27.222222222222225</v>
      </c>
      <c r="G58" s="27">
        <v>27.222222222222225</v>
      </c>
      <c r="H58" s="27">
        <v>27.222222222222225</v>
      </c>
      <c r="I58" s="27">
        <v>27.222222222222225</v>
      </c>
      <c r="J58" s="27">
        <v>27.222222222222225</v>
      </c>
      <c r="K58" s="27">
        <v>27.222222222222225</v>
      </c>
      <c r="L58" s="27">
        <v>27.222222222222225</v>
      </c>
      <c r="M58" s="27">
        <v>27.222222222222225</v>
      </c>
      <c r="N58" s="27">
        <v>27.222222222222225</v>
      </c>
      <c r="O58" s="27">
        <v>27.222222222222225</v>
      </c>
      <c r="P58" s="27">
        <v>27.222222222222225</v>
      </c>
      <c r="Q58" s="27">
        <v>27.222222222222225</v>
      </c>
      <c r="R58" s="27">
        <v>27.222222222222225</v>
      </c>
      <c r="S58" s="27">
        <v>27.222222222222225</v>
      </c>
      <c r="T58" s="27">
        <v>27.222222222222225</v>
      </c>
      <c r="U58" s="27">
        <v>27.222222222222225</v>
      </c>
      <c r="V58" s="27">
        <v>27.222222222222225</v>
      </c>
      <c r="W58" s="27">
        <v>27.222222222222225</v>
      </c>
      <c r="X58" s="27">
        <v>27.222222222222225</v>
      </c>
      <c r="Y58" s="27">
        <v>27.222222222222225</v>
      </c>
      <c r="Z58" s="27">
        <v>27.222222222222225</v>
      </c>
      <c r="AA58" s="27">
        <v>27.222222222222225</v>
      </c>
      <c r="AB58" s="27">
        <v>27.222222222222225</v>
      </c>
      <c r="AC58" s="27">
        <v>27.222222222222225</v>
      </c>
      <c r="AD58" s="27">
        <v>27.222222222222225</v>
      </c>
      <c r="AE58" s="27">
        <v>27.222222222222225</v>
      </c>
      <c r="AF58" s="27">
        <v>27.222222222222225</v>
      </c>
      <c r="AG58" s="27">
        <v>27.222222222222225</v>
      </c>
      <c r="AH58" s="27">
        <v>27.222222222222225</v>
      </c>
      <c r="AI58" s="27">
        <v>27.222222222222225</v>
      </c>
      <c r="AJ58" s="27">
        <v>27.222222222222225</v>
      </c>
      <c r="AK58" s="27">
        <v>27.222222222222225</v>
      </c>
      <c r="AL58" s="27">
        <v>27.222222222222225</v>
      </c>
      <c r="AM58" s="27">
        <v>27.222222222222225</v>
      </c>
      <c r="AN58" s="27">
        <v>27.222222222222225</v>
      </c>
      <c r="AO58" s="27">
        <v>27.222222222222225</v>
      </c>
      <c r="AP58" s="27">
        <v>27.222222222222225</v>
      </c>
      <c r="AQ58" s="27">
        <v>27.222222222222225</v>
      </c>
      <c r="AR58" s="27">
        <v>27.222222222222225</v>
      </c>
      <c r="AS58" s="27">
        <v>27.222222222222225</v>
      </c>
      <c r="AT58" s="27">
        <v>27.222222222222225</v>
      </c>
      <c r="AU58" s="27">
        <v>27.222222222222225</v>
      </c>
      <c r="AV58" s="27">
        <v>27.222222222222225</v>
      </c>
      <c r="AW58" s="27">
        <v>27.222222222222225</v>
      </c>
      <c r="AX58" s="27">
        <v>27.222222222222225</v>
      </c>
      <c r="AY58" s="27">
        <v>27.222222222222225</v>
      </c>
      <c r="AZ58" s="27">
        <v>27.222222222222225</v>
      </c>
      <c r="BA58" s="27">
        <v>27.222222222222225</v>
      </c>
      <c r="BB58" s="27">
        <v>27.222222222222225</v>
      </c>
      <c r="BC58" s="27">
        <v>27.222222222222225</v>
      </c>
      <c r="BD58" s="27">
        <v>27.222222222222225</v>
      </c>
      <c r="BE58" s="27">
        <v>27.222222222222225</v>
      </c>
      <c r="BF58" s="27">
        <v>27.222222222222225</v>
      </c>
      <c r="BG58" s="27">
        <v>27.222222222222225</v>
      </c>
      <c r="BH58" s="27">
        <v>27.222222222222225</v>
      </c>
    </row>
    <row r="59" spans="1:60" ht="21" hidden="1" customHeight="1" outlineLevel="1" x14ac:dyDescent="0.25">
      <c r="A59" s="26" t="s">
        <v>194</v>
      </c>
      <c r="B59" s="27">
        <v>136.11111111111111</v>
      </c>
      <c r="C59" s="27">
        <v>136.11111111111111</v>
      </c>
      <c r="D59" s="27">
        <v>136.11111111111111</v>
      </c>
      <c r="E59" s="27">
        <v>136.11111111111111</v>
      </c>
      <c r="F59" s="27">
        <v>136.11111111111111</v>
      </c>
      <c r="G59" s="27">
        <v>136.11111111111111</v>
      </c>
      <c r="H59" s="27">
        <v>136.11111111111111</v>
      </c>
      <c r="I59" s="27">
        <v>136.11111111111111</v>
      </c>
      <c r="J59" s="27">
        <v>136.11111111111111</v>
      </c>
      <c r="K59" s="27">
        <v>136.11111111111111</v>
      </c>
      <c r="L59" s="27">
        <v>136.11111111111111</v>
      </c>
      <c r="M59" s="27">
        <v>136.11111111111111</v>
      </c>
      <c r="N59" s="27">
        <v>136.11111111111111</v>
      </c>
      <c r="O59" s="27">
        <v>136.11111111111111</v>
      </c>
      <c r="P59" s="27">
        <v>136.11111111111111</v>
      </c>
      <c r="Q59" s="27">
        <v>136.11111111111111</v>
      </c>
      <c r="R59" s="27">
        <v>136.11111111111111</v>
      </c>
      <c r="S59" s="27">
        <v>136.11111111111111</v>
      </c>
      <c r="T59" s="27">
        <v>136.11111111111111</v>
      </c>
      <c r="U59" s="27">
        <v>136.11111111111111</v>
      </c>
      <c r="V59" s="27">
        <v>136.11111111111111</v>
      </c>
      <c r="W59" s="27">
        <v>136.11111111111111</v>
      </c>
      <c r="X59" s="27">
        <v>136.11111111111111</v>
      </c>
      <c r="Y59" s="27">
        <v>136.11111111111111</v>
      </c>
      <c r="Z59" s="27">
        <v>136.11111111111111</v>
      </c>
      <c r="AA59" s="27">
        <v>136.11111111111111</v>
      </c>
      <c r="AB59" s="27">
        <v>136.11111111111111</v>
      </c>
      <c r="AC59" s="27">
        <v>136.11111111111111</v>
      </c>
      <c r="AD59" s="27">
        <v>136.11111111111111</v>
      </c>
      <c r="AE59" s="27">
        <v>136.11111111111111</v>
      </c>
      <c r="AF59" s="27">
        <v>136.11111111111111</v>
      </c>
      <c r="AG59" s="27">
        <v>136.11111111111111</v>
      </c>
      <c r="AH59" s="27">
        <v>136.11111111111111</v>
      </c>
      <c r="AI59" s="27">
        <v>136.11111111111111</v>
      </c>
      <c r="AJ59" s="27">
        <v>136.11111111111111</v>
      </c>
      <c r="AK59" s="27">
        <v>136.11111111111111</v>
      </c>
      <c r="AL59" s="27">
        <v>136.11111111111111</v>
      </c>
      <c r="AM59" s="27">
        <v>136.11111111111111</v>
      </c>
      <c r="AN59" s="27">
        <v>136.11111111111111</v>
      </c>
      <c r="AO59" s="27">
        <v>136.11111111111111</v>
      </c>
      <c r="AP59" s="27">
        <v>136.11111111111111</v>
      </c>
      <c r="AQ59" s="27">
        <v>136.11111111111111</v>
      </c>
      <c r="AR59" s="27">
        <v>136.11111111111111</v>
      </c>
      <c r="AS59" s="27">
        <v>136.11111111111111</v>
      </c>
      <c r="AT59" s="27">
        <v>136.11111111111111</v>
      </c>
      <c r="AU59" s="27">
        <v>136.11111111111111</v>
      </c>
      <c r="AV59" s="27">
        <v>136.11111111111111</v>
      </c>
      <c r="AW59" s="27">
        <v>136.11111111111111</v>
      </c>
      <c r="AX59" s="27">
        <v>136.11111111111111</v>
      </c>
      <c r="AY59" s="27">
        <v>136.11111111111111</v>
      </c>
      <c r="AZ59" s="27">
        <v>136.11111111111111</v>
      </c>
      <c r="BA59" s="27">
        <v>136.11111111111111</v>
      </c>
      <c r="BB59" s="27">
        <v>136.11111111111111</v>
      </c>
      <c r="BC59" s="27">
        <v>136.11111111111111</v>
      </c>
      <c r="BD59" s="27">
        <v>136.11111111111111</v>
      </c>
      <c r="BE59" s="27">
        <v>136.11111111111111</v>
      </c>
      <c r="BF59" s="27">
        <v>136.11111111111111</v>
      </c>
      <c r="BG59" s="27">
        <v>136.11111111111111</v>
      </c>
      <c r="BH59" s="27">
        <v>136.11111111111111</v>
      </c>
    </row>
    <row r="60" spans="1:60" ht="21" hidden="1" customHeight="1" outlineLevel="1" x14ac:dyDescent="0.25">
      <c r="A60" s="26" t="s">
        <v>195</v>
      </c>
      <c r="B60" s="27">
        <v>27.222222222222225</v>
      </c>
      <c r="C60" s="27">
        <v>27.222222222222225</v>
      </c>
      <c r="D60" s="27">
        <v>27.222222222222225</v>
      </c>
      <c r="E60" s="27">
        <v>27.222222222222225</v>
      </c>
      <c r="F60" s="27">
        <v>27.222222222222225</v>
      </c>
      <c r="G60" s="27">
        <v>27.222222222222225</v>
      </c>
      <c r="H60" s="27">
        <v>27.222222222222225</v>
      </c>
      <c r="I60" s="27">
        <v>27.222222222222225</v>
      </c>
      <c r="J60" s="27">
        <v>27.222222222222225</v>
      </c>
      <c r="K60" s="27">
        <v>27.222222222222225</v>
      </c>
      <c r="L60" s="27">
        <v>27.222222222222225</v>
      </c>
      <c r="M60" s="27">
        <v>27.222222222222225</v>
      </c>
      <c r="N60" s="27">
        <v>27.222222222222225</v>
      </c>
      <c r="O60" s="27">
        <v>27.222222222222225</v>
      </c>
      <c r="P60" s="27">
        <v>27.222222222222225</v>
      </c>
      <c r="Q60" s="27">
        <v>27.222222222222225</v>
      </c>
      <c r="R60" s="27">
        <v>27.222222222222225</v>
      </c>
      <c r="S60" s="27">
        <v>27.222222222222225</v>
      </c>
      <c r="T60" s="27">
        <v>27.222222222222225</v>
      </c>
      <c r="U60" s="27">
        <v>27.222222222222225</v>
      </c>
      <c r="V60" s="27">
        <v>27.222222222222225</v>
      </c>
      <c r="W60" s="27">
        <v>27.222222222222225</v>
      </c>
      <c r="X60" s="27">
        <v>27.222222222222225</v>
      </c>
      <c r="Y60" s="27">
        <v>27.222222222222225</v>
      </c>
      <c r="Z60" s="27">
        <v>27.222222222222225</v>
      </c>
      <c r="AA60" s="27">
        <v>27.222222222222225</v>
      </c>
      <c r="AB60" s="27">
        <v>27.222222222222225</v>
      </c>
      <c r="AC60" s="27">
        <v>27.222222222222225</v>
      </c>
      <c r="AD60" s="27">
        <v>27.222222222222225</v>
      </c>
      <c r="AE60" s="27">
        <v>27.222222222222225</v>
      </c>
      <c r="AF60" s="27">
        <v>27.222222222222225</v>
      </c>
      <c r="AG60" s="27">
        <v>27.222222222222225</v>
      </c>
      <c r="AH60" s="27">
        <v>27.222222222222225</v>
      </c>
      <c r="AI60" s="27">
        <v>27.222222222222225</v>
      </c>
      <c r="AJ60" s="27">
        <v>27.222222222222225</v>
      </c>
      <c r="AK60" s="27">
        <v>27.222222222222225</v>
      </c>
      <c r="AL60" s="27">
        <v>27.222222222222225</v>
      </c>
      <c r="AM60" s="27">
        <v>27.222222222222225</v>
      </c>
      <c r="AN60" s="27">
        <v>27.222222222222225</v>
      </c>
      <c r="AO60" s="27">
        <v>27.222222222222225</v>
      </c>
      <c r="AP60" s="27">
        <v>27.222222222222225</v>
      </c>
      <c r="AQ60" s="27">
        <v>27.222222222222225</v>
      </c>
      <c r="AR60" s="27">
        <v>27.222222222222225</v>
      </c>
      <c r="AS60" s="27">
        <v>27.222222222222225</v>
      </c>
      <c r="AT60" s="27">
        <v>27.222222222222225</v>
      </c>
      <c r="AU60" s="27">
        <v>27.222222222222225</v>
      </c>
      <c r="AV60" s="27">
        <v>27.222222222222225</v>
      </c>
      <c r="AW60" s="27">
        <v>27.222222222222225</v>
      </c>
      <c r="AX60" s="27">
        <v>27.222222222222225</v>
      </c>
      <c r="AY60" s="27">
        <v>27.222222222222225</v>
      </c>
      <c r="AZ60" s="27">
        <v>27.222222222222225</v>
      </c>
      <c r="BA60" s="27">
        <v>27.222222222222225</v>
      </c>
      <c r="BB60" s="27">
        <v>27.222222222222225</v>
      </c>
      <c r="BC60" s="27">
        <v>27.222222222222225</v>
      </c>
      <c r="BD60" s="27">
        <v>27.222222222222225</v>
      </c>
      <c r="BE60" s="27">
        <v>27.222222222222225</v>
      </c>
      <c r="BF60" s="27">
        <v>27.222222222222225</v>
      </c>
      <c r="BG60" s="27">
        <v>27.222222222222225</v>
      </c>
      <c r="BH60" s="27">
        <v>27.222222222222225</v>
      </c>
    </row>
    <row r="61" spans="1:60" ht="21" hidden="1" customHeight="1" outlineLevel="1" x14ac:dyDescent="0.25">
      <c r="A61" s="26" t="s">
        <v>196</v>
      </c>
      <c r="B61" s="27">
        <v>58.333333333333336</v>
      </c>
      <c r="C61" s="27">
        <v>58.333333333333336</v>
      </c>
      <c r="D61" s="27">
        <v>58.333333333333336</v>
      </c>
      <c r="E61" s="27">
        <v>58.333333333333336</v>
      </c>
      <c r="F61" s="27">
        <v>58.333333333333336</v>
      </c>
      <c r="G61" s="27">
        <v>58.333333333333336</v>
      </c>
      <c r="H61" s="27">
        <v>58.333333333333336</v>
      </c>
      <c r="I61" s="27">
        <v>58.333333333333336</v>
      </c>
      <c r="J61" s="27">
        <v>58.333333333333336</v>
      </c>
      <c r="K61" s="27">
        <v>58.333333333333336</v>
      </c>
      <c r="L61" s="27">
        <v>58.333333333333336</v>
      </c>
      <c r="M61" s="27">
        <v>58.333333333333336</v>
      </c>
      <c r="N61" s="27">
        <v>58.333333333333336</v>
      </c>
      <c r="O61" s="27">
        <v>58.333333333333336</v>
      </c>
      <c r="P61" s="27">
        <v>58.333333333333336</v>
      </c>
      <c r="Q61" s="27">
        <v>58.333333333333336</v>
      </c>
      <c r="R61" s="27">
        <v>58.333333333333336</v>
      </c>
      <c r="S61" s="27">
        <v>58.333333333333336</v>
      </c>
      <c r="T61" s="27">
        <v>58.333333333333336</v>
      </c>
      <c r="U61" s="27">
        <v>58.333333333333336</v>
      </c>
      <c r="V61" s="27">
        <v>58.333333333333336</v>
      </c>
      <c r="W61" s="27">
        <v>58.333333333333336</v>
      </c>
      <c r="X61" s="27">
        <v>58.333333333333336</v>
      </c>
      <c r="Y61" s="27">
        <v>58.333333333333336</v>
      </c>
      <c r="Z61" s="27">
        <v>58.333333333333336</v>
      </c>
      <c r="AA61" s="27">
        <v>58.333333333333336</v>
      </c>
      <c r="AB61" s="27">
        <v>58.333333333333336</v>
      </c>
      <c r="AC61" s="27">
        <v>58.333333333333336</v>
      </c>
      <c r="AD61" s="27">
        <v>58.333333333333336</v>
      </c>
      <c r="AE61" s="27">
        <v>58.333333333333336</v>
      </c>
      <c r="AF61" s="27">
        <v>58.333333333333336</v>
      </c>
      <c r="AG61" s="27">
        <v>58.333333333333336</v>
      </c>
      <c r="AH61" s="27">
        <v>58.333333333333336</v>
      </c>
      <c r="AI61" s="27">
        <v>58.333333333333336</v>
      </c>
      <c r="AJ61" s="27">
        <v>58.333333333333336</v>
      </c>
      <c r="AK61" s="27">
        <v>58.333333333333336</v>
      </c>
      <c r="AL61" s="27">
        <v>58.333333333333336</v>
      </c>
      <c r="AM61" s="27">
        <v>58.333333333333336</v>
      </c>
      <c r="AN61" s="27">
        <v>58.333333333333336</v>
      </c>
      <c r="AO61" s="27">
        <v>58.333333333333336</v>
      </c>
      <c r="AP61" s="27">
        <v>58.333333333333336</v>
      </c>
      <c r="AQ61" s="27">
        <v>58.333333333333336</v>
      </c>
      <c r="AR61" s="27">
        <v>58.333333333333336</v>
      </c>
      <c r="AS61" s="27">
        <v>58.333333333333336</v>
      </c>
      <c r="AT61" s="27">
        <v>58.333333333333336</v>
      </c>
      <c r="AU61" s="27">
        <v>58.333333333333336</v>
      </c>
      <c r="AV61" s="27">
        <v>58.333333333333336</v>
      </c>
      <c r="AW61" s="27">
        <v>58.333333333333336</v>
      </c>
      <c r="AX61" s="27">
        <v>58.333333333333336</v>
      </c>
      <c r="AY61" s="27">
        <v>58.333333333333336</v>
      </c>
      <c r="AZ61" s="27">
        <v>58.333333333333336</v>
      </c>
      <c r="BA61" s="27">
        <v>58.333333333333336</v>
      </c>
      <c r="BB61" s="27">
        <v>58.333333333333336</v>
      </c>
      <c r="BC61" s="27">
        <v>58.333333333333336</v>
      </c>
      <c r="BD61" s="27">
        <v>58.333333333333336</v>
      </c>
      <c r="BE61" s="27">
        <v>58.333333333333336</v>
      </c>
      <c r="BF61" s="27">
        <v>58.333333333333336</v>
      </c>
      <c r="BG61" s="27">
        <v>58.333333333333336</v>
      </c>
      <c r="BH61" s="27">
        <v>58.333333333333336</v>
      </c>
    </row>
    <row r="62" spans="1:60" ht="21" hidden="1" customHeight="1" outlineLevel="1" x14ac:dyDescent="0.25">
      <c r="A62" s="26" t="s">
        <v>197</v>
      </c>
      <c r="B62" s="27">
        <v>38.888888888888893</v>
      </c>
      <c r="C62" s="27">
        <v>38.888888888888893</v>
      </c>
      <c r="D62" s="27">
        <v>38.888888888888893</v>
      </c>
      <c r="E62" s="27">
        <v>38.888888888888893</v>
      </c>
      <c r="F62" s="27">
        <v>38.888888888888893</v>
      </c>
      <c r="G62" s="27">
        <v>38.888888888888893</v>
      </c>
      <c r="H62" s="27">
        <v>38.888888888888893</v>
      </c>
      <c r="I62" s="27">
        <v>38.888888888888893</v>
      </c>
      <c r="J62" s="27">
        <v>38.888888888888893</v>
      </c>
      <c r="K62" s="27">
        <v>38.888888888888893</v>
      </c>
      <c r="L62" s="27">
        <v>38.888888888888893</v>
      </c>
      <c r="M62" s="27">
        <v>38.888888888888893</v>
      </c>
      <c r="N62" s="27">
        <v>38.888888888888893</v>
      </c>
      <c r="O62" s="27">
        <v>38.888888888888893</v>
      </c>
      <c r="P62" s="27">
        <v>38.888888888888893</v>
      </c>
      <c r="Q62" s="27">
        <v>38.888888888888893</v>
      </c>
      <c r="R62" s="27">
        <v>38.888888888888893</v>
      </c>
      <c r="S62" s="27">
        <v>38.888888888888893</v>
      </c>
      <c r="T62" s="27">
        <v>38.888888888888893</v>
      </c>
      <c r="U62" s="27">
        <v>38.888888888888893</v>
      </c>
      <c r="V62" s="27">
        <v>38.888888888888893</v>
      </c>
      <c r="W62" s="27">
        <v>38.888888888888893</v>
      </c>
      <c r="X62" s="27">
        <v>38.888888888888893</v>
      </c>
      <c r="Y62" s="27">
        <v>38.888888888888893</v>
      </c>
      <c r="Z62" s="27">
        <v>38.888888888888893</v>
      </c>
      <c r="AA62" s="27">
        <v>38.888888888888893</v>
      </c>
      <c r="AB62" s="27">
        <v>38.888888888888893</v>
      </c>
      <c r="AC62" s="27">
        <v>38.888888888888893</v>
      </c>
      <c r="AD62" s="27">
        <v>38.888888888888893</v>
      </c>
      <c r="AE62" s="27">
        <v>38.888888888888893</v>
      </c>
      <c r="AF62" s="27">
        <v>38.888888888888893</v>
      </c>
      <c r="AG62" s="27">
        <v>38.888888888888893</v>
      </c>
      <c r="AH62" s="27">
        <v>38.888888888888893</v>
      </c>
      <c r="AI62" s="27">
        <v>38.888888888888893</v>
      </c>
      <c r="AJ62" s="27">
        <v>38.888888888888893</v>
      </c>
      <c r="AK62" s="27">
        <v>38.888888888888893</v>
      </c>
      <c r="AL62" s="27">
        <v>38.888888888888893</v>
      </c>
      <c r="AM62" s="27">
        <v>38.888888888888893</v>
      </c>
      <c r="AN62" s="27">
        <v>38.888888888888893</v>
      </c>
      <c r="AO62" s="27">
        <v>38.888888888888893</v>
      </c>
      <c r="AP62" s="27">
        <v>38.888888888888893</v>
      </c>
      <c r="AQ62" s="27">
        <v>38.888888888888893</v>
      </c>
      <c r="AR62" s="27">
        <v>38.888888888888893</v>
      </c>
      <c r="AS62" s="27">
        <v>38.888888888888893</v>
      </c>
      <c r="AT62" s="27">
        <v>38.888888888888893</v>
      </c>
      <c r="AU62" s="27">
        <v>38.888888888888893</v>
      </c>
      <c r="AV62" s="27">
        <v>38.888888888888893</v>
      </c>
      <c r="AW62" s="27">
        <v>38.888888888888893</v>
      </c>
      <c r="AX62" s="27">
        <v>38.888888888888893</v>
      </c>
      <c r="AY62" s="27">
        <v>38.888888888888893</v>
      </c>
      <c r="AZ62" s="27">
        <v>38.888888888888893</v>
      </c>
      <c r="BA62" s="27">
        <v>38.888888888888893</v>
      </c>
      <c r="BB62" s="27">
        <v>38.888888888888893</v>
      </c>
      <c r="BC62" s="27">
        <v>38.888888888888893</v>
      </c>
      <c r="BD62" s="27">
        <v>38.888888888888893</v>
      </c>
      <c r="BE62" s="27">
        <v>38.888888888888893</v>
      </c>
      <c r="BF62" s="27">
        <v>38.888888888888893</v>
      </c>
      <c r="BG62" s="27">
        <v>38.888888888888893</v>
      </c>
      <c r="BH62" s="27">
        <v>38.888888888888893</v>
      </c>
    </row>
    <row r="63" spans="1:60" ht="21" hidden="1" customHeight="1" outlineLevel="1" x14ac:dyDescent="0.25">
      <c r="A63" s="26" t="s">
        <v>198</v>
      </c>
      <c r="B63" s="27">
        <v>104.37397055555557</v>
      </c>
      <c r="C63" s="27">
        <v>104.37397055555557</v>
      </c>
      <c r="D63" s="27">
        <v>104.37397055555557</v>
      </c>
      <c r="E63" s="27">
        <v>104.37397055555557</v>
      </c>
      <c r="F63" s="27">
        <v>104.37397055555557</v>
      </c>
      <c r="G63" s="27">
        <v>104.37397055555557</v>
      </c>
      <c r="H63" s="27">
        <v>104.37397055555557</v>
      </c>
      <c r="I63" s="27">
        <v>104.37397055555557</v>
      </c>
      <c r="J63" s="27">
        <v>104.37397055555557</v>
      </c>
      <c r="K63" s="27">
        <v>104.37397055555557</v>
      </c>
      <c r="L63" s="27">
        <v>104.37397055555557</v>
      </c>
      <c r="M63" s="27">
        <v>104.37397055555557</v>
      </c>
      <c r="N63" s="27">
        <v>104.37397055555557</v>
      </c>
      <c r="O63" s="27">
        <v>104.37397055555557</v>
      </c>
      <c r="P63" s="27">
        <v>104.37397055555557</v>
      </c>
      <c r="Q63" s="27">
        <v>104.37397055555557</v>
      </c>
      <c r="R63" s="27">
        <v>104.37397055555557</v>
      </c>
      <c r="S63" s="27">
        <v>104.37397055555557</v>
      </c>
      <c r="T63" s="27">
        <v>104.37397055555557</v>
      </c>
      <c r="U63" s="27">
        <v>104.37397055555557</v>
      </c>
      <c r="V63" s="27">
        <v>104.37397055555557</v>
      </c>
      <c r="W63" s="27">
        <v>104.37397055555557</v>
      </c>
      <c r="X63" s="27">
        <v>104.37397055555557</v>
      </c>
      <c r="Y63" s="27">
        <v>104.37397055555557</v>
      </c>
      <c r="Z63" s="27">
        <v>104.37397055555557</v>
      </c>
      <c r="AA63" s="27">
        <v>104.37397055555557</v>
      </c>
      <c r="AB63" s="27">
        <v>104.37397055555557</v>
      </c>
      <c r="AC63" s="27">
        <v>104.37397055555557</v>
      </c>
      <c r="AD63" s="27">
        <v>104.37397055555557</v>
      </c>
      <c r="AE63" s="27">
        <v>104.37397055555557</v>
      </c>
      <c r="AF63" s="27">
        <v>104.37397055555557</v>
      </c>
      <c r="AG63" s="27">
        <v>104.37397055555557</v>
      </c>
      <c r="AH63" s="27">
        <v>104.37397055555557</v>
      </c>
      <c r="AI63" s="27">
        <v>104.37397055555557</v>
      </c>
      <c r="AJ63" s="27">
        <v>104.37397055555557</v>
      </c>
      <c r="AK63" s="27">
        <v>104.37397055555557</v>
      </c>
      <c r="AL63" s="27">
        <v>104.37397055555557</v>
      </c>
      <c r="AM63" s="27">
        <v>104.37397055555557</v>
      </c>
      <c r="AN63" s="27">
        <v>104.37397055555557</v>
      </c>
      <c r="AO63" s="27">
        <v>104.37397055555557</v>
      </c>
      <c r="AP63" s="27">
        <v>104.37397055555557</v>
      </c>
      <c r="AQ63" s="27">
        <v>104.37397055555557</v>
      </c>
      <c r="AR63" s="27">
        <v>104.37397055555557</v>
      </c>
      <c r="AS63" s="27">
        <v>104.37397055555557</v>
      </c>
      <c r="AT63" s="27">
        <v>104.37397055555557</v>
      </c>
      <c r="AU63" s="27">
        <v>104.37397055555557</v>
      </c>
      <c r="AV63" s="27">
        <v>104.37397055555557</v>
      </c>
      <c r="AW63" s="27">
        <v>104.37397055555557</v>
      </c>
      <c r="AX63" s="27">
        <v>104.37397055555557</v>
      </c>
      <c r="AY63" s="27">
        <v>104.37397055555557</v>
      </c>
      <c r="AZ63" s="27">
        <v>104.37397055555557</v>
      </c>
      <c r="BA63" s="27">
        <v>104.37397055555557</v>
      </c>
      <c r="BB63" s="27">
        <v>104.37397055555557</v>
      </c>
      <c r="BC63" s="27">
        <v>104.37397055555557</v>
      </c>
      <c r="BD63" s="27">
        <v>104.37397055555557</v>
      </c>
      <c r="BE63" s="27">
        <v>104.37397055555557</v>
      </c>
      <c r="BF63" s="27">
        <v>104.37397055555557</v>
      </c>
      <c r="BG63" s="27">
        <v>104.37397055555557</v>
      </c>
      <c r="BH63" s="27">
        <v>104.37397055555557</v>
      </c>
    </row>
    <row r="64" spans="1:60" ht="21" hidden="1" customHeight="1" outlineLevel="1" x14ac:dyDescent="0.25">
      <c r="A64" s="26" t="s">
        <v>199</v>
      </c>
      <c r="B64" s="27">
        <v>36.94444444444445</v>
      </c>
      <c r="C64" s="27">
        <v>36.94444444444445</v>
      </c>
      <c r="D64" s="27">
        <v>36.94444444444445</v>
      </c>
      <c r="E64" s="27">
        <v>36.94444444444445</v>
      </c>
      <c r="F64" s="27">
        <v>36.94444444444445</v>
      </c>
      <c r="G64" s="27">
        <v>36.94444444444445</v>
      </c>
      <c r="H64" s="27">
        <v>36.94444444444445</v>
      </c>
      <c r="I64" s="27">
        <v>36.94444444444445</v>
      </c>
      <c r="J64" s="27">
        <v>36.94444444444445</v>
      </c>
      <c r="K64" s="27">
        <v>36.94444444444445</v>
      </c>
      <c r="L64" s="27">
        <v>36.94444444444445</v>
      </c>
      <c r="M64" s="27">
        <v>36.94444444444445</v>
      </c>
      <c r="N64" s="27">
        <v>36.94444444444445</v>
      </c>
      <c r="O64" s="27">
        <v>36.94444444444445</v>
      </c>
      <c r="P64" s="27">
        <v>36.94444444444445</v>
      </c>
      <c r="Q64" s="27">
        <v>36.94444444444445</v>
      </c>
      <c r="R64" s="27">
        <v>36.94444444444445</v>
      </c>
      <c r="S64" s="27">
        <v>36.94444444444445</v>
      </c>
      <c r="T64" s="27">
        <v>36.94444444444445</v>
      </c>
      <c r="U64" s="27">
        <v>36.94444444444445</v>
      </c>
      <c r="V64" s="27">
        <v>36.94444444444445</v>
      </c>
      <c r="W64" s="27">
        <v>36.94444444444445</v>
      </c>
      <c r="X64" s="27">
        <v>36.94444444444445</v>
      </c>
      <c r="Y64" s="27">
        <v>36.94444444444445</v>
      </c>
      <c r="Z64" s="27">
        <v>36.94444444444445</v>
      </c>
      <c r="AA64" s="27">
        <v>36.94444444444445</v>
      </c>
      <c r="AB64" s="27">
        <v>36.94444444444445</v>
      </c>
      <c r="AC64" s="27">
        <v>36.94444444444445</v>
      </c>
      <c r="AD64" s="27">
        <v>36.94444444444445</v>
      </c>
      <c r="AE64" s="27">
        <v>36.94444444444445</v>
      </c>
      <c r="AF64" s="27">
        <v>36.94444444444445</v>
      </c>
      <c r="AG64" s="27">
        <v>36.94444444444445</v>
      </c>
      <c r="AH64" s="27">
        <v>36.94444444444445</v>
      </c>
      <c r="AI64" s="27">
        <v>36.94444444444445</v>
      </c>
      <c r="AJ64" s="27">
        <v>36.94444444444445</v>
      </c>
      <c r="AK64" s="27">
        <v>36.94444444444445</v>
      </c>
      <c r="AL64" s="27">
        <v>36.94444444444445</v>
      </c>
      <c r="AM64" s="27">
        <v>36.94444444444445</v>
      </c>
      <c r="AN64" s="27">
        <v>36.94444444444445</v>
      </c>
      <c r="AO64" s="27">
        <v>36.94444444444445</v>
      </c>
      <c r="AP64" s="27">
        <v>36.94444444444445</v>
      </c>
      <c r="AQ64" s="27">
        <v>36.94444444444445</v>
      </c>
      <c r="AR64" s="27">
        <v>36.94444444444445</v>
      </c>
      <c r="AS64" s="27">
        <v>36.94444444444445</v>
      </c>
      <c r="AT64" s="27">
        <v>36.94444444444445</v>
      </c>
      <c r="AU64" s="27">
        <v>36.94444444444445</v>
      </c>
      <c r="AV64" s="27">
        <v>36.94444444444445</v>
      </c>
      <c r="AW64" s="27">
        <v>36.94444444444445</v>
      </c>
      <c r="AX64" s="27">
        <v>36.94444444444445</v>
      </c>
      <c r="AY64" s="27">
        <v>36.94444444444445</v>
      </c>
      <c r="AZ64" s="27">
        <v>36.94444444444445</v>
      </c>
      <c r="BA64" s="27">
        <v>36.94444444444445</v>
      </c>
      <c r="BB64" s="27">
        <v>36.94444444444445</v>
      </c>
      <c r="BC64" s="27">
        <v>36.94444444444445</v>
      </c>
      <c r="BD64" s="27">
        <v>36.94444444444445</v>
      </c>
      <c r="BE64" s="27">
        <v>36.94444444444445</v>
      </c>
      <c r="BF64" s="27">
        <v>36.94444444444445</v>
      </c>
      <c r="BG64" s="27">
        <v>36.94444444444445</v>
      </c>
      <c r="BH64" s="27">
        <v>36.94444444444445</v>
      </c>
    </row>
    <row r="65" spans="1:60" ht="21" hidden="1" customHeight="1" outlineLevel="1" x14ac:dyDescent="0.25">
      <c r="A65" s="26" t="s">
        <v>200</v>
      </c>
      <c r="B65" s="27">
        <v>19.444444444444446</v>
      </c>
      <c r="C65" s="27">
        <v>19.444444444444446</v>
      </c>
      <c r="D65" s="27">
        <v>19.444444444444446</v>
      </c>
      <c r="E65" s="27">
        <v>19.444444444444446</v>
      </c>
      <c r="F65" s="27">
        <v>19.444444444444446</v>
      </c>
      <c r="G65" s="27">
        <v>19.444444444444446</v>
      </c>
      <c r="H65" s="27">
        <v>19.444444444444446</v>
      </c>
      <c r="I65" s="27">
        <v>19.444444444444446</v>
      </c>
      <c r="J65" s="27">
        <v>19.444444444444446</v>
      </c>
      <c r="K65" s="27">
        <v>19.444444444444446</v>
      </c>
      <c r="L65" s="27">
        <v>19.444444444444446</v>
      </c>
      <c r="M65" s="27">
        <v>19.444444444444446</v>
      </c>
      <c r="N65" s="27">
        <v>19.444444444444446</v>
      </c>
      <c r="O65" s="27">
        <v>19.444444444444446</v>
      </c>
      <c r="P65" s="27">
        <v>19.444444444444446</v>
      </c>
      <c r="Q65" s="27">
        <v>19.444444444444446</v>
      </c>
      <c r="R65" s="27">
        <v>19.444444444444446</v>
      </c>
      <c r="S65" s="27">
        <v>19.444444444444446</v>
      </c>
      <c r="T65" s="27">
        <v>19.444444444444446</v>
      </c>
      <c r="U65" s="27">
        <v>19.444444444444446</v>
      </c>
      <c r="V65" s="27">
        <v>19.444444444444446</v>
      </c>
      <c r="W65" s="27">
        <v>19.444444444444446</v>
      </c>
      <c r="X65" s="27">
        <v>19.444444444444446</v>
      </c>
      <c r="Y65" s="27">
        <v>19.444444444444446</v>
      </c>
      <c r="Z65" s="27">
        <v>19.444444444444446</v>
      </c>
      <c r="AA65" s="27">
        <v>19.444444444444446</v>
      </c>
      <c r="AB65" s="27">
        <v>19.444444444444446</v>
      </c>
      <c r="AC65" s="27">
        <v>19.444444444444446</v>
      </c>
      <c r="AD65" s="27">
        <v>19.444444444444446</v>
      </c>
      <c r="AE65" s="27">
        <v>19.444444444444446</v>
      </c>
      <c r="AF65" s="27">
        <v>19.444444444444446</v>
      </c>
      <c r="AG65" s="27">
        <v>19.444444444444446</v>
      </c>
      <c r="AH65" s="27">
        <v>19.444444444444446</v>
      </c>
      <c r="AI65" s="27">
        <v>19.444444444444446</v>
      </c>
      <c r="AJ65" s="27">
        <v>19.444444444444446</v>
      </c>
      <c r="AK65" s="27">
        <v>19.444444444444446</v>
      </c>
      <c r="AL65" s="27">
        <v>19.444444444444446</v>
      </c>
      <c r="AM65" s="27">
        <v>19.444444444444446</v>
      </c>
      <c r="AN65" s="27">
        <v>19.444444444444446</v>
      </c>
      <c r="AO65" s="27">
        <v>19.444444444444446</v>
      </c>
      <c r="AP65" s="27">
        <v>19.444444444444446</v>
      </c>
      <c r="AQ65" s="27">
        <v>19.444444444444446</v>
      </c>
      <c r="AR65" s="27">
        <v>19.444444444444446</v>
      </c>
      <c r="AS65" s="27">
        <v>19.444444444444446</v>
      </c>
      <c r="AT65" s="27">
        <v>19.444444444444446</v>
      </c>
      <c r="AU65" s="27">
        <v>19.444444444444446</v>
      </c>
      <c r="AV65" s="27">
        <v>19.444444444444446</v>
      </c>
      <c r="AW65" s="27">
        <v>19.444444444444446</v>
      </c>
      <c r="AX65" s="27">
        <v>19.444444444444446</v>
      </c>
      <c r="AY65" s="27">
        <v>19.444444444444446</v>
      </c>
      <c r="AZ65" s="27">
        <v>19.444444444444446</v>
      </c>
      <c r="BA65" s="27">
        <v>19.444444444444446</v>
      </c>
      <c r="BB65" s="27">
        <v>19.444444444444446</v>
      </c>
      <c r="BC65" s="27">
        <v>19.444444444444446</v>
      </c>
      <c r="BD65" s="27">
        <v>19.444444444444446</v>
      </c>
      <c r="BE65" s="27">
        <v>19.444444444444446</v>
      </c>
      <c r="BF65" s="27">
        <v>19.444444444444446</v>
      </c>
      <c r="BG65" s="27">
        <v>19.444444444444446</v>
      </c>
      <c r="BH65" s="27">
        <v>19.444444444444446</v>
      </c>
    </row>
    <row r="66" spans="1:60" ht="21" hidden="1" customHeight="1" outlineLevel="1" x14ac:dyDescent="0.25">
      <c r="A66" s="26" t="s">
        <v>201</v>
      </c>
      <c r="B66" s="27">
        <v>128.33333333333334</v>
      </c>
      <c r="C66" s="27">
        <v>128.33333333333334</v>
      </c>
      <c r="D66" s="27">
        <v>128.33333333333334</v>
      </c>
      <c r="E66" s="27">
        <v>128.33333333333334</v>
      </c>
      <c r="F66" s="27">
        <v>128.33333333333334</v>
      </c>
      <c r="G66" s="27">
        <v>128.33333333333334</v>
      </c>
      <c r="H66" s="27">
        <v>128.33333333333334</v>
      </c>
      <c r="I66" s="27">
        <v>128.33333333333334</v>
      </c>
      <c r="J66" s="27">
        <v>128.33333333333334</v>
      </c>
      <c r="K66" s="27">
        <v>128.33333333333334</v>
      </c>
      <c r="L66" s="27">
        <v>128.33333333333334</v>
      </c>
      <c r="M66" s="27">
        <v>128.33333333333334</v>
      </c>
      <c r="N66" s="27">
        <v>128.33333333333334</v>
      </c>
      <c r="O66" s="27">
        <v>128.33333333333334</v>
      </c>
      <c r="P66" s="27">
        <v>128.33333333333334</v>
      </c>
      <c r="Q66" s="27">
        <v>128.33333333333334</v>
      </c>
      <c r="R66" s="27">
        <v>128.33333333333334</v>
      </c>
      <c r="S66" s="27">
        <v>128.33333333333334</v>
      </c>
      <c r="T66" s="27">
        <v>128.33333333333334</v>
      </c>
      <c r="U66" s="27">
        <v>128.33333333333334</v>
      </c>
      <c r="V66" s="27">
        <v>128.33333333333334</v>
      </c>
      <c r="W66" s="27">
        <v>128.33333333333334</v>
      </c>
      <c r="X66" s="27">
        <v>128.33333333333334</v>
      </c>
      <c r="Y66" s="27">
        <v>128.33333333333334</v>
      </c>
      <c r="Z66" s="27">
        <v>128.33333333333334</v>
      </c>
      <c r="AA66" s="27">
        <v>128.33333333333334</v>
      </c>
      <c r="AB66" s="27">
        <v>128.33333333333334</v>
      </c>
      <c r="AC66" s="27">
        <v>128.33333333333334</v>
      </c>
      <c r="AD66" s="27">
        <v>128.33333333333334</v>
      </c>
      <c r="AE66" s="27">
        <v>128.33333333333334</v>
      </c>
      <c r="AF66" s="27">
        <v>128.33333333333334</v>
      </c>
      <c r="AG66" s="27">
        <v>128.33333333333334</v>
      </c>
      <c r="AH66" s="27">
        <v>128.33333333333334</v>
      </c>
      <c r="AI66" s="27">
        <v>128.33333333333334</v>
      </c>
      <c r="AJ66" s="27">
        <v>128.33333333333334</v>
      </c>
      <c r="AK66" s="27">
        <v>128.33333333333334</v>
      </c>
      <c r="AL66" s="27">
        <v>128.33333333333334</v>
      </c>
      <c r="AM66" s="27">
        <v>128.33333333333334</v>
      </c>
      <c r="AN66" s="27">
        <v>128.33333333333334</v>
      </c>
      <c r="AO66" s="27">
        <v>128.33333333333334</v>
      </c>
      <c r="AP66" s="27">
        <v>128.33333333333334</v>
      </c>
      <c r="AQ66" s="27">
        <v>128.33333333333334</v>
      </c>
      <c r="AR66" s="27">
        <v>128.33333333333334</v>
      </c>
      <c r="AS66" s="27">
        <v>128.33333333333334</v>
      </c>
      <c r="AT66" s="27">
        <v>128.33333333333334</v>
      </c>
      <c r="AU66" s="27">
        <v>128.33333333333334</v>
      </c>
      <c r="AV66" s="27">
        <v>128.33333333333334</v>
      </c>
      <c r="AW66" s="27">
        <v>128.33333333333334</v>
      </c>
      <c r="AX66" s="27">
        <v>128.33333333333334</v>
      </c>
      <c r="AY66" s="27">
        <v>128.33333333333334</v>
      </c>
      <c r="AZ66" s="27">
        <v>128.33333333333334</v>
      </c>
      <c r="BA66" s="27">
        <v>128.33333333333334</v>
      </c>
      <c r="BB66" s="27">
        <v>128.33333333333334</v>
      </c>
      <c r="BC66" s="27">
        <v>128.33333333333334</v>
      </c>
      <c r="BD66" s="27">
        <v>128.33333333333334</v>
      </c>
      <c r="BE66" s="27">
        <v>128.33333333333334</v>
      </c>
      <c r="BF66" s="27">
        <v>128.33333333333334</v>
      </c>
      <c r="BG66" s="27">
        <v>128.33333333333334</v>
      </c>
      <c r="BH66" s="27">
        <v>128.33333333333334</v>
      </c>
    </row>
    <row r="67" spans="1:60" ht="21" hidden="1" customHeight="1" outlineLevel="1" x14ac:dyDescent="0.25">
      <c r="A67" s="26" t="s">
        <v>202</v>
      </c>
      <c r="B67" s="27">
        <v>58.333333333333336</v>
      </c>
      <c r="C67" s="27">
        <v>58.333333333333336</v>
      </c>
      <c r="D67" s="27">
        <v>58.333333333333336</v>
      </c>
      <c r="E67" s="27">
        <v>58.333333333333336</v>
      </c>
      <c r="F67" s="27">
        <v>58.333333333333336</v>
      </c>
      <c r="G67" s="27">
        <v>58.333333333333336</v>
      </c>
      <c r="H67" s="27">
        <v>58.333333333333336</v>
      </c>
      <c r="I67" s="27">
        <v>58.333333333333336</v>
      </c>
      <c r="J67" s="27">
        <v>58.333333333333336</v>
      </c>
      <c r="K67" s="27">
        <v>58.333333333333336</v>
      </c>
      <c r="L67" s="27">
        <v>58.333333333333336</v>
      </c>
      <c r="M67" s="27">
        <v>58.333333333333336</v>
      </c>
      <c r="N67" s="27">
        <v>58.333333333333336</v>
      </c>
      <c r="O67" s="27">
        <v>58.333333333333336</v>
      </c>
      <c r="P67" s="27">
        <v>58.333333333333336</v>
      </c>
      <c r="Q67" s="27">
        <v>58.333333333333336</v>
      </c>
      <c r="R67" s="27">
        <v>58.333333333333336</v>
      </c>
      <c r="S67" s="27">
        <v>58.333333333333336</v>
      </c>
      <c r="T67" s="27">
        <v>58.333333333333336</v>
      </c>
      <c r="U67" s="27">
        <v>58.333333333333336</v>
      </c>
      <c r="V67" s="27">
        <v>58.333333333333336</v>
      </c>
      <c r="W67" s="27">
        <v>58.333333333333336</v>
      </c>
      <c r="X67" s="27">
        <v>58.333333333333336</v>
      </c>
      <c r="Y67" s="27">
        <v>58.333333333333336</v>
      </c>
      <c r="Z67" s="27">
        <v>58.333333333333336</v>
      </c>
      <c r="AA67" s="27">
        <v>58.333333333333336</v>
      </c>
      <c r="AB67" s="27">
        <v>58.333333333333336</v>
      </c>
      <c r="AC67" s="27">
        <v>58.333333333333336</v>
      </c>
      <c r="AD67" s="27">
        <v>58.333333333333336</v>
      </c>
      <c r="AE67" s="27">
        <v>58.333333333333336</v>
      </c>
      <c r="AF67" s="27">
        <v>58.333333333333336</v>
      </c>
      <c r="AG67" s="27">
        <v>58.333333333333336</v>
      </c>
      <c r="AH67" s="27">
        <v>58.333333333333336</v>
      </c>
      <c r="AI67" s="27">
        <v>58.333333333333336</v>
      </c>
      <c r="AJ67" s="27">
        <v>58.333333333333336</v>
      </c>
      <c r="AK67" s="27">
        <v>58.333333333333336</v>
      </c>
      <c r="AL67" s="27">
        <v>58.333333333333336</v>
      </c>
      <c r="AM67" s="27">
        <v>58.333333333333336</v>
      </c>
      <c r="AN67" s="27">
        <v>58.333333333333336</v>
      </c>
      <c r="AO67" s="27">
        <v>58.333333333333336</v>
      </c>
      <c r="AP67" s="27">
        <v>58.333333333333336</v>
      </c>
      <c r="AQ67" s="27">
        <v>58.333333333333336</v>
      </c>
      <c r="AR67" s="27">
        <v>58.333333333333336</v>
      </c>
      <c r="AS67" s="27">
        <v>58.333333333333336</v>
      </c>
      <c r="AT67" s="27">
        <v>58.333333333333336</v>
      </c>
      <c r="AU67" s="27">
        <v>58.333333333333336</v>
      </c>
      <c r="AV67" s="27">
        <v>58.333333333333336</v>
      </c>
      <c r="AW67" s="27">
        <v>58.333333333333336</v>
      </c>
      <c r="AX67" s="27">
        <v>58.333333333333336</v>
      </c>
      <c r="AY67" s="27">
        <v>58.333333333333336</v>
      </c>
      <c r="AZ67" s="27">
        <v>58.333333333333336</v>
      </c>
      <c r="BA67" s="27">
        <v>58.333333333333336</v>
      </c>
      <c r="BB67" s="27">
        <v>58.333333333333336</v>
      </c>
      <c r="BC67" s="27">
        <v>58.333333333333336</v>
      </c>
      <c r="BD67" s="27">
        <v>58.333333333333336</v>
      </c>
      <c r="BE67" s="27">
        <v>58.333333333333336</v>
      </c>
      <c r="BF67" s="27">
        <v>58.333333333333336</v>
      </c>
      <c r="BG67" s="27">
        <v>58.333333333333336</v>
      </c>
      <c r="BH67" s="27">
        <v>58.333333333333336</v>
      </c>
    </row>
    <row r="68" spans="1:60" ht="21" hidden="1" customHeight="1" outlineLevel="1" x14ac:dyDescent="0.25">
      <c r="A68" s="26" t="s">
        <v>203</v>
      </c>
      <c r="B68" s="27">
        <v>62.636750555555558</v>
      </c>
      <c r="C68" s="27">
        <v>62.636750555555558</v>
      </c>
      <c r="D68" s="27">
        <v>62.636750555555558</v>
      </c>
      <c r="E68" s="27">
        <v>62.636750555555558</v>
      </c>
      <c r="F68" s="27">
        <v>62.636750555555558</v>
      </c>
      <c r="G68" s="27">
        <v>62.636750555555558</v>
      </c>
      <c r="H68" s="27">
        <v>62.636750555555558</v>
      </c>
      <c r="I68" s="27">
        <v>62.636750555555558</v>
      </c>
      <c r="J68" s="27">
        <v>62.636750555555558</v>
      </c>
      <c r="K68" s="27">
        <v>62.636750555555558</v>
      </c>
      <c r="L68" s="27">
        <v>62.636750555555558</v>
      </c>
      <c r="M68" s="27">
        <v>62.636750555555558</v>
      </c>
      <c r="N68" s="27">
        <v>62.636750555555558</v>
      </c>
      <c r="O68" s="27">
        <v>62.636750555555558</v>
      </c>
      <c r="P68" s="27">
        <v>62.636750555555558</v>
      </c>
      <c r="Q68" s="27">
        <v>62.636750555555558</v>
      </c>
      <c r="R68" s="27">
        <v>62.636750555555558</v>
      </c>
      <c r="S68" s="27">
        <v>62.636750555555558</v>
      </c>
      <c r="T68" s="27">
        <v>62.636750555555558</v>
      </c>
      <c r="U68" s="27">
        <v>62.636750555555558</v>
      </c>
      <c r="V68" s="27">
        <v>62.636750555555558</v>
      </c>
      <c r="W68" s="27">
        <v>62.636750555555558</v>
      </c>
      <c r="X68" s="27">
        <v>62.636750555555558</v>
      </c>
      <c r="Y68" s="27">
        <v>62.636750555555558</v>
      </c>
      <c r="Z68" s="27">
        <v>62.636750555555558</v>
      </c>
      <c r="AA68" s="27">
        <v>62.636750555555558</v>
      </c>
      <c r="AB68" s="27">
        <v>62.636750555555558</v>
      </c>
      <c r="AC68" s="27">
        <v>62.636750555555558</v>
      </c>
      <c r="AD68" s="27">
        <v>62.636750555555558</v>
      </c>
      <c r="AE68" s="27">
        <v>62.636750555555558</v>
      </c>
      <c r="AF68" s="27">
        <v>62.636750555555558</v>
      </c>
      <c r="AG68" s="27">
        <v>62.636750555555558</v>
      </c>
      <c r="AH68" s="27">
        <v>62.636750555555558</v>
      </c>
      <c r="AI68" s="27">
        <v>62.636750555555558</v>
      </c>
      <c r="AJ68" s="27">
        <v>62.636750555555558</v>
      </c>
      <c r="AK68" s="27">
        <v>62.636750555555558</v>
      </c>
      <c r="AL68" s="27">
        <v>62.636750555555558</v>
      </c>
      <c r="AM68" s="27">
        <v>62.636750555555558</v>
      </c>
      <c r="AN68" s="27">
        <v>62.636750555555558</v>
      </c>
      <c r="AO68" s="27">
        <v>62.636750555555558</v>
      </c>
      <c r="AP68" s="27">
        <v>62.636750555555558</v>
      </c>
      <c r="AQ68" s="27">
        <v>62.636750555555558</v>
      </c>
      <c r="AR68" s="27">
        <v>62.636750555555558</v>
      </c>
      <c r="AS68" s="27">
        <v>62.636750555555558</v>
      </c>
      <c r="AT68" s="27">
        <v>62.636750555555558</v>
      </c>
      <c r="AU68" s="27">
        <v>62.636750555555558</v>
      </c>
      <c r="AV68" s="27">
        <v>62.636750555555558</v>
      </c>
      <c r="AW68" s="27">
        <v>62.636750555555558</v>
      </c>
      <c r="AX68" s="27">
        <v>62.636750555555558</v>
      </c>
      <c r="AY68" s="27">
        <v>62.636750555555558</v>
      </c>
      <c r="AZ68" s="27">
        <v>62.636750555555558</v>
      </c>
      <c r="BA68" s="27">
        <v>62.636750555555558</v>
      </c>
      <c r="BB68" s="27">
        <v>62.636750555555558</v>
      </c>
      <c r="BC68" s="27">
        <v>62.636750555555558</v>
      </c>
      <c r="BD68" s="27">
        <v>62.636750555555558</v>
      </c>
      <c r="BE68" s="27">
        <v>62.636750555555558</v>
      </c>
      <c r="BF68" s="27">
        <v>62.636750555555558</v>
      </c>
      <c r="BG68" s="27">
        <v>62.636750555555558</v>
      </c>
      <c r="BH68" s="27">
        <v>62.636750555555558</v>
      </c>
    </row>
    <row r="69" spans="1:60" ht="21" hidden="1" customHeight="1" outlineLevel="1" x14ac:dyDescent="0.25">
      <c r="A69" s="26" t="s">
        <v>204</v>
      </c>
      <c r="B69" s="27">
        <v>62.035718888888901</v>
      </c>
      <c r="C69" s="27">
        <v>62.035718888888901</v>
      </c>
      <c r="D69" s="27">
        <v>62.035718888888901</v>
      </c>
      <c r="E69" s="27">
        <v>62.035718888888901</v>
      </c>
      <c r="F69" s="27">
        <v>62.035718888888901</v>
      </c>
      <c r="G69" s="27">
        <v>62.035718888888901</v>
      </c>
      <c r="H69" s="27">
        <v>62.035718888888901</v>
      </c>
      <c r="I69" s="27">
        <v>62.035718888888901</v>
      </c>
      <c r="J69" s="27">
        <v>62.035718888888901</v>
      </c>
      <c r="K69" s="27">
        <v>62.035718888888901</v>
      </c>
      <c r="L69" s="27">
        <v>62.035718888888901</v>
      </c>
      <c r="M69" s="27">
        <v>62.035718888888901</v>
      </c>
      <c r="N69" s="27">
        <v>62.035718888888901</v>
      </c>
      <c r="O69" s="27">
        <v>62.035718888888901</v>
      </c>
      <c r="P69" s="27">
        <v>62.035718888888901</v>
      </c>
      <c r="Q69" s="27">
        <v>62.035718888888901</v>
      </c>
      <c r="R69" s="27">
        <v>62.035718888888901</v>
      </c>
      <c r="S69" s="27">
        <v>62.035718888888901</v>
      </c>
      <c r="T69" s="27">
        <v>62.035718888888901</v>
      </c>
      <c r="U69" s="27">
        <v>62.035718888888901</v>
      </c>
      <c r="V69" s="27">
        <v>62.035718888888901</v>
      </c>
      <c r="W69" s="27">
        <v>62.035718888888901</v>
      </c>
      <c r="X69" s="27">
        <v>62.035718888888901</v>
      </c>
      <c r="Y69" s="27">
        <v>62.035718888888901</v>
      </c>
      <c r="Z69" s="27">
        <v>62.035718888888901</v>
      </c>
      <c r="AA69" s="27">
        <v>62.035718888888901</v>
      </c>
      <c r="AB69" s="27">
        <v>62.035718888888901</v>
      </c>
      <c r="AC69" s="27">
        <v>62.035718888888901</v>
      </c>
      <c r="AD69" s="27">
        <v>62.035718888888901</v>
      </c>
      <c r="AE69" s="27">
        <v>62.035718888888901</v>
      </c>
      <c r="AF69" s="27">
        <v>62.035718888888901</v>
      </c>
      <c r="AG69" s="27">
        <v>62.035718888888901</v>
      </c>
      <c r="AH69" s="27">
        <v>62.035718888888901</v>
      </c>
      <c r="AI69" s="27">
        <v>62.035718888888901</v>
      </c>
      <c r="AJ69" s="27">
        <v>62.035718888888901</v>
      </c>
      <c r="AK69" s="27">
        <v>62.035718888888901</v>
      </c>
      <c r="AL69" s="27">
        <v>62.035718888888901</v>
      </c>
      <c r="AM69" s="27">
        <v>62.035718888888901</v>
      </c>
      <c r="AN69" s="27">
        <v>62.035718888888901</v>
      </c>
      <c r="AO69" s="27">
        <v>62.035718888888901</v>
      </c>
      <c r="AP69" s="27">
        <v>62.035718888888901</v>
      </c>
      <c r="AQ69" s="27">
        <v>62.035718888888901</v>
      </c>
      <c r="AR69" s="27">
        <v>62.035718888888901</v>
      </c>
      <c r="AS69" s="27">
        <v>62.035718888888901</v>
      </c>
      <c r="AT69" s="27">
        <v>62.035718888888901</v>
      </c>
      <c r="AU69" s="27">
        <v>62.035718888888901</v>
      </c>
      <c r="AV69" s="27">
        <v>62.035718888888901</v>
      </c>
      <c r="AW69" s="27">
        <v>62.035718888888901</v>
      </c>
      <c r="AX69" s="27">
        <v>62.035718888888901</v>
      </c>
      <c r="AY69" s="27">
        <v>62.035718888888901</v>
      </c>
      <c r="AZ69" s="27">
        <v>62.035718888888901</v>
      </c>
      <c r="BA69" s="27">
        <v>62.035718888888901</v>
      </c>
      <c r="BB69" s="27">
        <v>62.035718888888901</v>
      </c>
      <c r="BC69" s="27">
        <v>62.035718888888901</v>
      </c>
      <c r="BD69" s="27">
        <v>62.035718888888901</v>
      </c>
      <c r="BE69" s="27">
        <v>62.035718888888901</v>
      </c>
      <c r="BF69" s="27">
        <v>62.035718888888901</v>
      </c>
      <c r="BG69" s="27">
        <v>62.035718888888901</v>
      </c>
      <c r="BH69" s="27">
        <v>62.035718888888901</v>
      </c>
    </row>
    <row r="70" spans="1:60" ht="21" hidden="1" customHeight="1" outlineLevel="1" x14ac:dyDescent="0.25">
      <c r="A70" s="26" t="s">
        <v>205</v>
      </c>
      <c r="B70" s="27">
        <v>41.047338888888895</v>
      </c>
      <c r="C70" s="27">
        <v>41.047338888888895</v>
      </c>
      <c r="D70" s="27">
        <v>41.047338888888895</v>
      </c>
      <c r="E70" s="27">
        <v>41.047338888888895</v>
      </c>
      <c r="F70" s="27">
        <v>41.047338888888895</v>
      </c>
      <c r="G70" s="27">
        <v>41.047338888888895</v>
      </c>
      <c r="H70" s="27">
        <v>41.047338888888895</v>
      </c>
      <c r="I70" s="27">
        <v>41.047338888888895</v>
      </c>
      <c r="J70" s="27">
        <v>41.047338888888895</v>
      </c>
      <c r="K70" s="27">
        <v>41.047338888888895</v>
      </c>
      <c r="L70" s="27">
        <v>41.047338888888895</v>
      </c>
      <c r="M70" s="27">
        <v>41.047338888888895</v>
      </c>
      <c r="N70" s="27">
        <v>41.047338888888895</v>
      </c>
      <c r="O70" s="27">
        <v>41.047338888888895</v>
      </c>
      <c r="P70" s="27">
        <v>41.047338888888895</v>
      </c>
      <c r="Q70" s="27">
        <v>41.047338888888895</v>
      </c>
      <c r="R70" s="27">
        <v>41.047338888888895</v>
      </c>
      <c r="S70" s="27">
        <v>41.047338888888895</v>
      </c>
      <c r="T70" s="27">
        <v>41.047338888888895</v>
      </c>
      <c r="U70" s="27">
        <v>41.047338888888895</v>
      </c>
      <c r="V70" s="27">
        <v>41.047338888888895</v>
      </c>
      <c r="W70" s="27">
        <v>41.047338888888895</v>
      </c>
      <c r="X70" s="27">
        <v>41.047338888888895</v>
      </c>
      <c r="Y70" s="27">
        <v>41.047338888888895</v>
      </c>
      <c r="Z70" s="27">
        <v>41.047338888888895</v>
      </c>
      <c r="AA70" s="27">
        <v>41.047338888888895</v>
      </c>
      <c r="AB70" s="27">
        <v>41.047338888888895</v>
      </c>
      <c r="AC70" s="27">
        <v>41.047338888888895</v>
      </c>
      <c r="AD70" s="27">
        <v>41.047338888888895</v>
      </c>
      <c r="AE70" s="27">
        <v>41.047338888888895</v>
      </c>
      <c r="AF70" s="27">
        <v>41.047338888888895</v>
      </c>
      <c r="AG70" s="27">
        <v>41.047338888888895</v>
      </c>
      <c r="AH70" s="27">
        <v>41.047338888888895</v>
      </c>
      <c r="AI70" s="27">
        <v>41.047338888888895</v>
      </c>
      <c r="AJ70" s="27">
        <v>41.047338888888895</v>
      </c>
      <c r="AK70" s="27">
        <v>41.047338888888895</v>
      </c>
      <c r="AL70" s="27">
        <v>41.047338888888895</v>
      </c>
      <c r="AM70" s="27">
        <v>41.047338888888895</v>
      </c>
      <c r="AN70" s="27">
        <v>41.047338888888895</v>
      </c>
      <c r="AO70" s="27">
        <v>41.047338888888895</v>
      </c>
      <c r="AP70" s="27">
        <v>41.047338888888895</v>
      </c>
      <c r="AQ70" s="27">
        <v>41.047338888888895</v>
      </c>
      <c r="AR70" s="27">
        <v>41.047338888888895</v>
      </c>
      <c r="AS70" s="27">
        <v>41.047338888888895</v>
      </c>
      <c r="AT70" s="27">
        <v>41.047338888888895</v>
      </c>
      <c r="AU70" s="27">
        <v>41.047338888888895</v>
      </c>
      <c r="AV70" s="27">
        <v>41.047338888888895</v>
      </c>
      <c r="AW70" s="27">
        <v>41.047338888888895</v>
      </c>
      <c r="AX70" s="27">
        <v>41.047338888888895</v>
      </c>
      <c r="AY70" s="27">
        <v>41.047338888888895</v>
      </c>
      <c r="AZ70" s="27">
        <v>41.047338888888895</v>
      </c>
      <c r="BA70" s="27">
        <v>41.047338888888895</v>
      </c>
      <c r="BB70" s="27">
        <v>41.047338888888895</v>
      </c>
      <c r="BC70" s="27">
        <v>41.047338888888895</v>
      </c>
      <c r="BD70" s="27">
        <v>41.047338888888895</v>
      </c>
      <c r="BE70" s="27">
        <v>41.047338888888895</v>
      </c>
      <c r="BF70" s="27">
        <v>41.047338888888895</v>
      </c>
      <c r="BG70" s="27">
        <v>41.047338888888895</v>
      </c>
      <c r="BH70" s="27">
        <v>41.047338888888895</v>
      </c>
    </row>
    <row r="71" spans="1:60" ht="21" hidden="1" customHeight="1" outlineLevel="1" x14ac:dyDescent="0.25">
      <c r="A71" s="26" t="s">
        <v>206</v>
      </c>
      <c r="B71" s="27">
        <v>78.222682222222232</v>
      </c>
      <c r="C71" s="27">
        <v>78.222682222222232</v>
      </c>
      <c r="D71" s="27">
        <v>78.222682222222232</v>
      </c>
      <c r="E71" s="27">
        <v>78.222682222222232</v>
      </c>
      <c r="F71" s="27">
        <v>78.222682222222232</v>
      </c>
      <c r="G71" s="27">
        <v>78.222682222222232</v>
      </c>
      <c r="H71" s="27">
        <v>78.222682222222232</v>
      </c>
      <c r="I71" s="27">
        <v>78.222682222222232</v>
      </c>
      <c r="J71" s="27">
        <v>78.222682222222232</v>
      </c>
      <c r="K71" s="27">
        <v>78.222682222222232</v>
      </c>
      <c r="L71" s="27">
        <v>78.222682222222232</v>
      </c>
      <c r="M71" s="27">
        <v>78.222682222222232</v>
      </c>
      <c r="N71" s="27">
        <v>78.222682222222232</v>
      </c>
      <c r="O71" s="27">
        <v>78.222682222222232</v>
      </c>
      <c r="P71" s="27">
        <v>78.222682222222232</v>
      </c>
      <c r="Q71" s="27">
        <v>78.222682222222232</v>
      </c>
      <c r="R71" s="27">
        <v>78.222682222222232</v>
      </c>
      <c r="S71" s="27">
        <v>78.222682222222232</v>
      </c>
      <c r="T71" s="27">
        <v>78.222682222222232</v>
      </c>
      <c r="U71" s="27">
        <v>78.222682222222232</v>
      </c>
      <c r="V71" s="27">
        <v>78.222682222222232</v>
      </c>
      <c r="W71" s="27">
        <v>78.222682222222232</v>
      </c>
      <c r="X71" s="27">
        <v>78.222682222222232</v>
      </c>
      <c r="Y71" s="27">
        <v>78.222682222222232</v>
      </c>
      <c r="Z71" s="27">
        <v>78.222682222222232</v>
      </c>
      <c r="AA71" s="27">
        <v>78.222682222222232</v>
      </c>
      <c r="AB71" s="27">
        <v>78.222682222222232</v>
      </c>
      <c r="AC71" s="27">
        <v>78.222682222222232</v>
      </c>
      <c r="AD71" s="27">
        <v>78.222682222222232</v>
      </c>
      <c r="AE71" s="27">
        <v>78.222682222222232</v>
      </c>
      <c r="AF71" s="27">
        <v>78.222682222222232</v>
      </c>
      <c r="AG71" s="27">
        <v>78.222682222222232</v>
      </c>
      <c r="AH71" s="27">
        <v>78.222682222222232</v>
      </c>
      <c r="AI71" s="27">
        <v>78.222682222222232</v>
      </c>
      <c r="AJ71" s="27">
        <v>78.222682222222232</v>
      </c>
      <c r="AK71" s="27">
        <v>78.222682222222232</v>
      </c>
      <c r="AL71" s="27">
        <v>78.222682222222232</v>
      </c>
      <c r="AM71" s="27">
        <v>78.222682222222232</v>
      </c>
      <c r="AN71" s="27">
        <v>78.222682222222232</v>
      </c>
      <c r="AO71" s="27">
        <v>78.222682222222232</v>
      </c>
      <c r="AP71" s="27">
        <v>78.222682222222232</v>
      </c>
      <c r="AQ71" s="27">
        <v>78.222682222222232</v>
      </c>
      <c r="AR71" s="27">
        <v>78.222682222222232</v>
      </c>
      <c r="AS71" s="27">
        <v>78.222682222222232</v>
      </c>
      <c r="AT71" s="27">
        <v>78.222682222222232</v>
      </c>
      <c r="AU71" s="27">
        <v>78.222682222222232</v>
      </c>
      <c r="AV71" s="27">
        <v>78.222682222222232</v>
      </c>
      <c r="AW71" s="27">
        <v>78.222682222222232</v>
      </c>
      <c r="AX71" s="27">
        <v>78.222682222222232</v>
      </c>
      <c r="AY71" s="27">
        <v>78.222682222222232</v>
      </c>
      <c r="AZ71" s="27">
        <v>78.222682222222232</v>
      </c>
      <c r="BA71" s="27">
        <v>78.222682222222232</v>
      </c>
      <c r="BB71" s="27">
        <v>78.222682222222232</v>
      </c>
      <c r="BC71" s="27">
        <v>78.222682222222232</v>
      </c>
      <c r="BD71" s="27">
        <v>78.222682222222232</v>
      </c>
      <c r="BE71" s="27">
        <v>78.222682222222232</v>
      </c>
      <c r="BF71" s="27">
        <v>78.222682222222232</v>
      </c>
      <c r="BG71" s="27">
        <v>78.222682222222232</v>
      </c>
      <c r="BH71" s="27">
        <v>78.222682222222232</v>
      </c>
    </row>
    <row r="72" spans="1:60" ht="21" hidden="1" customHeight="1" outlineLevel="1" x14ac:dyDescent="0.25">
      <c r="A72" s="26" t="s">
        <v>207</v>
      </c>
      <c r="B72" s="27">
        <v>194.44444444444446</v>
      </c>
      <c r="C72" s="27">
        <v>194.44444444444446</v>
      </c>
      <c r="D72" s="27">
        <v>194.44444444444446</v>
      </c>
      <c r="E72" s="27">
        <v>194.44444444444446</v>
      </c>
      <c r="F72" s="27">
        <v>194.44444444444446</v>
      </c>
      <c r="G72" s="27">
        <v>194.44444444444446</v>
      </c>
      <c r="H72" s="27">
        <v>194.44444444444446</v>
      </c>
      <c r="I72" s="27">
        <v>194.44444444444446</v>
      </c>
      <c r="J72" s="27">
        <v>194.44444444444446</v>
      </c>
      <c r="K72" s="27">
        <v>194.44444444444446</v>
      </c>
      <c r="L72" s="27">
        <v>194.44444444444446</v>
      </c>
      <c r="M72" s="27">
        <v>194.44444444444446</v>
      </c>
      <c r="N72" s="27">
        <v>194.44444444444446</v>
      </c>
      <c r="O72" s="27">
        <v>194.44444444444446</v>
      </c>
      <c r="P72" s="27">
        <v>194.44444444444446</v>
      </c>
      <c r="Q72" s="27">
        <v>194.44444444444446</v>
      </c>
      <c r="R72" s="27">
        <v>194.44444444444446</v>
      </c>
      <c r="S72" s="27">
        <v>194.44444444444446</v>
      </c>
      <c r="T72" s="27">
        <v>194.44444444444446</v>
      </c>
      <c r="U72" s="27">
        <v>194.44444444444446</v>
      </c>
      <c r="V72" s="27">
        <v>194.44444444444446</v>
      </c>
      <c r="W72" s="27">
        <v>194.44444444444446</v>
      </c>
      <c r="X72" s="27">
        <v>194.44444444444446</v>
      </c>
      <c r="Y72" s="27">
        <v>194.44444444444446</v>
      </c>
      <c r="Z72" s="27">
        <v>194.44444444444446</v>
      </c>
      <c r="AA72" s="27">
        <v>194.44444444444446</v>
      </c>
      <c r="AB72" s="27">
        <v>194.44444444444446</v>
      </c>
      <c r="AC72" s="27">
        <v>194.44444444444446</v>
      </c>
      <c r="AD72" s="27">
        <v>194.44444444444446</v>
      </c>
      <c r="AE72" s="27">
        <v>194.44444444444446</v>
      </c>
      <c r="AF72" s="27">
        <v>194.44444444444446</v>
      </c>
      <c r="AG72" s="27">
        <v>194.44444444444446</v>
      </c>
      <c r="AH72" s="27">
        <v>194.44444444444446</v>
      </c>
      <c r="AI72" s="27">
        <v>194.44444444444446</v>
      </c>
      <c r="AJ72" s="27">
        <v>194.44444444444446</v>
      </c>
      <c r="AK72" s="27">
        <v>194.44444444444446</v>
      </c>
      <c r="AL72" s="27">
        <v>194.44444444444446</v>
      </c>
      <c r="AM72" s="27">
        <v>194.44444444444446</v>
      </c>
      <c r="AN72" s="27">
        <v>194.44444444444446</v>
      </c>
      <c r="AO72" s="27">
        <v>194.44444444444446</v>
      </c>
      <c r="AP72" s="27">
        <v>194.44444444444446</v>
      </c>
      <c r="AQ72" s="27">
        <v>194.44444444444446</v>
      </c>
      <c r="AR72" s="27">
        <v>194.44444444444446</v>
      </c>
      <c r="AS72" s="27">
        <v>194.44444444444446</v>
      </c>
      <c r="AT72" s="27">
        <v>194.44444444444446</v>
      </c>
      <c r="AU72" s="27">
        <v>194.44444444444446</v>
      </c>
      <c r="AV72" s="27">
        <v>194.44444444444446</v>
      </c>
      <c r="AW72" s="27">
        <v>194.44444444444446</v>
      </c>
      <c r="AX72" s="27">
        <v>194.44444444444446</v>
      </c>
      <c r="AY72" s="27">
        <v>194.44444444444446</v>
      </c>
      <c r="AZ72" s="27">
        <v>194.44444444444446</v>
      </c>
      <c r="BA72" s="27">
        <v>194.44444444444446</v>
      </c>
      <c r="BB72" s="27">
        <v>194.44444444444446</v>
      </c>
      <c r="BC72" s="27">
        <v>194.44444444444446</v>
      </c>
      <c r="BD72" s="27">
        <v>194.44444444444446</v>
      </c>
      <c r="BE72" s="27">
        <v>194.44444444444446</v>
      </c>
      <c r="BF72" s="27">
        <v>194.44444444444446</v>
      </c>
      <c r="BG72" s="27">
        <v>194.44444444444446</v>
      </c>
      <c r="BH72" s="27">
        <v>194.44444444444446</v>
      </c>
    </row>
    <row r="73" spans="1:60" ht="21" hidden="1" customHeight="1" outlineLevel="1" x14ac:dyDescent="0.25">
      <c r="A73" s="26" t="s">
        <v>208</v>
      </c>
      <c r="B73" s="27">
        <v>38.888888888888893</v>
      </c>
      <c r="C73" s="27">
        <v>38.888888888888893</v>
      </c>
      <c r="D73" s="27">
        <v>38.888888888888893</v>
      </c>
      <c r="E73" s="27">
        <v>38.888888888888893</v>
      </c>
      <c r="F73" s="27">
        <v>38.888888888888893</v>
      </c>
      <c r="G73" s="27">
        <v>38.888888888888893</v>
      </c>
      <c r="H73" s="27">
        <v>38.888888888888893</v>
      </c>
      <c r="I73" s="27">
        <v>38.888888888888893</v>
      </c>
      <c r="J73" s="27">
        <v>38.888888888888893</v>
      </c>
      <c r="K73" s="27">
        <v>38.888888888888893</v>
      </c>
      <c r="L73" s="27">
        <v>38.888888888888893</v>
      </c>
      <c r="M73" s="27">
        <v>38.888888888888893</v>
      </c>
      <c r="N73" s="27">
        <v>38.888888888888893</v>
      </c>
      <c r="O73" s="27">
        <v>38.888888888888893</v>
      </c>
      <c r="P73" s="27">
        <v>38.888888888888893</v>
      </c>
      <c r="Q73" s="27">
        <v>38.888888888888893</v>
      </c>
      <c r="R73" s="27">
        <v>38.888888888888893</v>
      </c>
      <c r="S73" s="27">
        <v>38.888888888888893</v>
      </c>
      <c r="T73" s="27">
        <v>38.888888888888893</v>
      </c>
      <c r="U73" s="27">
        <v>38.888888888888893</v>
      </c>
      <c r="V73" s="27">
        <v>38.888888888888893</v>
      </c>
      <c r="W73" s="27">
        <v>38.888888888888893</v>
      </c>
      <c r="X73" s="27">
        <v>38.888888888888893</v>
      </c>
      <c r="Y73" s="27">
        <v>38.888888888888893</v>
      </c>
      <c r="Z73" s="27">
        <v>38.888888888888893</v>
      </c>
      <c r="AA73" s="27">
        <v>38.888888888888893</v>
      </c>
      <c r="AB73" s="27">
        <v>38.888888888888893</v>
      </c>
      <c r="AC73" s="27">
        <v>38.888888888888893</v>
      </c>
      <c r="AD73" s="27">
        <v>38.888888888888893</v>
      </c>
      <c r="AE73" s="27">
        <v>38.888888888888893</v>
      </c>
      <c r="AF73" s="27">
        <v>38.888888888888893</v>
      </c>
      <c r="AG73" s="27">
        <v>38.888888888888893</v>
      </c>
      <c r="AH73" s="27">
        <v>38.888888888888893</v>
      </c>
      <c r="AI73" s="27">
        <v>38.888888888888893</v>
      </c>
      <c r="AJ73" s="27">
        <v>38.888888888888893</v>
      </c>
      <c r="AK73" s="27">
        <v>38.888888888888893</v>
      </c>
      <c r="AL73" s="27">
        <v>38.888888888888893</v>
      </c>
      <c r="AM73" s="27">
        <v>38.888888888888893</v>
      </c>
      <c r="AN73" s="27">
        <v>38.888888888888893</v>
      </c>
      <c r="AO73" s="27">
        <v>38.888888888888893</v>
      </c>
      <c r="AP73" s="27">
        <v>38.888888888888893</v>
      </c>
      <c r="AQ73" s="27">
        <v>38.888888888888893</v>
      </c>
      <c r="AR73" s="27">
        <v>38.888888888888893</v>
      </c>
      <c r="AS73" s="27">
        <v>38.888888888888893</v>
      </c>
      <c r="AT73" s="27">
        <v>38.888888888888893</v>
      </c>
      <c r="AU73" s="27">
        <v>38.888888888888893</v>
      </c>
      <c r="AV73" s="27">
        <v>38.888888888888893</v>
      </c>
      <c r="AW73" s="27">
        <v>38.888888888888893</v>
      </c>
      <c r="AX73" s="27">
        <v>38.888888888888893</v>
      </c>
      <c r="AY73" s="27">
        <v>38.888888888888893</v>
      </c>
      <c r="AZ73" s="27">
        <v>38.888888888888893</v>
      </c>
      <c r="BA73" s="27">
        <v>38.888888888888893</v>
      </c>
      <c r="BB73" s="27">
        <v>38.888888888888893</v>
      </c>
      <c r="BC73" s="27">
        <v>38.888888888888893</v>
      </c>
      <c r="BD73" s="27">
        <v>38.888888888888893</v>
      </c>
      <c r="BE73" s="27">
        <v>38.888888888888893</v>
      </c>
      <c r="BF73" s="27">
        <v>38.888888888888893</v>
      </c>
      <c r="BG73" s="27">
        <v>38.888888888888893</v>
      </c>
      <c r="BH73" s="27">
        <v>38.888888888888893</v>
      </c>
    </row>
    <row r="74" spans="1:60" ht="21" hidden="1" customHeight="1" outlineLevel="1" x14ac:dyDescent="0.25">
      <c r="A74" s="26" t="s">
        <v>209</v>
      </c>
      <c r="B74" s="27">
        <v>82.481256666666681</v>
      </c>
      <c r="C74" s="27">
        <v>82.481256666666681</v>
      </c>
      <c r="D74" s="27">
        <v>82.481256666666681</v>
      </c>
      <c r="E74" s="27">
        <v>82.481256666666681</v>
      </c>
      <c r="F74" s="27">
        <v>82.481256666666681</v>
      </c>
      <c r="G74" s="27">
        <v>82.481256666666681</v>
      </c>
      <c r="H74" s="27">
        <v>82.481256666666681</v>
      </c>
      <c r="I74" s="27">
        <v>82.481256666666681</v>
      </c>
      <c r="J74" s="27">
        <v>82.481256666666681</v>
      </c>
      <c r="K74" s="27">
        <v>82.481256666666681</v>
      </c>
      <c r="L74" s="27">
        <v>82.481256666666681</v>
      </c>
      <c r="M74" s="27">
        <v>82.481256666666681</v>
      </c>
      <c r="N74" s="27">
        <v>82.481256666666681</v>
      </c>
      <c r="O74" s="27">
        <v>82.481256666666681</v>
      </c>
      <c r="P74" s="27">
        <v>82.481256666666681</v>
      </c>
      <c r="Q74" s="27">
        <v>82.481256666666681</v>
      </c>
      <c r="R74" s="27">
        <v>82.481256666666681</v>
      </c>
      <c r="S74" s="27">
        <v>82.481256666666681</v>
      </c>
      <c r="T74" s="27">
        <v>82.481256666666681</v>
      </c>
      <c r="U74" s="27">
        <v>82.481256666666681</v>
      </c>
      <c r="V74" s="27">
        <v>82.481256666666681</v>
      </c>
      <c r="W74" s="27">
        <v>82.481256666666681</v>
      </c>
      <c r="X74" s="27">
        <v>82.481256666666681</v>
      </c>
      <c r="Y74" s="27">
        <v>82.481256666666681</v>
      </c>
      <c r="Z74" s="27">
        <v>82.481256666666681</v>
      </c>
      <c r="AA74" s="27">
        <v>82.481256666666681</v>
      </c>
      <c r="AB74" s="27">
        <v>82.481256666666681</v>
      </c>
      <c r="AC74" s="27">
        <v>82.481256666666681</v>
      </c>
      <c r="AD74" s="27">
        <v>82.481256666666681</v>
      </c>
      <c r="AE74" s="27">
        <v>82.481256666666681</v>
      </c>
      <c r="AF74" s="27">
        <v>82.481256666666681</v>
      </c>
      <c r="AG74" s="27">
        <v>82.481256666666681</v>
      </c>
      <c r="AH74" s="27">
        <v>82.481256666666681</v>
      </c>
      <c r="AI74" s="27">
        <v>82.481256666666681</v>
      </c>
      <c r="AJ74" s="27">
        <v>82.481256666666681</v>
      </c>
      <c r="AK74" s="27">
        <v>82.481256666666681</v>
      </c>
      <c r="AL74" s="27">
        <v>82.481256666666681</v>
      </c>
      <c r="AM74" s="27">
        <v>82.481256666666681</v>
      </c>
      <c r="AN74" s="27">
        <v>82.481256666666681</v>
      </c>
      <c r="AO74" s="27">
        <v>82.481256666666681</v>
      </c>
      <c r="AP74" s="27">
        <v>82.481256666666681</v>
      </c>
      <c r="AQ74" s="27">
        <v>82.481256666666681</v>
      </c>
      <c r="AR74" s="27">
        <v>82.481256666666681</v>
      </c>
      <c r="AS74" s="27">
        <v>82.481256666666681</v>
      </c>
      <c r="AT74" s="27">
        <v>82.481256666666681</v>
      </c>
      <c r="AU74" s="27">
        <v>82.481256666666681</v>
      </c>
      <c r="AV74" s="27">
        <v>82.481256666666681</v>
      </c>
      <c r="AW74" s="27">
        <v>82.481256666666681</v>
      </c>
      <c r="AX74" s="27">
        <v>82.481256666666681</v>
      </c>
      <c r="AY74" s="27">
        <v>82.481256666666681</v>
      </c>
      <c r="AZ74" s="27">
        <v>82.481256666666681</v>
      </c>
      <c r="BA74" s="27">
        <v>82.481256666666681</v>
      </c>
      <c r="BB74" s="27">
        <v>82.481256666666681</v>
      </c>
      <c r="BC74" s="27">
        <v>82.481256666666681</v>
      </c>
      <c r="BD74" s="27">
        <v>82.481256666666681</v>
      </c>
      <c r="BE74" s="27">
        <v>82.481256666666681</v>
      </c>
      <c r="BF74" s="27">
        <v>82.481256666666681</v>
      </c>
      <c r="BG74" s="27">
        <v>82.481256666666681</v>
      </c>
      <c r="BH74" s="27">
        <v>82.481256666666681</v>
      </c>
    </row>
    <row r="75" spans="1:60" ht="21" hidden="1" customHeight="1" outlineLevel="1" x14ac:dyDescent="0.25">
      <c r="A75" s="26" t="s">
        <v>210</v>
      </c>
      <c r="B75" s="27">
        <v>38.888888888888893</v>
      </c>
      <c r="C75" s="27">
        <v>38.888888888888893</v>
      </c>
      <c r="D75" s="27">
        <v>38.888888888888893</v>
      </c>
      <c r="E75" s="27">
        <v>38.888888888888893</v>
      </c>
      <c r="F75" s="27">
        <v>38.888888888888893</v>
      </c>
      <c r="G75" s="27">
        <v>38.888888888888893</v>
      </c>
      <c r="H75" s="27">
        <v>38.888888888888893</v>
      </c>
      <c r="I75" s="27">
        <v>38.888888888888893</v>
      </c>
      <c r="J75" s="27">
        <v>38.888888888888893</v>
      </c>
      <c r="K75" s="27">
        <v>38.888888888888893</v>
      </c>
      <c r="L75" s="27">
        <v>38.888888888888893</v>
      </c>
      <c r="M75" s="27">
        <v>38.888888888888893</v>
      </c>
      <c r="N75" s="27">
        <v>38.888888888888893</v>
      </c>
      <c r="O75" s="27">
        <v>38.888888888888893</v>
      </c>
      <c r="P75" s="27">
        <v>38.888888888888893</v>
      </c>
      <c r="Q75" s="27">
        <v>38.888888888888893</v>
      </c>
      <c r="R75" s="27">
        <v>38.888888888888893</v>
      </c>
      <c r="S75" s="27">
        <v>38.888888888888893</v>
      </c>
      <c r="T75" s="27">
        <v>38.888888888888893</v>
      </c>
      <c r="U75" s="27">
        <v>38.888888888888893</v>
      </c>
      <c r="V75" s="27">
        <v>38.888888888888893</v>
      </c>
      <c r="W75" s="27">
        <v>38.888888888888893</v>
      </c>
      <c r="X75" s="27">
        <v>38.888888888888893</v>
      </c>
      <c r="Y75" s="27">
        <v>38.888888888888893</v>
      </c>
      <c r="Z75" s="27">
        <v>38.888888888888893</v>
      </c>
      <c r="AA75" s="27">
        <v>38.888888888888893</v>
      </c>
      <c r="AB75" s="27">
        <v>38.888888888888893</v>
      </c>
      <c r="AC75" s="27">
        <v>38.888888888888893</v>
      </c>
      <c r="AD75" s="27">
        <v>38.888888888888893</v>
      </c>
      <c r="AE75" s="27">
        <v>38.888888888888893</v>
      </c>
      <c r="AF75" s="27">
        <v>38.888888888888893</v>
      </c>
      <c r="AG75" s="27">
        <v>38.888888888888893</v>
      </c>
      <c r="AH75" s="27">
        <v>38.888888888888893</v>
      </c>
      <c r="AI75" s="27">
        <v>38.888888888888893</v>
      </c>
      <c r="AJ75" s="27">
        <v>38.888888888888893</v>
      </c>
      <c r="AK75" s="27">
        <v>38.888888888888893</v>
      </c>
      <c r="AL75" s="27">
        <v>38.888888888888893</v>
      </c>
      <c r="AM75" s="27">
        <v>38.888888888888893</v>
      </c>
      <c r="AN75" s="27">
        <v>38.888888888888893</v>
      </c>
      <c r="AO75" s="27">
        <v>38.888888888888893</v>
      </c>
      <c r="AP75" s="27">
        <v>38.888888888888893</v>
      </c>
      <c r="AQ75" s="27">
        <v>38.888888888888893</v>
      </c>
      <c r="AR75" s="27">
        <v>38.888888888888893</v>
      </c>
      <c r="AS75" s="27">
        <v>38.888888888888893</v>
      </c>
      <c r="AT75" s="27">
        <v>38.888888888888893</v>
      </c>
      <c r="AU75" s="27">
        <v>38.888888888888893</v>
      </c>
      <c r="AV75" s="27">
        <v>38.888888888888893</v>
      </c>
      <c r="AW75" s="27">
        <v>38.888888888888893</v>
      </c>
      <c r="AX75" s="27">
        <v>38.888888888888893</v>
      </c>
      <c r="AY75" s="27">
        <v>38.888888888888893</v>
      </c>
      <c r="AZ75" s="27">
        <v>38.888888888888893</v>
      </c>
      <c r="BA75" s="27">
        <v>38.888888888888893</v>
      </c>
      <c r="BB75" s="27">
        <v>38.888888888888893</v>
      </c>
      <c r="BC75" s="27">
        <v>38.888888888888893</v>
      </c>
      <c r="BD75" s="27">
        <v>38.888888888888893</v>
      </c>
      <c r="BE75" s="27">
        <v>38.888888888888893</v>
      </c>
      <c r="BF75" s="27">
        <v>38.888888888888893</v>
      </c>
      <c r="BG75" s="27">
        <v>38.888888888888893</v>
      </c>
      <c r="BH75" s="27">
        <v>38.888888888888893</v>
      </c>
    </row>
    <row r="76" spans="1:60" ht="21" customHeight="1" collapsed="1" x14ac:dyDescent="0.25">
      <c r="A76" s="26" t="s">
        <v>211</v>
      </c>
      <c r="B76" s="27">
        <v>38.888888888888893</v>
      </c>
      <c r="C76" s="27">
        <v>38.888888888888893</v>
      </c>
      <c r="D76" s="27">
        <v>38.888888888888893</v>
      </c>
      <c r="E76" s="27">
        <v>38.888888888888893</v>
      </c>
      <c r="F76" s="27">
        <v>38.888888888888893</v>
      </c>
      <c r="G76" s="27">
        <v>38.888888888888893</v>
      </c>
      <c r="H76" s="27">
        <v>38.888888888888893</v>
      </c>
      <c r="I76" s="27">
        <v>38.888888888888893</v>
      </c>
      <c r="J76" s="27">
        <v>38.888888888888893</v>
      </c>
      <c r="K76" s="27">
        <v>38.888888888888893</v>
      </c>
      <c r="L76" s="27">
        <v>38.888888888888893</v>
      </c>
      <c r="M76" s="27">
        <v>38.888888888888893</v>
      </c>
      <c r="N76" s="27">
        <v>38.888888888888893</v>
      </c>
      <c r="O76" s="27">
        <v>38.888888888888893</v>
      </c>
      <c r="P76" s="27">
        <v>38.888888888888893</v>
      </c>
      <c r="Q76" s="27">
        <v>38.888888888888893</v>
      </c>
      <c r="R76" s="27">
        <v>38.888888888888893</v>
      </c>
      <c r="S76" s="27">
        <v>38.888888888888893</v>
      </c>
      <c r="T76" s="27">
        <v>38.888888888888893</v>
      </c>
      <c r="U76" s="27">
        <v>38.888888888888893</v>
      </c>
      <c r="V76" s="27">
        <v>38.888888888888893</v>
      </c>
      <c r="W76" s="27">
        <v>38.888888888888893</v>
      </c>
      <c r="X76" s="27">
        <v>38.888888888888893</v>
      </c>
      <c r="Y76" s="27">
        <v>38.888888888888893</v>
      </c>
      <c r="Z76" s="27">
        <v>38.888888888888893</v>
      </c>
      <c r="AA76" s="27">
        <v>38.888888888888893</v>
      </c>
      <c r="AB76" s="27">
        <v>38.888888888888893</v>
      </c>
      <c r="AC76" s="27">
        <v>38.888888888888893</v>
      </c>
      <c r="AD76" s="27">
        <v>38.888888888888893</v>
      </c>
      <c r="AE76" s="27">
        <v>38.888888888888893</v>
      </c>
      <c r="AF76" s="27">
        <v>38.888888888888893</v>
      </c>
      <c r="AG76" s="27">
        <v>38.888888888888893</v>
      </c>
      <c r="AH76" s="27">
        <v>38.888888888888893</v>
      </c>
      <c r="AI76" s="27">
        <v>38.888888888888893</v>
      </c>
      <c r="AJ76" s="27">
        <v>38.888888888888893</v>
      </c>
      <c r="AK76" s="27">
        <v>38.888888888888893</v>
      </c>
      <c r="AL76" s="27">
        <v>38.888888888888893</v>
      </c>
      <c r="AM76" s="27">
        <v>38.888888888888893</v>
      </c>
      <c r="AN76" s="27">
        <v>38.888888888888893</v>
      </c>
      <c r="AO76" s="27">
        <v>38.888888888888893</v>
      </c>
      <c r="AP76" s="27">
        <v>38.888888888888893</v>
      </c>
      <c r="AQ76" s="27">
        <v>38.888888888888893</v>
      </c>
      <c r="AR76" s="27">
        <v>38.888888888888893</v>
      </c>
      <c r="AS76" s="27">
        <v>38.888888888888893</v>
      </c>
      <c r="AT76" s="27">
        <v>38.888888888888893</v>
      </c>
      <c r="AU76" s="27">
        <v>38.888888888888893</v>
      </c>
      <c r="AV76" s="27">
        <v>38.888888888888893</v>
      </c>
      <c r="AW76" s="27">
        <v>38.888888888888893</v>
      </c>
      <c r="AX76" s="27">
        <v>38.888888888888893</v>
      </c>
      <c r="AY76" s="27">
        <v>38.888888888888893</v>
      </c>
      <c r="AZ76" s="27">
        <v>38.888888888888893</v>
      </c>
      <c r="BA76" s="27">
        <v>38.888888888888893</v>
      </c>
      <c r="BB76" s="27">
        <v>38.888888888888893</v>
      </c>
      <c r="BC76" s="27">
        <v>38.888888888888893</v>
      </c>
      <c r="BD76" s="27">
        <v>38.888888888888893</v>
      </c>
      <c r="BE76" s="27">
        <v>38.888888888888893</v>
      </c>
      <c r="BF76" s="27">
        <v>38.888888888888893</v>
      </c>
      <c r="BG76" s="27">
        <v>38.888888888888893</v>
      </c>
      <c r="BH76" s="27">
        <v>38.888888888888893</v>
      </c>
    </row>
    <row r="77" spans="1:60" ht="21" customHeight="1" x14ac:dyDescent="0.25">
      <c r="A77" s="26" t="s">
        <v>212</v>
      </c>
      <c r="B77" s="27">
        <v>19.444444444444446</v>
      </c>
      <c r="C77" s="27">
        <v>19.444444444444446</v>
      </c>
      <c r="D77" s="27">
        <v>19.444444444444446</v>
      </c>
      <c r="E77" s="27">
        <v>19.444444444444446</v>
      </c>
      <c r="F77" s="27">
        <v>19.444444444444446</v>
      </c>
      <c r="G77" s="27">
        <v>19.444444444444446</v>
      </c>
      <c r="H77" s="27">
        <v>19.444444444444446</v>
      </c>
      <c r="I77" s="27">
        <v>19.444444444444446</v>
      </c>
      <c r="J77" s="27">
        <v>19.444444444444446</v>
      </c>
      <c r="K77" s="27">
        <v>19.444444444444446</v>
      </c>
      <c r="L77" s="27">
        <v>19.444444444444446</v>
      </c>
      <c r="M77" s="27">
        <v>19.444444444444446</v>
      </c>
      <c r="N77" s="27">
        <v>19.444444444444446</v>
      </c>
      <c r="O77" s="27">
        <v>19.444444444444446</v>
      </c>
      <c r="P77" s="27">
        <v>19.444444444444446</v>
      </c>
      <c r="Q77" s="27">
        <v>19.444444444444446</v>
      </c>
      <c r="R77" s="27">
        <v>19.444444444444446</v>
      </c>
      <c r="S77" s="27">
        <v>19.444444444444446</v>
      </c>
      <c r="T77" s="27">
        <v>19.444444444444446</v>
      </c>
      <c r="U77" s="27">
        <v>19.444444444444446</v>
      </c>
      <c r="V77" s="27">
        <v>19.444444444444446</v>
      </c>
      <c r="W77" s="27">
        <v>19.444444444444446</v>
      </c>
      <c r="X77" s="27">
        <v>19.444444444444446</v>
      </c>
      <c r="Y77" s="27">
        <v>19.444444444444446</v>
      </c>
      <c r="Z77" s="27">
        <v>19.444444444444446</v>
      </c>
      <c r="AA77" s="27">
        <v>19.444444444444446</v>
      </c>
      <c r="AB77" s="27">
        <v>19.444444444444446</v>
      </c>
      <c r="AC77" s="27">
        <v>19.444444444444446</v>
      </c>
      <c r="AD77" s="27">
        <v>19.444444444444446</v>
      </c>
      <c r="AE77" s="27">
        <v>19.444444444444446</v>
      </c>
      <c r="AF77" s="27">
        <v>19.444444444444446</v>
      </c>
      <c r="AG77" s="27">
        <v>19.444444444444446</v>
      </c>
      <c r="AH77" s="27">
        <v>19.444444444444446</v>
      </c>
      <c r="AI77" s="27">
        <v>19.444444444444446</v>
      </c>
      <c r="AJ77" s="27">
        <v>19.444444444444446</v>
      </c>
      <c r="AK77" s="27">
        <v>19.444444444444446</v>
      </c>
      <c r="AL77" s="27">
        <v>19.444444444444446</v>
      </c>
      <c r="AM77" s="27">
        <v>19.444444444444446</v>
      </c>
      <c r="AN77" s="27">
        <v>19.444444444444446</v>
      </c>
      <c r="AO77" s="27">
        <v>19.444444444444446</v>
      </c>
      <c r="AP77" s="27">
        <v>19.444444444444446</v>
      </c>
      <c r="AQ77" s="27">
        <v>19.444444444444446</v>
      </c>
      <c r="AR77" s="27">
        <v>19.444444444444446</v>
      </c>
      <c r="AS77" s="27">
        <v>19.444444444444446</v>
      </c>
      <c r="AT77" s="27">
        <v>19.444444444444446</v>
      </c>
      <c r="AU77" s="27">
        <v>19.444444444444446</v>
      </c>
      <c r="AV77" s="27">
        <v>19.444444444444446</v>
      </c>
      <c r="AW77" s="27">
        <v>19.444444444444446</v>
      </c>
      <c r="AX77" s="27">
        <v>19.444444444444446</v>
      </c>
      <c r="AY77" s="27">
        <v>19.444444444444446</v>
      </c>
      <c r="AZ77" s="27">
        <v>19.444444444444446</v>
      </c>
      <c r="BA77" s="27">
        <v>19.444444444444446</v>
      </c>
      <c r="BB77" s="27">
        <v>19.444444444444446</v>
      </c>
      <c r="BC77" s="27">
        <v>19.444444444444446</v>
      </c>
      <c r="BD77" s="27">
        <v>19.444444444444446</v>
      </c>
      <c r="BE77" s="27">
        <v>19.444444444444446</v>
      </c>
      <c r="BF77" s="27">
        <v>19.444444444444446</v>
      </c>
      <c r="BG77" s="27">
        <v>19.444444444444446</v>
      </c>
      <c r="BH77" s="27">
        <v>19.444444444444446</v>
      </c>
    </row>
    <row r="78" spans="1:60" ht="21" customHeight="1" x14ac:dyDescent="0.25">
      <c r="A78" s="56" t="s">
        <v>93</v>
      </c>
      <c r="B78" s="57">
        <v>13581935.139999999</v>
      </c>
      <c r="C78" s="57">
        <v>13586100.68022939</v>
      </c>
      <c r="D78" s="57">
        <v>13590267.498017924</v>
      </c>
      <c r="E78" s="57">
        <v>13594435.593757423</v>
      </c>
      <c r="F78" s="57">
        <v>13598604.967839831</v>
      </c>
      <c r="G78" s="57">
        <v>13602775.620657213</v>
      </c>
      <c r="H78" s="57">
        <v>13606947.552601753</v>
      </c>
      <c r="I78" s="57">
        <v>13611120.764065756</v>
      </c>
      <c r="J78" s="57">
        <v>13615295.255441645</v>
      </c>
      <c r="K78" s="57">
        <v>13619471.027121967</v>
      </c>
      <c r="L78" s="57">
        <v>13623648.079499386</v>
      </c>
      <c r="M78" s="57">
        <v>13627826.412966691</v>
      </c>
      <c r="N78" s="57">
        <v>13632006.027916787</v>
      </c>
      <c r="O78" s="57">
        <v>13636186.924742701</v>
      </c>
      <c r="P78" s="57">
        <v>13640369.103837579</v>
      </c>
      <c r="Q78" s="57">
        <v>13644552.565594692</v>
      </c>
      <c r="R78" s="57">
        <v>13648737.310407428</v>
      </c>
      <c r="S78" s="57">
        <v>13652923.338669296</v>
      </c>
      <c r="T78" s="57">
        <v>13657110.650773926</v>
      </c>
      <c r="U78" s="57">
        <v>13661299.247115068</v>
      </c>
      <c r="V78" s="57">
        <v>13665489.128086597</v>
      </c>
      <c r="W78" s="57">
        <v>13669680.294082502</v>
      </c>
      <c r="X78" s="57">
        <v>13673872.745496897</v>
      </c>
      <c r="Y78" s="57">
        <v>13678066.482724017</v>
      </c>
      <c r="Z78" s="57">
        <v>13682261.506158216</v>
      </c>
      <c r="AA78" s="57">
        <v>13686457.81619397</v>
      </c>
      <c r="AB78" s="57">
        <v>13690655.413225878</v>
      </c>
      <c r="AC78" s="57">
        <v>13694854.297648655</v>
      </c>
      <c r="AD78" s="57">
        <v>13699054.469857143</v>
      </c>
      <c r="AE78" s="57">
        <v>13703255.930246301</v>
      </c>
      <c r="AF78" s="57">
        <v>13707458.679211209</v>
      </c>
      <c r="AG78" s="57">
        <v>13711662.717147071</v>
      </c>
      <c r="AH78" s="57">
        <v>13715868.04444921</v>
      </c>
      <c r="AI78" s="57">
        <v>13720074.661513072</v>
      </c>
      <c r="AJ78" s="57">
        <v>13724282.568734221</v>
      </c>
      <c r="AK78" s="57">
        <v>13728491.766508346</v>
      </c>
      <c r="AL78" s="57">
        <v>13732702.255231256</v>
      </c>
      <c r="AM78" s="57">
        <v>13736914.03529888</v>
      </c>
      <c r="AN78" s="57">
        <v>13741127.107107271</v>
      </c>
      <c r="AO78" s="57">
        <v>13745341.4710526</v>
      </c>
      <c r="AP78" s="57">
        <v>13749557.127531165</v>
      </c>
      <c r="AQ78" s="57">
        <v>13753774.07693938</v>
      </c>
      <c r="AR78" s="57">
        <v>13757992.319673784</v>
      </c>
      <c r="AS78" s="57">
        <v>13762211.856131036</v>
      </c>
      <c r="AT78" s="57">
        <v>13766432.686707916</v>
      </c>
      <c r="AU78" s="57">
        <v>13770654.811801327</v>
      </c>
      <c r="AV78" s="57">
        <v>13774878.231808295</v>
      </c>
      <c r="AW78" s="57">
        <v>13779102.947125966</v>
      </c>
      <c r="AX78" s="57">
        <v>13783328.958151607</v>
      </c>
      <c r="AY78" s="57">
        <v>13787556.265282609</v>
      </c>
      <c r="AZ78" s="57">
        <v>13791784.868916482</v>
      </c>
      <c r="BA78" s="57">
        <v>13796014.76945086</v>
      </c>
      <c r="BB78" s="57">
        <v>13800245.9672835</v>
      </c>
      <c r="BC78" s="57">
        <v>13804478.462812278</v>
      </c>
      <c r="BD78" s="57">
        <v>13808712.256435195</v>
      </c>
      <c r="BE78" s="57">
        <v>13812947.348550372</v>
      </c>
      <c r="BF78" s="57">
        <v>13817183.739556054</v>
      </c>
      <c r="BG78" s="57">
        <v>13821421.429850606</v>
      </c>
      <c r="BH78" s="57">
        <v>13825660.419832516</v>
      </c>
    </row>
    <row r="79" spans="1:60" ht="21" customHeight="1" x14ac:dyDescent="0.25">
      <c r="A79" s="30" t="s">
        <v>94</v>
      </c>
      <c r="B79" s="31">
        <v>0</v>
      </c>
      <c r="C79" s="31">
        <v>0</v>
      </c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1">
        <v>0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1">
        <v>0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>
        <v>0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31">
        <v>0</v>
      </c>
      <c r="AZ79" s="31">
        <v>0</v>
      </c>
      <c r="BA79" s="31">
        <v>0</v>
      </c>
      <c r="BB79" s="31">
        <v>0</v>
      </c>
      <c r="BC79" s="31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</row>
    <row r="80" spans="1:60" ht="21" customHeight="1" x14ac:dyDescent="0.25">
      <c r="A80" s="32" t="s">
        <v>95</v>
      </c>
      <c r="B80" s="33">
        <v>13581935.139999999</v>
      </c>
      <c r="C80" s="33">
        <v>13581935.139999999</v>
      </c>
      <c r="D80" s="33">
        <v>13581935.139999999</v>
      </c>
      <c r="E80" s="33">
        <v>13581935.139999999</v>
      </c>
      <c r="F80" s="33">
        <v>13581935.139999999</v>
      </c>
      <c r="G80" s="33">
        <v>13581935.139999999</v>
      </c>
      <c r="H80" s="33">
        <v>13581935.139999999</v>
      </c>
      <c r="I80" s="33">
        <v>13581935.139999999</v>
      </c>
      <c r="J80" s="33">
        <v>13581935.139999999</v>
      </c>
      <c r="K80" s="33">
        <v>13581935.139999999</v>
      </c>
      <c r="L80" s="33">
        <v>13581935.139999999</v>
      </c>
      <c r="M80" s="33">
        <v>13581935.139999999</v>
      </c>
      <c r="N80" s="33">
        <v>13581935.139999999</v>
      </c>
      <c r="O80" s="33">
        <v>13581935.139999999</v>
      </c>
      <c r="P80" s="33">
        <v>13581935.139999999</v>
      </c>
      <c r="Q80" s="33">
        <v>13581935.139999999</v>
      </c>
      <c r="R80" s="33">
        <v>13581935.139999999</v>
      </c>
      <c r="S80" s="33">
        <v>13581935.139999999</v>
      </c>
      <c r="T80" s="33">
        <v>13581935.139999999</v>
      </c>
      <c r="U80" s="33">
        <v>13581935.139999999</v>
      </c>
      <c r="V80" s="33">
        <v>13581935.139999999</v>
      </c>
      <c r="W80" s="33">
        <v>13581935.139999999</v>
      </c>
      <c r="X80" s="33">
        <v>13581935.139999999</v>
      </c>
      <c r="Y80" s="33">
        <v>13581935.139999999</v>
      </c>
      <c r="Z80" s="33">
        <v>13581935.139999999</v>
      </c>
      <c r="AA80" s="33">
        <v>13581935.139999999</v>
      </c>
      <c r="AB80" s="33">
        <v>13581935.139999999</v>
      </c>
      <c r="AC80" s="33">
        <v>13581935.139999999</v>
      </c>
      <c r="AD80" s="33">
        <v>13581935.139999999</v>
      </c>
      <c r="AE80" s="33">
        <v>13581935.139999999</v>
      </c>
      <c r="AF80" s="33">
        <v>13581935.139999999</v>
      </c>
      <c r="AG80" s="33">
        <v>13581935.139999999</v>
      </c>
      <c r="AH80" s="33">
        <v>13581935.139999999</v>
      </c>
      <c r="AI80" s="33">
        <v>13581935.139999999</v>
      </c>
      <c r="AJ80" s="33">
        <v>13581935.139999999</v>
      </c>
      <c r="AK80" s="33">
        <v>13581935.139999999</v>
      </c>
      <c r="AL80" s="33">
        <v>13581935.139999999</v>
      </c>
      <c r="AM80" s="33">
        <v>13581935.139999999</v>
      </c>
      <c r="AN80" s="33">
        <v>13581935.139999999</v>
      </c>
      <c r="AO80" s="33">
        <v>13581935.139999999</v>
      </c>
      <c r="AP80" s="33">
        <v>13581935.139999999</v>
      </c>
      <c r="AQ80" s="33">
        <v>13581935.139999999</v>
      </c>
      <c r="AR80" s="33">
        <v>13581935.139999999</v>
      </c>
      <c r="AS80" s="33">
        <v>13581935.139999999</v>
      </c>
      <c r="AT80" s="33">
        <v>13581935.139999999</v>
      </c>
      <c r="AU80" s="33">
        <v>13581935.139999999</v>
      </c>
      <c r="AV80" s="33">
        <v>13581935.139999999</v>
      </c>
      <c r="AW80" s="33">
        <v>13581935.139999999</v>
      </c>
      <c r="AX80" s="33">
        <v>13581935.139999999</v>
      </c>
      <c r="AY80" s="33">
        <v>13581935.139999999</v>
      </c>
      <c r="AZ80" s="33">
        <v>13581935.139999999</v>
      </c>
      <c r="BA80" s="33">
        <v>13581935.139999999</v>
      </c>
      <c r="BB80" s="33">
        <v>13581935.139999999</v>
      </c>
      <c r="BC80" s="33">
        <v>13581935.139999999</v>
      </c>
      <c r="BD80" s="33">
        <v>13581935.139999999</v>
      </c>
      <c r="BE80" s="33">
        <v>13581935.139999999</v>
      </c>
      <c r="BF80" s="33">
        <v>13581935.139999999</v>
      </c>
      <c r="BG80" s="33">
        <v>13581935.139999999</v>
      </c>
      <c r="BH80" s="33">
        <v>13581935.139999999</v>
      </c>
    </row>
    <row r="81" spans="1:60" ht="21" customHeight="1" x14ac:dyDescent="0.25">
      <c r="A81" s="32" t="s">
        <v>96</v>
      </c>
      <c r="B81" s="33">
        <v>13581935.139999999</v>
      </c>
      <c r="C81" s="33">
        <v>13581935.139999999</v>
      </c>
      <c r="D81" s="33">
        <v>13581935.139999999</v>
      </c>
      <c r="E81" s="33">
        <v>13581935.139999999</v>
      </c>
      <c r="F81" s="33">
        <v>13581935.139999999</v>
      </c>
      <c r="G81" s="33">
        <v>13581935.139999999</v>
      </c>
      <c r="H81" s="33">
        <v>13581935.139999999</v>
      </c>
      <c r="I81" s="33">
        <v>13581935.139999999</v>
      </c>
      <c r="J81" s="33">
        <v>13581935.139999999</v>
      </c>
      <c r="K81" s="33">
        <v>13581935.139999999</v>
      </c>
      <c r="L81" s="33">
        <v>13581935.139999999</v>
      </c>
      <c r="M81" s="33">
        <v>13581935.139999999</v>
      </c>
      <c r="N81" s="33">
        <v>13581935.139999999</v>
      </c>
      <c r="O81" s="33">
        <v>13581935.139999999</v>
      </c>
      <c r="P81" s="33">
        <v>13581935.139999999</v>
      </c>
      <c r="Q81" s="33">
        <v>13581935.139999999</v>
      </c>
      <c r="R81" s="33">
        <v>13581935.139999999</v>
      </c>
      <c r="S81" s="33">
        <v>13581935.139999999</v>
      </c>
      <c r="T81" s="33">
        <v>13581935.139999999</v>
      </c>
      <c r="U81" s="33">
        <v>13581935.139999999</v>
      </c>
      <c r="V81" s="33">
        <v>13581935.139999999</v>
      </c>
      <c r="W81" s="33">
        <v>13581935.139999999</v>
      </c>
      <c r="X81" s="33">
        <v>13581935.139999999</v>
      </c>
      <c r="Y81" s="33">
        <v>13581935.139999999</v>
      </c>
      <c r="Z81" s="33">
        <v>13581935.139999999</v>
      </c>
      <c r="AA81" s="33">
        <v>13581935.139999999</v>
      </c>
      <c r="AB81" s="33">
        <v>13581935.139999999</v>
      </c>
      <c r="AC81" s="33">
        <v>13581935.139999999</v>
      </c>
      <c r="AD81" s="33">
        <v>13581935.139999999</v>
      </c>
      <c r="AE81" s="33">
        <v>13581935.139999999</v>
      </c>
      <c r="AF81" s="33">
        <v>13581935.139999999</v>
      </c>
      <c r="AG81" s="33">
        <v>13581935.139999999</v>
      </c>
      <c r="AH81" s="33">
        <v>13581935.139999999</v>
      </c>
      <c r="AI81" s="33">
        <v>13581935.139999999</v>
      </c>
      <c r="AJ81" s="33">
        <v>13581935.139999999</v>
      </c>
      <c r="AK81" s="33">
        <v>13581935.139999999</v>
      </c>
      <c r="AL81" s="33">
        <v>13581935.139999999</v>
      </c>
      <c r="AM81" s="33">
        <v>13581935.139999999</v>
      </c>
      <c r="AN81" s="33">
        <v>13581935.139999999</v>
      </c>
      <c r="AO81" s="33">
        <v>13581935.139999999</v>
      </c>
      <c r="AP81" s="33">
        <v>13581935.139999999</v>
      </c>
      <c r="AQ81" s="33">
        <v>13581935.139999999</v>
      </c>
      <c r="AR81" s="33">
        <v>13581935.139999999</v>
      </c>
      <c r="AS81" s="33">
        <v>13581935.139999999</v>
      </c>
      <c r="AT81" s="33">
        <v>13581935.139999999</v>
      </c>
      <c r="AU81" s="33">
        <v>13581935.139999999</v>
      </c>
      <c r="AV81" s="33">
        <v>13581935.139999999</v>
      </c>
      <c r="AW81" s="33">
        <v>13581935.139999999</v>
      </c>
      <c r="AX81" s="33">
        <v>13581935.139999999</v>
      </c>
      <c r="AY81" s="33">
        <v>13581935.139999999</v>
      </c>
      <c r="AZ81" s="33">
        <v>13581935.139999999</v>
      </c>
      <c r="BA81" s="33">
        <v>13581935.139999999</v>
      </c>
      <c r="BB81" s="33">
        <v>13581935.139999999</v>
      </c>
      <c r="BC81" s="33">
        <v>13581935.139999999</v>
      </c>
      <c r="BD81" s="33">
        <v>13581935.139999999</v>
      </c>
      <c r="BE81" s="33">
        <v>13581935.139999999</v>
      </c>
      <c r="BF81" s="33">
        <v>13581935.139999999</v>
      </c>
      <c r="BG81" s="33">
        <v>13581935.139999999</v>
      </c>
      <c r="BH81" s="33">
        <v>13581935.139999999</v>
      </c>
    </row>
    <row r="82" spans="1:60" ht="21" customHeight="1" x14ac:dyDescent="0.25">
      <c r="A82" s="30" t="s">
        <v>97</v>
      </c>
      <c r="B82" s="31">
        <v>0</v>
      </c>
      <c r="C82" s="31">
        <v>0</v>
      </c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1">
        <v>0</v>
      </c>
      <c r="AG82" s="31">
        <v>0</v>
      </c>
      <c r="AH82" s="31">
        <v>0</v>
      </c>
      <c r="AI82" s="31">
        <v>0</v>
      </c>
      <c r="AJ82" s="31">
        <v>0</v>
      </c>
      <c r="AK82" s="31">
        <v>0</v>
      </c>
      <c r="AL82" s="31">
        <v>0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0</v>
      </c>
      <c r="AY82" s="31">
        <v>0</v>
      </c>
      <c r="AZ82" s="31">
        <v>0</v>
      </c>
      <c r="BA82" s="31">
        <v>0</v>
      </c>
      <c r="BB82" s="31">
        <v>0</v>
      </c>
      <c r="BC82" s="31">
        <v>0</v>
      </c>
      <c r="BD82" s="31">
        <v>0</v>
      </c>
      <c r="BE82" s="31">
        <v>0</v>
      </c>
      <c r="BF82" s="31">
        <v>0</v>
      </c>
      <c r="BG82" s="31">
        <v>0</v>
      </c>
      <c r="BH82" s="31">
        <v>0</v>
      </c>
    </row>
    <row r="83" spans="1:60" ht="21" customHeight="1" x14ac:dyDescent="0.25">
      <c r="A83" s="32" t="s">
        <v>98</v>
      </c>
      <c r="B83" s="33">
        <v>13581935.139999999</v>
      </c>
      <c r="C83" s="33">
        <v>13581935.139999999</v>
      </c>
      <c r="D83" s="33">
        <v>13581935.139999999</v>
      </c>
      <c r="E83" s="33">
        <v>13581935.139999999</v>
      </c>
      <c r="F83" s="33">
        <v>13581935.139999999</v>
      </c>
      <c r="G83" s="33">
        <v>13581935.139999999</v>
      </c>
      <c r="H83" s="33">
        <v>13581935.139999999</v>
      </c>
      <c r="I83" s="33">
        <v>13581935.139999999</v>
      </c>
      <c r="J83" s="33">
        <v>13581935.139999999</v>
      </c>
      <c r="K83" s="33">
        <v>13581935.139999999</v>
      </c>
      <c r="L83" s="33">
        <v>13581935.139999999</v>
      </c>
      <c r="M83" s="33">
        <v>13581935.139999999</v>
      </c>
      <c r="N83" s="33">
        <v>13581935.139999999</v>
      </c>
      <c r="O83" s="33">
        <v>13581935.139999999</v>
      </c>
      <c r="P83" s="33">
        <v>13581935.139999999</v>
      </c>
      <c r="Q83" s="33">
        <v>13581935.139999999</v>
      </c>
      <c r="R83" s="33">
        <v>13581935.139999999</v>
      </c>
      <c r="S83" s="33">
        <v>13581935.139999999</v>
      </c>
      <c r="T83" s="33">
        <v>13581935.139999999</v>
      </c>
      <c r="U83" s="33">
        <v>13581935.139999999</v>
      </c>
      <c r="V83" s="33">
        <v>13581935.139999999</v>
      </c>
      <c r="W83" s="33">
        <v>13581935.139999999</v>
      </c>
      <c r="X83" s="33">
        <v>13581935.139999999</v>
      </c>
      <c r="Y83" s="33">
        <v>13581935.139999999</v>
      </c>
      <c r="Z83" s="33">
        <v>13581935.139999999</v>
      </c>
      <c r="AA83" s="33">
        <v>13581935.139999999</v>
      </c>
      <c r="AB83" s="33">
        <v>13581935.139999999</v>
      </c>
      <c r="AC83" s="33">
        <v>13581935.139999999</v>
      </c>
      <c r="AD83" s="33">
        <v>13581935.139999999</v>
      </c>
      <c r="AE83" s="33">
        <v>13581935.139999999</v>
      </c>
      <c r="AF83" s="33">
        <v>13581935.139999999</v>
      </c>
      <c r="AG83" s="33">
        <v>13581935.139999999</v>
      </c>
      <c r="AH83" s="33">
        <v>13581935.139999999</v>
      </c>
      <c r="AI83" s="33">
        <v>13581935.139999999</v>
      </c>
      <c r="AJ83" s="33">
        <v>13581935.139999999</v>
      </c>
      <c r="AK83" s="33">
        <v>13581935.139999999</v>
      </c>
      <c r="AL83" s="33">
        <v>13581935.139999999</v>
      </c>
      <c r="AM83" s="33">
        <v>13581935.139999999</v>
      </c>
      <c r="AN83" s="33">
        <v>13581935.139999999</v>
      </c>
      <c r="AO83" s="33">
        <v>13581935.139999999</v>
      </c>
      <c r="AP83" s="33">
        <v>13581935.139999999</v>
      </c>
      <c r="AQ83" s="33">
        <v>13581935.139999999</v>
      </c>
      <c r="AR83" s="33">
        <v>13581935.139999999</v>
      </c>
      <c r="AS83" s="33">
        <v>13581935.139999999</v>
      </c>
      <c r="AT83" s="33">
        <v>13581935.139999999</v>
      </c>
      <c r="AU83" s="33">
        <v>13581935.139999999</v>
      </c>
      <c r="AV83" s="33">
        <v>13581935.139999999</v>
      </c>
      <c r="AW83" s="33">
        <v>13581935.139999999</v>
      </c>
      <c r="AX83" s="33">
        <v>13581935.139999999</v>
      </c>
      <c r="AY83" s="33">
        <v>13581935.139999999</v>
      </c>
      <c r="AZ83" s="33">
        <v>13581935.139999999</v>
      </c>
      <c r="BA83" s="33">
        <v>13581935.139999999</v>
      </c>
      <c r="BB83" s="33">
        <v>13581935.139999999</v>
      </c>
      <c r="BC83" s="33">
        <v>13581935.139999999</v>
      </c>
      <c r="BD83" s="33">
        <v>13581935.139999999</v>
      </c>
      <c r="BE83" s="33">
        <v>13581935.139999999</v>
      </c>
      <c r="BF83" s="33">
        <v>13581935.139999999</v>
      </c>
      <c r="BG83" s="33">
        <v>13581935.139999999</v>
      </c>
      <c r="BH83" s="33">
        <v>13581935.139999999</v>
      </c>
    </row>
    <row r="84" spans="1:60" ht="24" customHeight="1" x14ac:dyDescent="0.25">
      <c r="A84" s="19" t="s">
        <v>99</v>
      </c>
      <c r="B84" s="20">
        <v>1</v>
      </c>
      <c r="C84" s="20">
        <v>1.000306697108067</v>
      </c>
      <c r="D84" s="20">
        <v>1.0006134882792501</v>
      </c>
      <c r="E84" s="20">
        <v>1.0009203735423982</v>
      </c>
      <c r="F84" s="20">
        <v>1.0012273529263689</v>
      </c>
      <c r="G84" s="20">
        <v>1.001534426460029</v>
      </c>
      <c r="H84" s="20">
        <v>1.0018415941722538</v>
      </c>
      <c r="I84" s="20">
        <v>1.0021488560919278</v>
      </c>
      <c r="J84" s="20">
        <v>1.0024562122479439</v>
      </c>
      <c r="K84" s="20">
        <v>1.002763662669204</v>
      </c>
      <c r="L84" s="20">
        <v>1.0030712073846193</v>
      </c>
      <c r="M84" s="20">
        <v>1.0033788464231093</v>
      </c>
      <c r="N84" s="20">
        <v>1.003686579813603</v>
      </c>
      <c r="O84" s="20">
        <v>1.0039944075850373</v>
      </c>
      <c r="P84" s="20">
        <v>1.0043023297663591</v>
      </c>
      <c r="Q84" s="20">
        <v>1.0046103463865232</v>
      </c>
      <c r="R84" s="20">
        <v>1.0049184574744943</v>
      </c>
      <c r="S84" s="20">
        <v>1.0052266630592448</v>
      </c>
      <c r="T84" s="20">
        <v>1.005534963169757</v>
      </c>
      <c r="U84" s="20">
        <v>1.0058433578350212</v>
      </c>
      <c r="V84" s="20">
        <v>1.0061518470840376</v>
      </c>
      <c r="W84" s="20">
        <v>1.0064604309458147</v>
      </c>
      <c r="X84" s="20">
        <v>1.0067691094493696</v>
      </c>
      <c r="Y84" s="20">
        <v>1.0070778826237288</v>
      </c>
      <c r="Z84" s="20">
        <v>1.0073867504979277</v>
      </c>
      <c r="AA84" s="20">
        <v>1.0076957131010105</v>
      </c>
      <c r="AB84" s="20">
        <v>1.0080047704620301</v>
      </c>
      <c r="AC84" s="20">
        <v>1.0083139226100484</v>
      </c>
      <c r="AD84" s="20">
        <v>1.0086231695741366</v>
      </c>
      <c r="AE84" s="20">
        <v>1.0089325113833743</v>
      </c>
      <c r="AF84" s="20">
        <v>1.0092419480668504</v>
      </c>
      <c r="AG84" s="20">
        <v>1.0095514796536624</v>
      </c>
      <c r="AH84" s="20">
        <v>1.009861106172917</v>
      </c>
      <c r="AI84" s="20">
        <v>1.0101708276537296</v>
      </c>
      <c r="AJ84" s="20">
        <v>1.0104806441252245</v>
      </c>
      <c r="AK84" s="20">
        <v>1.0107905556165355</v>
      </c>
      <c r="AL84" s="20">
        <v>1.0111005621568045</v>
      </c>
      <c r="AM84" s="20">
        <v>1.011410663775183</v>
      </c>
      <c r="AN84" s="20">
        <v>1.0117208605008308</v>
      </c>
      <c r="AO84" s="20">
        <v>1.0120311523629173</v>
      </c>
      <c r="AP84" s="20">
        <v>1.0123415393906208</v>
      </c>
      <c r="AQ84" s="20">
        <v>1.0126520216131278</v>
      </c>
      <c r="AR84" s="20">
        <v>1.0129625990596349</v>
      </c>
      <c r="AS84" s="20">
        <v>1.0132732717593464</v>
      </c>
      <c r="AT84" s="20">
        <v>1.0135840397414766</v>
      </c>
      <c r="AU84" s="20">
        <v>1.013894903035248</v>
      </c>
      <c r="AV84" s="20">
        <v>1.0142058616698928</v>
      </c>
      <c r="AW84" s="20">
        <v>1.0145169156746516</v>
      </c>
      <c r="AX84" s="20">
        <v>1.014828065078774</v>
      </c>
      <c r="AY84" s="20">
        <v>1.0151393099115189</v>
      </c>
      <c r="AZ84" s="20">
        <v>1.0154506502021539</v>
      </c>
      <c r="BA84" s="20">
        <v>1.0157620859799557</v>
      </c>
      <c r="BB84" s="20">
        <v>1.0160736172742098</v>
      </c>
      <c r="BC84" s="20">
        <v>1.0163852441142109</v>
      </c>
      <c r="BD84" s="20">
        <v>1.0166969665292627</v>
      </c>
      <c r="BE84" s="20">
        <v>1.0170087845486775</v>
      </c>
      <c r="BF84" s="20">
        <v>1.0173206982017773</v>
      </c>
      <c r="BG84" s="20">
        <v>1.0176327075178926</v>
      </c>
      <c r="BH84" s="20">
        <v>1.0179448125263626</v>
      </c>
    </row>
    <row r="85" spans="1:60" ht="21" customHeight="1" x14ac:dyDescent="0.25">
      <c r="A85" s="32" t="s">
        <v>100</v>
      </c>
      <c r="B85" s="33">
        <v>5281.8636655555556</v>
      </c>
      <c r="C85" s="33">
        <v>5283.4835978669853</v>
      </c>
      <c r="D85" s="33">
        <v>5285.1040270069707</v>
      </c>
      <c r="E85" s="33">
        <v>5286.7249531278867</v>
      </c>
      <c r="F85" s="33">
        <v>5288.3463763821574</v>
      </c>
      <c r="G85" s="33">
        <v>5289.9682969222504</v>
      </c>
      <c r="H85" s="33">
        <v>5291.5907149006816</v>
      </c>
      <c r="I85" s="33">
        <v>5293.2136304700161</v>
      </c>
      <c r="J85" s="33">
        <v>5294.8370437828626</v>
      </c>
      <c r="K85" s="33">
        <v>5296.460954991876</v>
      </c>
      <c r="L85" s="33">
        <v>5298.0853642497614</v>
      </c>
      <c r="M85" s="33">
        <v>5299.7102717092694</v>
      </c>
      <c r="N85" s="33">
        <v>5301.335677523195</v>
      </c>
      <c r="O85" s="33">
        <v>5302.9615818443835</v>
      </c>
      <c r="P85" s="33">
        <v>5304.5879848257255</v>
      </c>
      <c r="Q85" s="33">
        <v>5306.2148866201587</v>
      </c>
      <c r="R85" s="33">
        <v>5307.8422873806667</v>
      </c>
      <c r="S85" s="33">
        <v>5309.4701872602827</v>
      </c>
      <c r="T85" s="33">
        <v>5311.098586412083</v>
      </c>
      <c r="U85" s="33">
        <v>5312.7274849891937</v>
      </c>
      <c r="V85" s="33">
        <v>5314.3568831447883</v>
      </c>
      <c r="W85" s="33">
        <v>5315.9867810320848</v>
      </c>
      <c r="X85" s="33">
        <v>5317.6171788043494</v>
      </c>
      <c r="Y85" s="33">
        <v>5319.2480766148956</v>
      </c>
      <c r="Z85" s="33">
        <v>5320.8794746170843</v>
      </c>
      <c r="AA85" s="33">
        <v>5322.5113729643217</v>
      </c>
      <c r="AB85" s="33">
        <v>5324.1437718100642</v>
      </c>
      <c r="AC85" s="33">
        <v>5325.7766713078108</v>
      </c>
      <c r="AD85" s="33">
        <v>5327.4100716111116</v>
      </c>
      <c r="AE85" s="33">
        <v>5329.0439728735619</v>
      </c>
      <c r="AF85" s="33">
        <v>5330.6783752488036</v>
      </c>
      <c r="AG85" s="33">
        <v>5332.3132788905277</v>
      </c>
      <c r="AH85" s="33">
        <v>5333.9486839524707</v>
      </c>
      <c r="AI85" s="33">
        <v>5335.5845905884171</v>
      </c>
      <c r="AJ85" s="33">
        <v>5337.220998952198</v>
      </c>
      <c r="AK85" s="33">
        <v>5338.8579091976908</v>
      </c>
      <c r="AL85" s="33">
        <v>5340.495321478822</v>
      </c>
      <c r="AM85" s="33">
        <v>5342.1332359495646</v>
      </c>
      <c r="AN85" s="33">
        <v>5343.7716527639386</v>
      </c>
      <c r="AO85" s="33">
        <v>5345.4105720760117</v>
      </c>
      <c r="AP85" s="33">
        <v>5347.0499940398977</v>
      </c>
      <c r="AQ85" s="33">
        <v>5348.6899188097595</v>
      </c>
      <c r="AR85" s="33">
        <v>5350.3303465398058</v>
      </c>
      <c r="AS85" s="33">
        <v>5351.9712773842921</v>
      </c>
      <c r="AT85" s="33">
        <v>5353.6127114975234</v>
      </c>
      <c r="AU85" s="33">
        <v>5355.25464903385</v>
      </c>
      <c r="AV85" s="33">
        <v>5356.8970901476705</v>
      </c>
      <c r="AW85" s="33">
        <v>5358.5400349934316</v>
      </c>
      <c r="AX85" s="33">
        <v>5360.1834837256256</v>
      </c>
      <c r="AY85" s="33">
        <v>5361.8274364987928</v>
      </c>
      <c r="AZ85" s="33">
        <v>5363.4718934675211</v>
      </c>
      <c r="BA85" s="33">
        <v>5365.1168547864463</v>
      </c>
      <c r="BB85" s="33">
        <v>5366.7623206102508</v>
      </c>
      <c r="BC85" s="33">
        <v>5368.408291093664</v>
      </c>
      <c r="BD85" s="33">
        <v>5370.0547663914649</v>
      </c>
      <c r="BE85" s="33">
        <v>5371.7017466584784</v>
      </c>
      <c r="BF85" s="33">
        <v>5373.349232049577</v>
      </c>
      <c r="BG85" s="33">
        <v>5374.9972227196804</v>
      </c>
      <c r="BH85" s="33">
        <v>5376.6457188237564</v>
      </c>
    </row>
    <row r="86" spans="1:60" ht="21" customHeight="1" x14ac:dyDescent="0.25">
      <c r="A86" s="32" t="s">
        <v>101</v>
      </c>
      <c r="B86" s="33">
        <v>13586100.68022939</v>
      </c>
      <c r="C86" s="33">
        <v>13590267.498017924</v>
      </c>
      <c r="D86" s="33">
        <v>13594435.593757423</v>
      </c>
      <c r="E86" s="33">
        <v>13598604.967839831</v>
      </c>
      <c r="F86" s="33">
        <v>13602775.620657213</v>
      </c>
      <c r="G86" s="33">
        <v>13606947.552601753</v>
      </c>
      <c r="H86" s="33">
        <v>13611120.764065756</v>
      </c>
      <c r="I86" s="33">
        <v>13615295.255441645</v>
      </c>
      <c r="J86" s="33">
        <v>13619471.027121967</v>
      </c>
      <c r="K86" s="33">
        <v>13623648.079499386</v>
      </c>
      <c r="L86" s="33">
        <v>13627826.412966691</v>
      </c>
      <c r="M86" s="33">
        <v>13632006.027916787</v>
      </c>
      <c r="N86" s="33">
        <v>13636186.924742701</v>
      </c>
      <c r="O86" s="33">
        <v>13640369.103837579</v>
      </c>
      <c r="P86" s="33">
        <v>13644552.565594692</v>
      </c>
      <c r="Q86" s="33">
        <v>13648737.310407428</v>
      </c>
      <c r="R86" s="33">
        <v>13652923.338669296</v>
      </c>
      <c r="S86" s="33">
        <v>13657110.650773926</v>
      </c>
      <c r="T86" s="33">
        <v>13661299.247115068</v>
      </c>
      <c r="U86" s="33">
        <v>13665489.128086597</v>
      </c>
      <c r="V86" s="33">
        <v>13669680.294082502</v>
      </c>
      <c r="W86" s="33">
        <v>13673872.745496897</v>
      </c>
      <c r="X86" s="33">
        <v>13678066.482724017</v>
      </c>
      <c r="Y86" s="33">
        <v>13682261.506158216</v>
      </c>
      <c r="Z86" s="33">
        <v>13686457.81619397</v>
      </c>
      <c r="AA86" s="33">
        <v>13690655.413225878</v>
      </c>
      <c r="AB86" s="33">
        <v>13694854.297648655</v>
      </c>
      <c r="AC86" s="33">
        <v>13699054.469857143</v>
      </c>
      <c r="AD86" s="33">
        <v>13703255.930246301</v>
      </c>
      <c r="AE86" s="33">
        <v>13707458.679211209</v>
      </c>
      <c r="AF86" s="33">
        <v>13711662.717147071</v>
      </c>
      <c r="AG86" s="33">
        <v>13715868.04444921</v>
      </c>
      <c r="AH86" s="33">
        <v>13720074.661513072</v>
      </c>
      <c r="AI86" s="33">
        <v>13724282.568734221</v>
      </c>
      <c r="AJ86" s="33">
        <v>13728491.766508346</v>
      </c>
      <c r="AK86" s="33">
        <v>13732702.255231256</v>
      </c>
      <c r="AL86" s="33">
        <v>13736914.03529888</v>
      </c>
      <c r="AM86" s="33">
        <v>13741127.107107271</v>
      </c>
      <c r="AN86" s="33">
        <v>13745341.4710526</v>
      </c>
      <c r="AO86" s="33">
        <v>13749557.127531165</v>
      </c>
      <c r="AP86" s="33">
        <v>13753774.07693938</v>
      </c>
      <c r="AQ86" s="33">
        <v>13757992.319673784</v>
      </c>
      <c r="AR86" s="33">
        <v>13762211.856131036</v>
      </c>
      <c r="AS86" s="33">
        <v>13766432.686707916</v>
      </c>
      <c r="AT86" s="33">
        <v>13770654.811801327</v>
      </c>
      <c r="AU86" s="33">
        <v>13774878.231808295</v>
      </c>
      <c r="AV86" s="33">
        <v>13779102.947125966</v>
      </c>
      <c r="AW86" s="33">
        <v>13783328.958151607</v>
      </c>
      <c r="AX86" s="33">
        <v>13787556.265282609</v>
      </c>
      <c r="AY86" s="33">
        <v>13791784.868916482</v>
      </c>
      <c r="AZ86" s="33">
        <v>13796014.76945086</v>
      </c>
      <c r="BA86" s="33">
        <v>13800245.9672835</v>
      </c>
      <c r="BB86" s="33">
        <v>13804478.462812278</v>
      </c>
      <c r="BC86" s="33">
        <v>13808712.256435195</v>
      </c>
      <c r="BD86" s="33">
        <v>13812947.348550372</v>
      </c>
      <c r="BE86" s="33">
        <v>13817183.739556054</v>
      </c>
      <c r="BF86" s="33">
        <v>13821421.429850606</v>
      </c>
      <c r="BG86" s="33">
        <v>13825660.419832516</v>
      </c>
      <c r="BH86" s="33">
        <v>13829900.709900396</v>
      </c>
    </row>
    <row r="87" spans="1:60" ht="21" customHeight="1" x14ac:dyDescent="0.25">
      <c r="A87" s="34" t="s">
        <v>102</v>
      </c>
      <c r="B87" s="35">
        <v>372.10781205479452</v>
      </c>
      <c r="C87" s="35">
        <v>372.22193644464085</v>
      </c>
      <c r="D87" s="35">
        <v>372.33609583610752</v>
      </c>
      <c r="E87" s="35">
        <v>372.45029023992942</v>
      </c>
      <c r="F87" s="35">
        <v>372.56451966684472</v>
      </c>
      <c r="G87" s="35">
        <v>372.67878412759489</v>
      </c>
      <c r="H87" s="35">
        <v>372.79308363292472</v>
      </c>
      <c r="I87" s="35">
        <v>372.90741819358237</v>
      </c>
      <c r="J87" s="35">
        <v>373.02178782031905</v>
      </c>
      <c r="K87" s="35">
        <v>373.13619252388952</v>
      </c>
      <c r="L87" s="35">
        <v>373.25063231505169</v>
      </c>
      <c r="M87" s="35">
        <v>373.36510720456687</v>
      </c>
      <c r="N87" s="35">
        <v>373.47961720319967</v>
      </c>
      <c r="O87" s="35">
        <v>373.59416232171782</v>
      </c>
      <c r="P87" s="35">
        <v>373.70874257089258</v>
      </c>
      <c r="Q87" s="35">
        <v>373.8233579614984</v>
      </c>
      <c r="R87" s="35">
        <v>373.93800850431313</v>
      </c>
      <c r="S87" s="35">
        <v>374.05269421011769</v>
      </c>
      <c r="T87" s="35">
        <v>374.16741508969659</v>
      </c>
      <c r="U87" s="35">
        <v>374.28217115383751</v>
      </c>
      <c r="V87" s="35">
        <v>374.39696241333144</v>
      </c>
      <c r="W87" s="35">
        <v>374.51178887897265</v>
      </c>
      <c r="X87" s="35">
        <v>374.62665056155885</v>
      </c>
      <c r="Y87" s="35">
        <v>374.7415474718909</v>
      </c>
      <c r="Z87" s="35">
        <v>374.85647962077303</v>
      </c>
      <c r="AA87" s="35">
        <v>374.97144701901288</v>
      </c>
      <c r="AB87" s="35">
        <v>375.08644967742134</v>
      </c>
      <c r="AC87" s="35">
        <v>375.20148760681246</v>
      </c>
      <c r="AD87" s="35">
        <v>375.31656081800395</v>
      </c>
      <c r="AE87" s="35">
        <v>375.43166932181646</v>
      </c>
      <c r="AF87" s="35">
        <v>375.54681312907422</v>
      </c>
      <c r="AG87" s="35">
        <v>375.66199225060467</v>
      </c>
      <c r="AH87" s="35">
        <v>375.77720669723863</v>
      </c>
      <c r="AI87" s="35">
        <v>375.89245647981016</v>
      </c>
      <c r="AJ87" s="35">
        <v>376.00774160915677</v>
      </c>
      <c r="AK87" s="35">
        <v>376.1230620961191</v>
      </c>
      <c r="AL87" s="35">
        <v>376.23841795154124</v>
      </c>
      <c r="AM87" s="35">
        <v>376.35380918627072</v>
      </c>
      <c r="AN87" s="35">
        <v>376.46923581115811</v>
      </c>
      <c r="AO87" s="35">
        <v>376.58469783705755</v>
      </c>
      <c r="AP87" s="35">
        <v>376.70019527482646</v>
      </c>
      <c r="AQ87" s="35">
        <v>376.81572813532546</v>
      </c>
      <c r="AR87" s="35">
        <v>376.93129642941875</v>
      </c>
      <c r="AS87" s="35">
        <v>377.0469001679736</v>
      </c>
      <c r="AT87" s="35">
        <v>377.16253936186069</v>
      </c>
      <c r="AU87" s="35">
        <v>377.27821402195417</v>
      </c>
      <c r="AV87" s="35">
        <v>377.39392415913142</v>
      </c>
      <c r="AW87" s="35">
        <v>377.50966978427306</v>
      </c>
      <c r="AX87" s="35">
        <v>377.62545090826319</v>
      </c>
      <c r="AY87" s="35">
        <v>377.74126754198926</v>
      </c>
      <c r="AZ87" s="35">
        <v>377.85711969634195</v>
      </c>
      <c r="BA87" s="35">
        <v>377.97300738221537</v>
      </c>
      <c r="BB87" s="35">
        <v>378.08893061050685</v>
      </c>
      <c r="BC87" s="35">
        <v>378.20488939211725</v>
      </c>
      <c r="BD87" s="35">
        <v>378.32088373795057</v>
      </c>
      <c r="BE87" s="35">
        <v>378.43691365891431</v>
      </c>
      <c r="BF87" s="35">
        <v>378.55297916591928</v>
      </c>
      <c r="BG87" s="35">
        <v>378.66908026987966</v>
      </c>
      <c r="BH87" s="35">
        <v>378.78521698171278</v>
      </c>
    </row>
    <row r="88" spans="1:60" ht="21" customHeight="1" x14ac:dyDescent="0.25">
      <c r="A88" s="34" t="s">
        <v>103</v>
      </c>
      <c r="B88" s="35">
        <v>744.21562410958904</v>
      </c>
      <c r="C88" s="35">
        <v>744.44387288928169</v>
      </c>
      <c r="D88" s="35">
        <v>744.67219167221504</v>
      </c>
      <c r="E88" s="35">
        <v>744.90058047985883</v>
      </c>
      <c r="F88" s="35">
        <v>745.12903933368943</v>
      </c>
      <c r="G88" s="35">
        <v>745.35756825518979</v>
      </c>
      <c r="H88" s="35">
        <v>745.58616726584944</v>
      </c>
      <c r="I88" s="35">
        <v>745.81483638716475</v>
      </c>
      <c r="J88" s="35">
        <v>746.0435756406381</v>
      </c>
      <c r="K88" s="35">
        <v>746.27238504777904</v>
      </c>
      <c r="L88" s="35">
        <v>746.50126463010338</v>
      </c>
      <c r="M88" s="35">
        <v>746.73021440913374</v>
      </c>
      <c r="N88" s="35">
        <v>746.95923440639933</v>
      </c>
      <c r="O88" s="35">
        <v>747.18832464343564</v>
      </c>
      <c r="P88" s="35">
        <v>747.41748514178516</v>
      </c>
      <c r="Q88" s="35">
        <v>747.6467159229968</v>
      </c>
      <c r="R88" s="35">
        <v>747.87601700862626</v>
      </c>
      <c r="S88" s="35">
        <v>748.10538842023539</v>
      </c>
      <c r="T88" s="35">
        <v>748.33483017939318</v>
      </c>
      <c r="U88" s="35">
        <v>748.56434230767502</v>
      </c>
      <c r="V88" s="35">
        <v>748.79392482666287</v>
      </c>
      <c r="W88" s="35">
        <v>749.0235777579453</v>
      </c>
      <c r="X88" s="35">
        <v>749.25330112311769</v>
      </c>
      <c r="Y88" s="35">
        <v>749.48309494378179</v>
      </c>
      <c r="Z88" s="35">
        <v>749.71295924154606</v>
      </c>
      <c r="AA88" s="35">
        <v>749.94289403802577</v>
      </c>
      <c r="AB88" s="35">
        <v>750.17289935484268</v>
      </c>
      <c r="AC88" s="35">
        <v>750.40297521362493</v>
      </c>
      <c r="AD88" s="35">
        <v>750.6331216360079</v>
      </c>
      <c r="AE88" s="35">
        <v>750.86333864363291</v>
      </c>
      <c r="AF88" s="35">
        <v>751.09362625814845</v>
      </c>
      <c r="AG88" s="35">
        <v>751.32398450120934</v>
      </c>
      <c r="AH88" s="35">
        <v>751.55441339447725</v>
      </c>
      <c r="AI88" s="35">
        <v>751.78491295962033</v>
      </c>
      <c r="AJ88" s="35">
        <v>752.01548321831353</v>
      </c>
      <c r="AK88" s="35">
        <v>752.2461241922382</v>
      </c>
      <c r="AL88" s="35">
        <v>752.47683590308247</v>
      </c>
      <c r="AM88" s="35">
        <v>752.70761837254145</v>
      </c>
      <c r="AN88" s="35">
        <v>752.93847162231623</v>
      </c>
      <c r="AO88" s="35">
        <v>753.16939567411509</v>
      </c>
      <c r="AP88" s="35">
        <v>753.40039054965291</v>
      </c>
      <c r="AQ88" s="35">
        <v>753.63145627065092</v>
      </c>
      <c r="AR88" s="35">
        <v>753.8625928588375</v>
      </c>
      <c r="AS88" s="35">
        <v>754.09380033594721</v>
      </c>
      <c r="AT88" s="35">
        <v>754.32507872372139</v>
      </c>
      <c r="AU88" s="35">
        <v>754.55642804390834</v>
      </c>
      <c r="AV88" s="35">
        <v>754.78784831826283</v>
      </c>
      <c r="AW88" s="35">
        <v>755.01933956854612</v>
      </c>
      <c r="AX88" s="35">
        <v>755.25090181652638</v>
      </c>
      <c r="AY88" s="35">
        <v>755.48253508397852</v>
      </c>
      <c r="AZ88" s="35">
        <v>755.71423939268391</v>
      </c>
      <c r="BA88" s="35">
        <v>755.94601476443074</v>
      </c>
      <c r="BB88" s="35">
        <v>756.1778612210137</v>
      </c>
      <c r="BC88" s="35">
        <v>756.4097787842345</v>
      </c>
      <c r="BD88" s="35">
        <v>756.64176747590113</v>
      </c>
      <c r="BE88" s="35">
        <v>756.87382731782861</v>
      </c>
      <c r="BF88" s="35">
        <v>757.10595833183856</v>
      </c>
      <c r="BG88" s="35">
        <v>757.33816053975931</v>
      </c>
      <c r="BH88" s="35">
        <v>757.57043396342556</v>
      </c>
    </row>
    <row r="89" spans="1:60" ht="21" customHeight="1" x14ac:dyDescent="0.25">
      <c r="A89" s="34" t="s">
        <v>104</v>
      </c>
      <c r="B89" s="35">
        <v>0</v>
      </c>
      <c r="C89" s="35">
        <v>0</v>
      </c>
      <c r="D89" s="35">
        <v>0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  <c r="U89" s="35">
        <v>0</v>
      </c>
      <c r="V89" s="35">
        <v>0</v>
      </c>
      <c r="W89" s="35">
        <v>0</v>
      </c>
      <c r="X89" s="35">
        <v>0</v>
      </c>
      <c r="Y89" s="35">
        <v>0</v>
      </c>
      <c r="Z89" s="35">
        <v>0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  <c r="AH89" s="35">
        <v>0</v>
      </c>
      <c r="AI89" s="35">
        <v>0</v>
      </c>
      <c r="AJ89" s="35">
        <v>0</v>
      </c>
      <c r="AK89" s="35">
        <v>0</v>
      </c>
      <c r="AL89" s="35">
        <v>0</v>
      </c>
      <c r="AM89" s="35">
        <v>0</v>
      </c>
      <c r="AN89" s="35">
        <v>0</v>
      </c>
      <c r="AO89" s="35">
        <v>0</v>
      </c>
      <c r="AP89" s="35">
        <v>0</v>
      </c>
      <c r="AQ89" s="35">
        <v>0</v>
      </c>
      <c r="AR89" s="35">
        <v>0</v>
      </c>
      <c r="AS89" s="35">
        <v>0</v>
      </c>
      <c r="AT89" s="35">
        <v>0</v>
      </c>
      <c r="AU89" s="35">
        <v>0</v>
      </c>
      <c r="AV89" s="35">
        <v>0</v>
      </c>
      <c r="AW89" s="35">
        <v>0</v>
      </c>
      <c r="AX89" s="35">
        <v>0</v>
      </c>
      <c r="AY89" s="35">
        <v>0</v>
      </c>
      <c r="AZ89" s="35">
        <v>0</v>
      </c>
      <c r="BA89" s="35">
        <v>0</v>
      </c>
      <c r="BB89" s="35">
        <v>0</v>
      </c>
      <c r="BC89" s="35">
        <v>0</v>
      </c>
      <c r="BD89" s="35">
        <v>0</v>
      </c>
      <c r="BE89" s="35">
        <v>0</v>
      </c>
      <c r="BF89" s="35">
        <v>0</v>
      </c>
      <c r="BG89" s="35">
        <v>0</v>
      </c>
      <c r="BH89" s="35">
        <v>0</v>
      </c>
    </row>
    <row r="90" spans="1:60" ht="21" customHeight="1" x14ac:dyDescent="0.25">
      <c r="A90" s="36" t="s">
        <v>105</v>
      </c>
      <c r="B90" s="37">
        <v>4165.540229391172</v>
      </c>
      <c r="C90" s="37">
        <v>4166.8177885330624</v>
      </c>
      <c r="D90" s="37">
        <v>4168.0957394986481</v>
      </c>
      <c r="E90" s="37">
        <v>4169.3740824080987</v>
      </c>
      <c r="F90" s="37">
        <v>4170.6528173816232</v>
      </c>
      <c r="G90" s="37">
        <v>4171.9319445394658</v>
      </c>
      <c r="H90" s="37">
        <v>4173.2114640019072</v>
      </c>
      <c r="I90" s="37">
        <v>4174.491375889269</v>
      </c>
      <c r="J90" s="37">
        <v>4175.7716803219055</v>
      </c>
      <c r="K90" s="37">
        <v>4177.0523774202074</v>
      </c>
      <c r="L90" s="37">
        <v>4178.3334673046065</v>
      </c>
      <c r="M90" s="37">
        <v>4179.6149500955689</v>
      </c>
      <c r="N90" s="37">
        <v>4180.8968259135963</v>
      </c>
      <c r="O90" s="37">
        <v>4182.1790948792295</v>
      </c>
      <c r="P90" s="37">
        <v>4183.4617571130475</v>
      </c>
      <c r="Q90" s="37">
        <v>4184.7448127356638</v>
      </c>
      <c r="R90" s="37">
        <v>4186.0282618677275</v>
      </c>
      <c r="S90" s="37">
        <v>4187.3121046299293</v>
      </c>
      <c r="T90" s="37">
        <v>4188.596341142993</v>
      </c>
      <c r="U90" s="37">
        <v>4189.8809715276811</v>
      </c>
      <c r="V90" s="37">
        <v>4191.1659959047938</v>
      </c>
      <c r="W90" s="37">
        <v>4192.4514143951674</v>
      </c>
      <c r="X90" s="37">
        <v>4193.7372271196728</v>
      </c>
      <c r="Y90" s="37">
        <v>4195.0234341992227</v>
      </c>
      <c r="Z90" s="37">
        <v>4196.3100357547646</v>
      </c>
      <c r="AA90" s="37">
        <v>4197.5970319072831</v>
      </c>
      <c r="AB90" s="37">
        <v>4198.8844227778</v>
      </c>
      <c r="AC90" s="37">
        <v>4200.1722084873736</v>
      </c>
      <c r="AD90" s="37">
        <v>4201.4603891570996</v>
      </c>
      <c r="AE90" s="37">
        <v>4202.7489649081126</v>
      </c>
      <c r="AF90" s="37">
        <v>4204.037935861581</v>
      </c>
      <c r="AG90" s="37">
        <v>4205.327302138714</v>
      </c>
      <c r="AH90" s="37">
        <v>4206.6170638607546</v>
      </c>
      <c r="AI90" s="37">
        <v>4207.9072211489865</v>
      </c>
      <c r="AJ90" s="37">
        <v>4209.1977741247274</v>
      </c>
      <c r="AK90" s="37">
        <v>4210.4887229093338</v>
      </c>
      <c r="AL90" s="37">
        <v>4211.7800676241986</v>
      </c>
      <c r="AM90" s="37">
        <v>4213.0718083907523</v>
      </c>
      <c r="AN90" s="37">
        <v>4214.363945330464</v>
      </c>
      <c r="AO90" s="37">
        <v>4215.6564785648388</v>
      </c>
      <c r="AP90" s="37">
        <v>4216.9494082154179</v>
      </c>
      <c r="AQ90" s="37">
        <v>4218.2427344037833</v>
      </c>
      <c r="AR90" s="37">
        <v>4219.53645725155</v>
      </c>
      <c r="AS90" s="37">
        <v>4220.8305768803712</v>
      </c>
      <c r="AT90" s="37">
        <v>4222.1250934119416</v>
      </c>
      <c r="AU90" s="37">
        <v>4223.4200069679873</v>
      </c>
      <c r="AV90" s="37">
        <v>4224.7153176702759</v>
      </c>
      <c r="AW90" s="37">
        <v>4226.0110256406124</v>
      </c>
      <c r="AX90" s="37">
        <v>4227.3071310008363</v>
      </c>
      <c r="AY90" s="37">
        <v>4228.6036338728245</v>
      </c>
      <c r="AZ90" s="37">
        <v>4229.9005343784956</v>
      </c>
      <c r="BA90" s="37">
        <v>4231.1978326398003</v>
      </c>
      <c r="BB90" s="37">
        <v>4232.4955287787307</v>
      </c>
      <c r="BC90" s="37">
        <v>4233.793622917312</v>
      </c>
      <c r="BD90" s="37">
        <v>4235.0921151776129</v>
      </c>
      <c r="BE90" s="37">
        <v>4236.3910056817358</v>
      </c>
      <c r="BF90" s="37">
        <v>4237.6902945518195</v>
      </c>
      <c r="BG90" s="37">
        <v>4238.989981910041</v>
      </c>
      <c r="BH90" s="37">
        <v>4240.2900678786182</v>
      </c>
    </row>
    <row r="91" spans="1:60" ht="24" customHeight="1" x14ac:dyDescent="0.25">
      <c r="A91" s="38" t="s">
        <v>106</v>
      </c>
      <c r="B91" s="39">
        <v>13586100.68022939</v>
      </c>
      <c r="C91" s="39">
        <v>13590267.498017924</v>
      </c>
      <c r="D91" s="39">
        <v>13594435.593757423</v>
      </c>
      <c r="E91" s="39">
        <v>13598604.967839831</v>
      </c>
      <c r="F91" s="39">
        <v>13602775.620657213</v>
      </c>
      <c r="G91" s="39">
        <v>13606947.552601753</v>
      </c>
      <c r="H91" s="39">
        <v>13611120.764065756</v>
      </c>
      <c r="I91" s="39">
        <v>13615295.255441645</v>
      </c>
      <c r="J91" s="39">
        <v>13619471.027121967</v>
      </c>
      <c r="K91" s="39">
        <v>13623648.079499386</v>
      </c>
      <c r="L91" s="39">
        <v>13627826.412966691</v>
      </c>
      <c r="M91" s="39">
        <v>13632006.027916787</v>
      </c>
      <c r="N91" s="39">
        <v>13636186.924742701</v>
      </c>
      <c r="O91" s="39">
        <v>13640369.103837579</v>
      </c>
      <c r="P91" s="39">
        <v>13644552.565594692</v>
      </c>
      <c r="Q91" s="39">
        <v>13648737.310407428</v>
      </c>
      <c r="R91" s="39">
        <v>13652923.338669296</v>
      </c>
      <c r="S91" s="39">
        <v>13657110.650773926</v>
      </c>
      <c r="T91" s="39">
        <v>13661299.247115068</v>
      </c>
      <c r="U91" s="39">
        <v>13665489.128086597</v>
      </c>
      <c r="V91" s="39">
        <v>13669680.294082502</v>
      </c>
      <c r="W91" s="39">
        <v>13673872.745496897</v>
      </c>
      <c r="X91" s="39">
        <v>13678066.482724017</v>
      </c>
      <c r="Y91" s="39">
        <v>13682261.506158216</v>
      </c>
      <c r="Z91" s="39">
        <v>13686457.81619397</v>
      </c>
      <c r="AA91" s="39">
        <v>13690655.413225878</v>
      </c>
      <c r="AB91" s="39">
        <v>13694854.297648655</v>
      </c>
      <c r="AC91" s="39">
        <v>13699054.469857143</v>
      </c>
      <c r="AD91" s="39">
        <v>13703255.930246301</v>
      </c>
      <c r="AE91" s="39">
        <v>13707458.679211209</v>
      </c>
      <c r="AF91" s="39">
        <v>13711662.717147071</v>
      </c>
      <c r="AG91" s="39">
        <v>13715868.04444921</v>
      </c>
      <c r="AH91" s="39">
        <v>13720074.661513072</v>
      </c>
      <c r="AI91" s="39">
        <v>13724282.568734221</v>
      </c>
      <c r="AJ91" s="39">
        <v>13728491.766508346</v>
      </c>
      <c r="AK91" s="39">
        <v>13732702.255231256</v>
      </c>
      <c r="AL91" s="39">
        <v>13736914.03529888</v>
      </c>
      <c r="AM91" s="39">
        <v>13741127.107107271</v>
      </c>
      <c r="AN91" s="39">
        <v>13745341.4710526</v>
      </c>
      <c r="AO91" s="39">
        <v>13749557.127531165</v>
      </c>
      <c r="AP91" s="39">
        <v>13753774.07693938</v>
      </c>
      <c r="AQ91" s="39">
        <v>13757992.319673784</v>
      </c>
      <c r="AR91" s="39">
        <v>13762211.856131036</v>
      </c>
      <c r="AS91" s="39">
        <v>13766432.686707916</v>
      </c>
      <c r="AT91" s="39">
        <v>13770654.811801327</v>
      </c>
      <c r="AU91" s="39">
        <v>13774878.231808295</v>
      </c>
      <c r="AV91" s="39">
        <v>13779102.947125966</v>
      </c>
      <c r="AW91" s="39">
        <v>13783328.958151607</v>
      </c>
      <c r="AX91" s="39">
        <v>13787556.265282609</v>
      </c>
      <c r="AY91" s="39">
        <v>13791784.868916482</v>
      </c>
      <c r="AZ91" s="39">
        <v>13796014.76945086</v>
      </c>
      <c r="BA91" s="39">
        <v>13800245.9672835</v>
      </c>
      <c r="BB91" s="39">
        <v>13804478.462812278</v>
      </c>
      <c r="BC91" s="39">
        <v>13808712.256435195</v>
      </c>
      <c r="BD91" s="39">
        <v>13812947.348550372</v>
      </c>
      <c r="BE91" s="39">
        <v>13817183.739556054</v>
      </c>
      <c r="BF91" s="39">
        <v>13821421.429850606</v>
      </c>
      <c r="BG91" s="39">
        <v>13825660.419832516</v>
      </c>
      <c r="BH91" s="39">
        <v>13829900.709900396</v>
      </c>
    </row>
    <row r="92" spans="1:60" ht="24" customHeight="1" x14ac:dyDescent="0.25">
      <c r="A92" s="19" t="s">
        <v>107</v>
      </c>
      <c r="B92" s="20">
        <v>1.000306697108067</v>
      </c>
      <c r="C92" s="20">
        <v>1.0006134882792501</v>
      </c>
      <c r="D92" s="20">
        <v>1.0009203735423982</v>
      </c>
      <c r="E92" s="20">
        <v>1.0012273529263689</v>
      </c>
      <c r="F92" s="20">
        <v>1.001534426460029</v>
      </c>
      <c r="G92" s="20">
        <v>1.0018415941722538</v>
      </c>
      <c r="H92" s="20">
        <v>1.0021488560919278</v>
      </c>
      <c r="I92" s="20">
        <v>1.0024562122479439</v>
      </c>
      <c r="J92" s="20">
        <v>1.002763662669204</v>
      </c>
      <c r="K92" s="20">
        <v>1.0030712073846193</v>
      </c>
      <c r="L92" s="20">
        <v>1.0033788464231093</v>
      </c>
      <c r="M92" s="20">
        <v>1.003686579813603</v>
      </c>
      <c r="N92" s="20">
        <v>1.0039944075850373</v>
      </c>
      <c r="O92" s="20">
        <v>1.0043023297663591</v>
      </c>
      <c r="P92" s="20">
        <v>1.0046103463865232</v>
      </c>
      <c r="Q92" s="20">
        <v>1.0049184574744943</v>
      </c>
      <c r="R92" s="20">
        <v>1.0052266630592448</v>
      </c>
      <c r="S92" s="20">
        <v>1.005534963169757</v>
      </c>
      <c r="T92" s="20">
        <v>1.0058433578350212</v>
      </c>
      <c r="U92" s="20">
        <v>1.0061518470840376</v>
      </c>
      <c r="V92" s="20">
        <v>1.0064604309458147</v>
      </c>
      <c r="W92" s="20">
        <v>1.0067691094493696</v>
      </c>
      <c r="X92" s="20">
        <v>1.0070778826237288</v>
      </c>
      <c r="Y92" s="20">
        <v>1.0073867504979277</v>
      </c>
      <c r="Z92" s="20">
        <v>1.0076957131010105</v>
      </c>
      <c r="AA92" s="20">
        <v>1.0080047704620301</v>
      </c>
      <c r="AB92" s="20">
        <v>1.0083139226100484</v>
      </c>
      <c r="AC92" s="20">
        <v>1.0086231695741366</v>
      </c>
      <c r="AD92" s="20">
        <v>1.0089325113833743</v>
      </c>
      <c r="AE92" s="20">
        <v>1.0092419480668504</v>
      </c>
      <c r="AF92" s="20">
        <v>1.0095514796536624</v>
      </c>
      <c r="AG92" s="20">
        <v>1.009861106172917</v>
      </c>
      <c r="AH92" s="20">
        <v>1.0101708276537296</v>
      </c>
      <c r="AI92" s="20">
        <v>1.0104806441252245</v>
      </c>
      <c r="AJ92" s="20">
        <v>1.0107905556165355</v>
      </c>
      <c r="AK92" s="20">
        <v>1.0111005621568045</v>
      </c>
      <c r="AL92" s="20">
        <v>1.011410663775183</v>
      </c>
      <c r="AM92" s="20">
        <v>1.0117208605008308</v>
      </c>
      <c r="AN92" s="20">
        <v>1.0120311523629173</v>
      </c>
      <c r="AO92" s="20">
        <v>1.0123415393906208</v>
      </c>
      <c r="AP92" s="20">
        <v>1.0126520216131278</v>
      </c>
      <c r="AQ92" s="20">
        <v>1.0129625990596349</v>
      </c>
      <c r="AR92" s="20">
        <v>1.0132732717593464</v>
      </c>
      <c r="AS92" s="20">
        <v>1.0135840397414766</v>
      </c>
      <c r="AT92" s="20">
        <v>1.013894903035248</v>
      </c>
      <c r="AU92" s="20">
        <v>1.0142058616698928</v>
      </c>
      <c r="AV92" s="20">
        <v>1.0145169156746516</v>
      </c>
      <c r="AW92" s="20">
        <v>1.014828065078774</v>
      </c>
      <c r="AX92" s="20">
        <v>1.0151393099115189</v>
      </c>
      <c r="AY92" s="20">
        <v>1.0154506502021539</v>
      </c>
      <c r="AZ92" s="20">
        <v>1.0157620859799557</v>
      </c>
      <c r="BA92" s="20">
        <v>1.0160736172742098</v>
      </c>
      <c r="BB92" s="20">
        <v>1.0163852441142109</v>
      </c>
      <c r="BC92" s="20">
        <v>1.0166969665292627</v>
      </c>
      <c r="BD92" s="20">
        <v>1.0170087845486775</v>
      </c>
      <c r="BE92" s="20">
        <v>1.0173206982017773</v>
      </c>
      <c r="BF92" s="20">
        <v>1.0176327075178926</v>
      </c>
      <c r="BG92" s="20">
        <v>1.0179448125263626</v>
      </c>
      <c r="BH92" s="20">
        <v>1.0182570132565363</v>
      </c>
    </row>
    <row r="93" spans="1:60" x14ac:dyDescent="0.25">
      <c r="L93" s="55">
        <f>+L92-K92</f>
        <v>3.0763903848995966E-4</v>
      </c>
      <c r="M93" s="55">
        <f t="shared" ref="M93:N93" si="0">+M92-L92</f>
        <v>3.0773339049372517E-4</v>
      </c>
      <c r="N93" s="55">
        <f t="shared" si="0"/>
        <v>3.0782777143434359E-4</v>
      </c>
    </row>
    <row r="95" spans="1:60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</row>
    <row r="96" spans="1:60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</row>
    <row r="97" spans="1:64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</row>
    <row r="100" spans="1:64" ht="21" customHeight="1" x14ac:dyDescent="0.25">
      <c r="A100" s="28" t="s">
        <v>93</v>
      </c>
      <c r="B100" s="41">
        <v>11569244.659043111</v>
      </c>
      <c r="C100" s="22">
        <f>+B194</f>
        <v>11573360.305746604</v>
      </c>
      <c r="D100" s="22">
        <f t="shared" ref="D100:BH100" si="1">+C194</f>
        <v>11577477.41655154</v>
      </c>
      <c r="E100" s="22">
        <f t="shared" si="1"/>
        <v>11581595.991978757</v>
      </c>
      <c r="F100" s="22">
        <f t="shared" si="1"/>
        <v>11585716.032549281</v>
      </c>
      <c r="G100" s="22">
        <f t="shared" si="1"/>
        <v>11589837.538784323</v>
      </c>
      <c r="H100" s="22">
        <f t="shared" si="1"/>
        <v>11593960.511205278</v>
      </c>
      <c r="I100" s="22">
        <f t="shared" si="1"/>
        <v>11598084.950333729</v>
      </c>
      <c r="J100" s="22">
        <f t="shared" si="1"/>
        <v>11602210.856691442</v>
      </c>
      <c r="K100" s="22">
        <f t="shared" si="1"/>
        <v>11606338.23080037</v>
      </c>
      <c r="L100" s="22">
        <f t="shared" si="1"/>
        <v>11610467.07318265</v>
      </c>
      <c r="M100" s="22">
        <f t="shared" si="1"/>
        <v>11614597.384360606</v>
      </c>
      <c r="N100" s="22">
        <f t="shared" si="1"/>
        <v>11618729.164856749</v>
      </c>
      <c r="O100" s="22">
        <f t="shared" si="1"/>
        <v>11622862.415193774</v>
      </c>
      <c r="P100" s="22">
        <f t="shared" si="1"/>
        <v>11626997.135894563</v>
      </c>
      <c r="Q100" s="22">
        <f t="shared" si="1"/>
        <v>11631133.327482184</v>
      </c>
      <c r="R100" s="22">
        <f t="shared" si="1"/>
        <v>11635270.990479892</v>
      </c>
      <c r="S100" s="22">
        <f t="shared" si="1"/>
        <v>11639410.125411125</v>
      </c>
      <c r="T100" s="22">
        <f t="shared" si="1"/>
        <v>11643550.73279951</v>
      </c>
      <c r="U100" s="22">
        <f t="shared" si="1"/>
        <v>11647692.813168857</v>
      </c>
      <c r="V100" s="22">
        <f t="shared" si="1"/>
        <v>11651836.367043167</v>
      </c>
      <c r="W100" s="22">
        <f t="shared" si="1"/>
        <v>11655981.394946625</v>
      </c>
      <c r="X100" s="22">
        <f t="shared" si="1"/>
        <v>11660127.897403603</v>
      </c>
      <c r="Y100" s="22">
        <f t="shared" si="1"/>
        <v>11664275.874938658</v>
      </c>
      <c r="Z100" s="22">
        <f t="shared" si="1"/>
        <v>11668425.328076534</v>
      </c>
      <c r="AA100" s="22">
        <f t="shared" si="1"/>
        <v>11672576.257342163</v>
      </c>
      <c r="AB100" s="22">
        <f t="shared" si="1"/>
        <v>11676728.663260665</v>
      </c>
      <c r="AC100" s="22">
        <f t="shared" si="1"/>
        <v>11680882.546357343</v>
      </c>
      <c r="AD100" s="22">
        <f t="shared" si="1"/>
        <v>11685037.907157689</v>
      </c>
      <c r="AE100" s="22">
        <f t="shared" si="1"/>
        <v>11689194.746187383</v>
      </c>
      <c r="AF100" s="22">
        <f t="shared" si="1"/>
        <v>11693353.063972291</v>
      </c>
      <c r="AG100" s="22">
        <f t="shared" si="1"/>
        <v>11697512.861038463</v>
      </c>
      <c r="AH100" s="22">
        <f t="shared" si="1"/>
        <v>11701674.137912141</v>
      </c>
      <c r="AI100" s="22">
        <f t="shared" si="1"/>
        <v>11705836.895119753</v>
      </c>
      <c r="AJ100" s="22">
        <f t="shared" si="1"/>
        <v>11710001.133187912</v>
      </c>
      <c r="AK100" s="22">
        <f t="shared" si="1"/>
        <v>11714166.852643421</v>
      </c>
      <c r="AL100" s="22">
        <f t="shared" si="1"/>
        <v>11718334.054013267</v>
      </c>
      <c r="AM100" s="22">
        <f t="shared" si="1"/>
        <v>11722502.737824628</v>
      </c>
      <c r="AN100" s="22">
        <f t="shared" si="1"/>
        <v>11726672.904604869</v>
      </c>
      <c r="AO100" s="22">
        <f t="shared" si="1"/>
        <v>11730844.554881541</v>
      </c>
      <c r="AP100" s="22">
        <f t="shared" si="1"/>
        <v>11735017.689182384</v>
      </c>
      <c r="AQ100" s="22">
        <f t="shared" si="1"/>
        <v>11739192.308035323</v>
      </c>
      <c r="AR100" s="22">
        <f t="shared" si="1"/>
        <v>11743368.411968477</v>
      </c>
      <c r="AS100" s="22">
        <f t="shared" si="1"/>
        <v>11747546.001510145</v>
      </c>
      <c r="AT100" s="22">
        <f t="shared" si="1"/>
        <v>11751725.07718882</v>
      </c>
      <c r="AU100" s="22">
        <f t="shared" si="1"/>
        <v>11755905.639533181</v>
      </c>
      <c r="AV100" s="22">
        <f t="shared" si="1"/>
        <v>11760087.689072093</v>
      </c>
      <c r="AW100" s="22">
        <f t="shared" si="1"/>
        <v>11764271.226334613</v>
      </c>
      <c r="AX100" s="22">
        <f t="shared" si="1"/>
        <v>11768456.251849985</v>
      </c>
      <c r="AY100" s="22">
        <f t="shared" si="1"/>
        <v>11772642.766147638</v>
      </c>
      <c r="AZ100" s="22">
        <f t="shared" si="1"/>
        <v>11776830.769757193</v>
      </c>
      <c r="BA100" s="22">
        <f t="shared" si="1"/>
        <v>11781020.263208458</v>
      </c>
      <c r="BB100" s="22">
        <f t="shared" si="1"/>
        <v>11785211.247031432</v>
      </c>
      <c r="BC100" s="22">
        <f t="shared" si="1"/>
        <v>11789403.721756296</v>
      </c>
      <c r="BD100" s="22">
        <f t="shared" si="1"/>
        <v>11793597.687913427</v>
      </c>
      <c r="BE100" s="22">
        <f t="shared" si="1"/>
        <v>11797793.146033388</v>
      </c>
      <c r="BF100" s="22">
        <f t="shared" si="1"/>
        <v>11801990.096646927</v>
      </c>
      <c r="BG100" s="22">
        <f t="shared" si="1"/>
        <v>11806188.540284988</v>
      </c>
      <c r="BH100" s="22">
        <f t="shared" si="1"/>
        <v>11810388.477478698</v>
      </c>
    </row>
    <row r="101" spans="1:64" ht="21" customHeight="1" x14ac:dyDescent="0.25">
      <c r="A101" s="30" t="s">
        <v>94</v>
      </c>
      <c r="B101" s="31">
        <v>0</v>
      </c>
      <c r="C101" s="31">
        <v>0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</row>
    <row r="102" spans="1:64" ht="21" customHeight="1" x14ac:dyDescent="0.25">
      <c r="A102" s="32" t="s">
        <v>95</v>
      </c>
      <c r="B102" s="33">
        <f>+B100+B101</f>
        <v>11569244.659043111</v>
      </c>
      <c r="C102" s="33">
        <f>+C100+C101</f>
        <v>11573360.305746604</v>
      </c>
      <c r="D102" s="33">
        <f t="shared" ref="D102:BH102" si="2">+D100+D101</f>
        <v>11577477.41655154</v>
      </c>
      <c r="E102" s="33">
        <f t="shared" si="2"/>
        <v>11581595.991978757</v>
      </c>
      <c r="F102" s="33">
        <f t="shared" si="2"/>
        <v>11585716.032549281</v>
      </c>
      <c r="G102" s="33">
        <f t="shared" si="2"/>
        <v>11589837.538784323</v>
      </c>
      <c r="H102" s="33">
        <f t="shared" si="2"/>
        <v>11593960.511205278</v>
      </c>
      <c r="I102" s="33">
        <f t="shared" si="2"/>
        <v>11598084.950333729</v>
      </c>
      <c r="J102" s="33">
        <f t="shared" si="2"/>
        <v>11602210.856691442</v>
      </c>
      <c r="K102" s="33">
        <f t="shared" si="2"/>
        <v>11606338.23080037</v>
      </c>
      <c r="L102" s="33">
        <f t="shared" si="2"/>
        <v>11610467.07318265</v>
      </c>
      <c r="M102" s="33">
        <f t="shared" si="2"/>
        <v>11614597.384360606</v>
      </c>
      <c r="N102" s="33">
        <f t="shared" si="2"/>
        <v>11618729.164856749</v>
      </c>
      <c r="O102" s="33">
        <f t="shared" si="2"/>
        <v>11622862.415193774</v>
      </c>
      <c r="P102" s="33">
        <f t="shared" si="2"/>
        <v>11626997.135894563</v>
      </c>
      <c r="Q102" s="33">
        <f t="shared" si="2"/>
        <v>11631133.327482184</v>
      </c>
      <c r="R102" s="33">
        <f t="shared" si="2"/>
        <v>11635270.990479892</v>
      </c>
      <c r="S102" s="33">
        <f t="shared" si="2"/>
        <v>11639410.125411125</v>
      </c>
      <c r="T102" s="33">
        <f t="shared" si="2"/>
        <v>11643550.73279951</v>
      </c>
      <c r="U102" s="33">
        <f t="shared" si="2"/>
        <v>11647692.813168857</v>
      </c>
      <c r="V102" s="33">
        <f t="shared" si="2"/>
        <v>11651836.367043167</v>
      </c>
      <c r="W102" s="33">
        <f t="shared" si="2"/>
        <v>11655981.394946625</v>
      </c>
      <c r="X102" s="33">
        <f t="shared" si="2"/>
        <v>11660127.897403603</v>
      </c>
      <c r="Y102" s="33">
        <f t="shared" si="2"/>
        <v>11664275.874938658</v>
      </c>
      <c r="Z102" s="33">
        <f t="shared" si="2"/>
        <v>11668425.328076534</v>
      </c>
      <c r="AA102" s="33">
        <f t="shared" si="2"/>
        <v>11672576.257342163</v>
      </c>
      <c r="AB102" s="33">
        <f t="shared" si="2"/>
        <v>11676728.663260665</v>
      </c>
      <c r="AC102" s="33">
        <f t="shared" si="2"/>
        <v>11680882.546357343</v>
      </c>
      <c r="AD102" s="33">
        <f t="shared" si="2"/>
        <v>11685037.907157689</v>
      </c>
      <c r="AE102" s="33">
        <f t="shared" si="2"/>
        <v>11689194.746187383</v>
      </c>
      <c r="AF102" s="33">
        <f t="shared" si="2"/>
        <v>11693353.063972291</v>
      </c>
      <c r="AG102" s="33">
        <f t="shared" si="2"/>
        <v>11697512.861038463</v>
      </c>
      <c r="AH102" s="33">
        <f t="shared" si="2"/>
        <v>11701674.137912141</v>
      </c>
      <c r="AI102" s="33">
        <f t="shared" si="2"/>
        <v>11705836.895119753</v>
      </c>
      <c r="AJ102" s="33">
        <f t="shared" si="2"/>
        <v>11710001.133187912</v>
      </c>
      <c r="AK102" s="33">
        <f t="shared" si="2"/>
        <v>11714166.852643421</v>
      </c>
      <c r="AL102" s="33">
        <f t="shared" si="2"/>
        <v>11718334.054013267</v>
      </c>
      <c r="AM102" s="33">
        <f t="shared" si="2"/>
        <v>11722502.737824628</v>
      </c>
      <c r="AN102" s="33">
        <f t="shared" si="2"/>
        <v>11726672.904604869</v>
      </c>
      <c r="AO102" s="33">
        <f t="shared" si="2"/>
        <v>11730844.554881541</v>
      </c>
      <c r="AP102" s="33">
        <f t="shared" si="2"/>
        <v>11735017.689182384</v>
      </c>
      <c r="AQ102" s="33">
        <f t="shared" si="2"/>
        <v>11739192.308035323</v>
      </c>
      <c r="AR102" s="33">
        <f t="shared" si="2"/>
        <v>11743368.411968477</v>
      </c>
      <c r="AS102" s="33">
        <f t="shared" si="2"/>
        <v>11747546.001510145</v>
      </c>
      <c r="AT102" s="33">
        <f t="shared" si="2"/>
        <v>11751725.07718882</v>
      </c>
      <c r="AU102" s="33">
        <f t="shared" si="2"/>
        <v>11755905.639533181</v>
      </c>
      <c r="AV102" s="33">
        <f t="shared" si="2"/>
        <v>11760087.689072093</v>
      </c>
      <c r="AW102" s="33">
        <f t="shared" si="2"/>
        <v>11764271.226334613</v>
      </c>
      <c r="AX102" s="33">
        <f t="shared" si="2"/>
        <v>11768456.251849985</v>
      </c>
      <c r="AY102" s="33">
        <f t="shared" si="2"/>
        <v>11772642.766147638</v>
      </c>
      <c r="AZ102" s="33">
        <f t="shared" si="2"/>
        <v>11776830.769757193</v>
      </c>
      <c r="BA102" s="33">
        <f t="shared" si="2"/>
        <v>11781020.263208458</v>
      </c>
      <c r="BB102" s="33">
        <f t="shared" si="2"/>
        <v>11785211.247031432</v>
      </c>
      <c r="BC102" s="33">
        <f t="shared" si="2"/>
        <v>11789403.721756296</v>
      </c>
      <c r="BD102" s="33">
        <f t="shared" si="2"/>
        <v>11793597.687913427</v>
      </c>
      <c r="BE102" s="33">
        <f t="shared" si="2"/>
        <v>11797793.146033388</v>
      </c>
      <c r="BF102" s="33">
        <f t="shared" si="2"/>
        <v>11801990.096646927</v>
      </c>
      <c r="BG102" s="33">
        <f t="shared" si="2"/>
        <v>11806188.540284988</v>
      </c>
      <c r="BH102" s="33">
        <f t="shared" si="2"/>
        <v>11810388.477478698</v>
      </c>
    </row>
    <row r="103" spans="1:64" ht="21" customHeight="1" x14ac:dyDescent="0.25">
      <c r="A103" s="28" t="s">
        <v>96</v>
      </c>
      <c r="B103" s="41">
        <v>11569225</v>
      </c>
      <c r="C103" s="33">
        <f>+B105</f>
        <v>11569225</v>
      </c>
      <c r="D103" s="33">
        <f t="shared" ref="D103:BH103" si="3">+C105</f>
        <v>11569225</v>
      </c>
      <c r="E103" s="33">
        <f t="shared" si="3"/>
        <v>11569225</v>
      </c>
      <c r="F103" s="33">
        <f t="shared" si="3"/>
        <v>11569225</v>
      </c>
      <c r="G103" s="33">
        <f t="shared" si="3"/>
        <v>11569225</v>
      </c>
      <c r="H103" s="33">
        <f t="shared" si="3"/>
        <v>11569225</v>
      </c>
      <c r="I103" s="33">
        <f t="shared" si="3"/>
        <v>11569225</v>
      </c>
      <c r="J103" s="33">
        <f t="shared" si="3"/>
        <v>11569225</v>
      </c>
      <c r="K103" s="33">
        <f t="shared" si="3"/>
        <v>11569225</v>
      </c>
      <c r="L103" s="33">
        <f t="shared" si="3"/>
        <v>11569225</v>
      </c>
      <c r="M103" s="33">
        <f t="shared" si="3"/>
        <v>11569225</v>
      </c>
      <c r="N103" s="33">
        <f t="shared" si="3"/>
        <v>11569225</v>
      </c>
      <c r="O103" s="33">
        <f t="shared" si="3"/>
        <v>11569225</v>
      </c>
      <c r="P103" s="33">
        <f t="shared" si="3"/>
        <v>11569225</v>
      </c>
      <c r="Q103" s="33">
        <f t="shared" si="3"/>
        <v>11569225</v>
      </c>
      <c r="R103" s="33">
        <f t="shared" si="3"/>
        <v>11569225</v>
      </c>
      <c r="S103" s="33">
        <f t="shared" si="3"/>
        <v>11569225</v>
      </c>
      <c r="T103" s="33">
        <f t="shared" si="3"/>
        <v>11569225</v>
      </c>
      <c r="U103" s="33">
        <f t="shared" si="3"/>
        <v>11569225</v>
      </c>
      <c r="V103" s="33">
        <f t="shared" si="3"/>
        <v>11569225</v>
      </c>
      <c r="W103" s="33">
        <f t="shared" si="3"/>
        <v>11569225</v>
      </c>
      <c r="X103" s="33">
        <f t="shared" si="3"/>
        <v>11569225</v>
      </c>
      <c r="Y103" s="33">
        <f t="shared" si="3"/>
        <v>11569225</v>
      </c>
      <c r="Z103" s="33">
        <f t="shared" si="3"/>
        <v>11569225</v>
      </c>
      <c r="AA103" s="33">
        <f t="shared" si="3"/>
        <v>11569225</v>
      </c>
      <c r="AB103" s="33">
        <f t="shared" si="3"/>
        <v>11569225</v>
      </c>
      <c r="AC103" s="33">
        <f t="shared" si="3"/>
        <v>11569225</v>
      </c>
      <c r="AD103" s="33">
        <f t="shared" si="3"/>
        <v>11569225</v>
      </c>
      <c r="AE103" s="33">
        <f t="shared" si="3"/>
        <v>11569225</v>
      </c>
      <c r="AF103" s="33">
        <f t="shared" si="3"/>
        <v>11569225</v>
      </c>
      <c r="AG103" s="33">
        <f t="shared" si="3"/>
        <v>11569225</v>
      </c>
      <c r="AH103" s="33">
        <f t="shared" si="3"/>
        <v>11569225</v>
      </c>
      <c r="AI103" s="33">
        <f t="shared" si="3"/>
        <v>11569225</v>
      </c>
      <c r="AJ103" s="33">
        <f t="shared" si="3"/>
        <v>11569225</v>
      </c>
      <c r="AK103" s="33">
        <f t="shared" si="3"/>
        <v>11569225</v>
      </c>
      <c r="AL103" s="33">
        <f t="shared" si="3"/>
        <v>11569225</v>
      </c>
      <c r="AM103" s="33">
        <f t="shared" si="3"/>
        <v>11569225</v>
      </c>
      <c r="AN103" s="33">
        <f t="shared" si="3"/>
        <v>11569225</v>
      </c>
      <c r="AO103" s="33">
        <f t="shared" si="3"/>
        <v>11569225</v>
      </c>
      <c r="AP103" s="33">
        <f t="shared" si="3"/>
        <v>11569225</v>
      </c>
      <c r="AQ103" s="33">
        <f t="shared" si="3"/>
        <v>11569225</v>
      </c>
      <c r="AR103" s="33">
        <f t="shared" si="3"/>
        <v>11569225</v>
      </c>
      <c r="AS103" s="33">
        <f t="shared" si="3"/>
        <v>11569225</v>
      </c>
      <c r="AT103" s="33">
        <f t="shared" si="3"/>
        <v>11569225</v>
      </c>
      <c r="AU103" s="33">
        <f t="shared" si="3"/>
        <v>11569225</v>
      </c>
      <c r="AV103" s="33">
        <f t="shared" si="3"/>
        <v>11569225</v>
      </c>
      <c r="AW103" s="33">
        <f t="shared" si="3"/>
        <v>11569225</v>
      </c>
      <c r="AX103" s="33">
        <f t="shared" si="3"/>
        <v>11569225</v>
      </c>
      <c r="AY103" s="33">
        <f t="shared" si="3"/>
        <v>11569225</v>
      </c>
      <c r="AZ103" s="33">
        <f t="shared" si="3"/>
        <v>11569225</v>
      </c>
      <c r="BA103" s="33">
        <f t="shared" si="3"/>
        <v>11569225</v>
      </c>
      <c r="BB103" s="33">
        <f t="shared" si="3"/>
        <v>11569225</v>
      </c>
      <c r="BC103" s="33">
        <f t="shared" si="3"/>
        <v>11569225</v>
      </c>
      <c r="BD103" s="33">
        <f t="shared" si="3"/>
        <v>11569225</v>
      </c>
      <c r="BE103" s="33">
        <f t="shared" si="3"/>
        <v>11569225</v>
      </c>
      <c r="BF103" s="33">
        <f t="shared" si="3"/>
        <v>11569225</v>
      </c>
      <c r="BG103" s="33">
        <f t="shared" si="3"/>
        <v>11569225</v>
      </c>
      <c r="BH103" s="33">
        <f t="shared" si="3"/>
        <v>11569225</v>
      </c>
    </row>
    <row r="104" spans="1:64" ht="21" customHeight="1" x14ac:dyDescent="0.25">
      <c r="A104" s="30" t="s">
        <v>97</v>
      </c>
      <c r="B104" s="42">
        <v>0</v>
      </c>
      <c r="C104" s="42">
        <f>INT(+C101/B$195)</f>
        <v>0</v>
      </c>
      <c r="D104" s="42">
        <f t="shared" ref="D104:BH104" si="4">INT(+D101/C$195)</f>
        <v>0</v>
      </c>
      <c r="E104" s="42">
        <f t="shared" si="4"/>
        <v>0</v>
      </c>
      <c r="F104" s="42">
        <f t="shared" si="4"/>
        <v>0</v>
      </c>
      <c r="G104" s="42">
        <f t="shared" si="4"/>
        <v>0</v>
      </c>
      <c r="H104" s="42">
        <f t="shared" si="4"/>
        <v>0</v>
      </c>
      <c r="I104" s="42">
        <f t="shared" si="4"/>
        <v>0</v>
      </c>
      <c r="J104" s="42">
        <f t="shared" si="4"/>
        <v>0</v>
      </c>
      <c r="K104" s="42">
        <f t="shared" si="4"/>
        <v>0</v>
      </c>
      <c r="L104" s="42">
        <f t="shared" si="4"/>
        <v>0</v>
      </c>
      <c r="M104" s="42">
        <f t="shared" si="4"/>
        <v>0</v>
      </c>
      <c r="N104" s="42">
        <f t="shared" si="4"/>
        <v>0</v>
      </c>
      <c r="O104" s="42">
        <f t="shared" si="4"/>
        <v>0</v>
      </c>
      <c r="P104" s="42">
        <f t="shared" si="4"/>
        <v>0</v>
      </c>
      <c r="Q104" s="42">
        <f t="shared" si="4"/>
        <v>0</v>
      </c>
      <c r="R104" s="42">
        <f t="shared" si="4"/>
        <v>0</v>
      </c>
      <c r="S104" s="42">
        <f t="shared" si="4"/>
        <v>0</v>
      </c>
      <c r="T104" s="42">
        <f t="shared" si="4"/>
        <v>0</v>
      </c>
      <c r="U104" s="42">
        <f t="shared" si="4"/>
        <v>0</v>
      </c>
      <c r="V104" s="42">
        <f t="shared" si="4"/>
        <v>0</v>
      </c>
      <c r="W104" s="42">
        <f t="shared" si="4"/>
        <v>0</v>
      </c>
      <c r="X104" s="42">
        <f t="shared" si="4"/>
        <v>0</v>
      </c>
      <c r="Y104" s="42">
        <f t="shared" si="4"/>
        <v>0</v>
      </c>
      <c r="Z104" s="42">
        <f t="shared" si="4"/>
        <v>0</v>
      </c>
      <c r="AA104" s="42">
        <f t="shared" si="4"/>
        <v>0</v>
      </c>
      <c r="AB104" s="42">
        <f t="shared" si="4"/>
        <v>0</v>
      </c>
      <c r="AC104" s="42">
        <f t="shared" si="4"/>
        <v>0</v>
      </c>
      <c r="AD104" s="42">
        <f t="shared" si="4"/>
        <v>0</v>
      </c>
      <c r="AE104" s="42">
        <f t="shared" si="4"/>
        <v>0</v>
      </c>
      <c r="AF104" s="42">
        <f t="shared" si="4"/>
        <v>0</v>
      </c>
      <c r="AG104" s="42">
        <f t="shared" si="4"/>
        <v>0</v>
      </c>
      <c r="AH104" s="42">
        <f t="shared" si="4"/>
        <v>0</v>
      </c>
      <c r="AI104" s="42">
        <f t="shared" si="4"/>
        <v>0</v>
      </c>
      <c r="AJ104" s="42">
        <f t="shared" si="4"/>
        <v>0</v>
      </c>
      <c r="AK104" s="42">
        <f t="shared" si="4"/>
        <v>0</v>
      </c>
      <c r="AL104" s="42">
        <f t="shared" si="4"/>
        <v>0</v>
      </c>
      <c r="AM104" s="42">
        <f t="shared" si="4"/>
        <v>0</v>
      </c>
      <c r="AN104" s="42">
        <f t="shared" si="4"/>
        <v>0</v>
      </c>
      <c r="AO104" s="42">
        <f t="shared" si="4"/>
        <v>0</v>
      </c>
      <c r="AP104" s="42">
        <f t="shared" si="4"/>
        <v>0</v>
      </c>
      <c r="AQ104" s="42">
        <f t="shared" si="4"/>
        <v>0</v>
      </c>
      <c r="AR104" s="42">
        <f t="shared" si="4"/>
        <v>0</v>
      </c>
      <c r="AS104" s="42">
        <f t="shared" si="4"/>
        <v>0</v>
      </c>
      <c r="AT104" s="42">
        <f t="shared" si="4"/>
        <v>0</v>
      </c>
      <c r="AU104" s="42">
        <f t="shared" si="4"/>
        <v>0</v>
      </c>
      <c r="AV104" s="42">
        <f t="shared" si="4"/>
        <v>0</v>
      </c>
      <c r="AW104" s="42">
        <f t="shared" si="4"/>
        <v>0</v>
      </c>
      <c r="AX104" s="42">
        <f t="shared" si="4"/>
        <v>0</v>
      </c>
      <c r="AY104" s="42">
        <f t="shared" si="4"/>
        <v>0</v>
      </c>
      <c r="AZ104" s="42">
        <f t="shared" si="4"/>
        <v>0</v>
      </c>
      <c r="BA104" s="42">
        <f t="shared" si="4"/>
        <v>0</v>
      </c>
      <c r="BB104" s="42">
        <f t="shared" si="4"/>
        <v>0</v>
      </c>
      <c r="BC104" s="42">
        <f t="shared" si="4"/>
        <v>0</v>
      </c>
      <c r="BD104" s="42">
        <f t="shared" si="4"/>
        <v>0</v>
      </c>
      <c r="BE104" s="42">
        <f t="shared" si="4"/>
        <v>0</v>
      </c>
      <c r="BF104" s="42">
        <f t="shared" si="4"/>
        <v>0</v>
      </c>
      <c r="BG104" s="42">
        <f t="shared" si="4"/>
        <v>0</v>
      </c>
      <c r="BH104" s="42">
        <f t="shared" si="4"/>
        <v>0</v>
      </c>
    </row>
    <row r="105" spans="1:64" ht="21" customHeight="1" x14ac:dyDescent="0.25">
      <c r="A105" s="32" t="s">
        <v>98</v>
      </c>
      <c r="B105" s="33">
        <f>+B103+B104</f>
        <v>11569225</v>
      </c>
      <c r="C105" s="33">
        <f t="shared" ref="C105:BH105" si="5">+C103+C104</f>
        <v>11569225</v>
      </c>
      <c r="D105" s="33">
        <f t="shared" si="5"/>
        <v>11569225</v>
      </c>
      <c r="E105" s="33">
        <f t="shared" si="5"/>
        <v>11569225</v>
      </c>
      <c r="F105" s="33">
        <f t="shared" si="5"/>
        <v>11569225</v>
      </c>
      <c r="G105" s="33">
        <f t="shared" si="5"/>
        <v>11569225</v>
      </c>
      <c r="H105" s="33">
        <f t="shared" si="5"/>
        <v>11569225</v>
      </c>
      <c r="I105" s="33">
        <f t="shared" si="5"/>
        <v>11569225</v>
      </c>
      <c r="J105" s="33">
        <f t="shared" si="5"/>
        <v>11569225</v>
      </c>
      <c r="K105" s="33">
        <f t="shared" si="5"/>
        <v>11569225</v>
      </c>
      <c r="L105" s="33">
        <f t="shared" si="5"/>
        <v>11569225</v>
      </c>
      <c r="M105" s="33">
        <f t="shared" si="5"/>
        <v>11569225</v>
      </c>
      <c r="N105" s="33">
        <f t="shared" si="5"/>
        <v>11569225</v>
      </c>
      <c r="O105" s="33">
        <f t="shared" si="5"/>
        <v>11569225</v>
      </c>
      <c r="P105" s="33">
        <f t="shared" si="5"/>
        <v>11569225</v>
      </c>
      <c r="Q105" s="33">
        <f t="shared" si="5"/>
        <v>11569225</v>
      </c>
      <c r="R105" s="33">
        <f t="shared" si="5"/>
        <v>11569225</v>
      </c>
      <c r="S105" s="33">
        <f t="shared" si="5"/>
        <v>11569225</v>
      </c>
      <c r="T105" s="33">
        <f t="shared" si="5"/>
        <v>11569225</v>
      </c>
      <c r="U105" s="33">
        <f t="shared" si="5"/>
        <v>11569225</v>
      </c>
      <c r="V105" s="33">
        <f t="shared" si="5"/>
        <v>11569225</v>
      </c>
      <c r="W105" s="33">
        <f t="shared" si="5"/>
        <v>11569225</v>
      </c>
      <c r="X105" s="33">
        <f t="shared" si="5"/>
        <v>11569225</v>
      </c>
      <c r="Y105" s="33">
        <f t="shared" si="5"/>
        <v>11569225</v>
      </c>
      <c r="Z105" s="33">
        <f t="shared" si="5"/>
        <v>11569225</v>
      </c>
      <c r="AA105" s="33">
        <f t="shared" si="5"/>
        <v>11569225</v>
      </c>
      <c r="AB105" s="33">
        <f t="shared" si="5"/>
        <v>11569225</v>
      </c>
      <c r="AC105" s="33">
        <f t="shared" si="5"/>
        <v>11569225</v>
      </c>
      <c r="AD105" s="33">
        <f t="shared" si="5"/>
        <v>11569225</v>
      </c>
      <c r="AE105" s="33">
        <f t="shared" si="5"/>
        <v>11569225</v>
      </c>
      <c r="AF105" s="33">
        <f t="shared" si="5"/>
        <v>11569225</v>
      </c>
      <c r="AG105" s="33">
        <f t="shared" si="5"/>
        <v>11569225</v>
      </c>
      <c r="AH105" s="33">
        <f t="shared" si="5"/>
        <v>11569225</v>
      </c>
      <c r="AI105" s="33">
        <f t="shared" si="5"/>
        <v>11569225</v>
      </c>
      <c r="AJ105" s="33">
        <f t="shared" si="5"/>
        <v>11569225</v>
      </c>
      <c r="AK105" s="33">
        <f t="shared" si="5"/>
        <v>11569225</v>
      </c>
      <c r="AL105" s="33">
        <f t="shared" si="5"/>
        <v>11569225</v>
      </c>
      <c r="AM105" s="33">
        <f t="shared" si="5"/>
        <v>11569225</v>
      </c>
      <c r="AN105" s="33">
        <f t="shared" si="5"/>
        <v>11569225</v>
      </c>
      <c r="AO105" s="33">
        <f t="shared" si="5"/>
        <v>11569225</v>
      </c>
      <c r="AP105" s="33">
        <f t="shared" si="5"/>
        <v>11569225</v>
      </c>
      <c r="AQ105" s="33">
        <f t="shared" si="5"/>
        <v>11569225</v>
      </c>
      <c r="AR105" s="33">
        <f t="shared" si="5"/>
        <v>11569225</v>
      </c>
      <c r="AS105" s="33">
        <f t="shared" si="5"/>
        <v>11569225</v>
      </c>
      <c r="AT105" s="33">
        <f t="shared" si="5"/>
        <v>11569225</v>
      </c>
      <c r="AU105" s="33">
        <f t="shared" si="5"/>
        <v>11569225</v>
      </c>
      <c r="AV105" s="33">
        <f t="shared" si="5"/>
        <v>11569225</v>
      </c>
      <c r="AW105" s="33">
        <f t="shared" si="5"/>
        <v>11569225</v>
      </c>
      <c r="AX105" s="33">
        <f t="shared" si="5"/>
        <v>11569225</v>
      </c>
      <c r="AY105" s="33">
        <f t="shared" si="5"/>
        <v>11569225</v>
      </c>
      <c r="AZ105" s="33">
        <f t="shared" si="5"/>
        <v>11569225</v>
      </c>
      <c r="BA105" s="33">
        <f t="shared" si="5"/>
        <v>11569225</v>
      </c>
      <c r="BB105" s="33">
        <f t="shared" si="5"/>
        <v>11569225</v>
      </c>
      <c r="BC105" s="33">
        <f t="shared" si="5"/>
        <v>11569225</v>
      </c>
      <c r="BD105" s="33">
        <f t="shared" si="5"/>
        <v>11569225</v>
      </c>
      <c r="BE105" s="33">
        <f t="shared" si="5"/>
        <v>11569225</v>
      </c>
      <c r="BF105" s="33">
        <f t="shared" si="5"/>
        <v>11569225</v>
      </c>
      <c r="BG105" s="33">
        <f t="shared" si="5"/>
        <v>11569225</v>
      </c>
      <c r="BH105" s="33">
        <f t="shared" si="5"/>
        <v>11569225</v>
      </c>
    </row>
    <row r="106" spans="1:64" ht="24" customHeight="1" x14ac:dyDescent="0.25">
      <c r="A106" s="28" t="s">
        <v>99</v>
      </c>
      <c r="B106" s="43">
        <v>1</v>
      </c>
      <c r="C106" s="20">
        <f>+B195</f>
        <v>1.00035744016964</v>
      </c>
      <c r="D106" s="20">
        <f t="shared" ref="D106:BH106" si="6">+C195</f>
        <v>1.0007133076374208</v>
      </c>
      <c r="E106" s="20">
        <f t="shared" si="6"/>
        <v>1.0010693017016055</v>
      </c>
      <c r="F106" s="20">
        <f t="shared" si="6"/>
        <v>1.0014254224072296</v>
      </c>
      <c r="G106" s="20">
        <f t="shared" si="6"/>
        <v>1.0017816697993447</v>
      </c>
      <c r="H106" s="20">
        <f t="shared" si="6"/>
        <v>1.0021380439230181</v>
      </c>
      <c r="I106" s="20">
        <f t="shared" si="6"/>
        <v>1.0024945448233333</v>
      </c>
      <c r="J106" s="20">
        <f t="shared" si="6"/>
        <v>1.0028511725453901</v>
      </c>
      <c r="K106" s="20">
        <f t="shared" si="6"/>
        <v>1.0032079271343042</v>
      </c>
      <c r="L106" s="20">
        <f t="shared" si="6"/>
        <v>1.0035648086352067</v>
      </c>
      <c r="M106" s="20">
        <f t="shared" si="6"/>
        <v>1.0039218170932458</v>
      </c>
      <c r="N106" s="20">
        <f t="shared" si="6"/>
        <v>1.0042789525535849</v>
      </c>
      <c r="O106" s="20">
        <f t="shared" si="6"/>
        <v>1.0046362150614041</v>
      </c>
      <c r="P106" s="20">
        <f t="shared" si="6"/>
        <v>1.0049936046618995</v>
      </c>
      <c r="Q106" s="20">
        <f t="shared" si="6"/>
        <v>1.0053511214002826</v>
      </c>
      <c r="R106" s="20">
        <f t="shared" si="6"/>
        <v>1.005708765321782</v>
      </c>
      <c r="S106" s="20">
        <f t="shared" si="6"/>
        <v>1.0060665364716415</v>
      </c>
      <c r="T106" s="20">
        <f t="shared" si="6"/>
        <v>1.0064244348951212</v>
      </c>
      <c r="U106" s="20">
        <f t="shared" si="6"/>
        <v>1.006782460637498</v>
      </c>
      <c r="V106" s="20">
        <f t="shared" si="6"/>
        <v>1.0071406137440639</v>
      </c>
      <c r="W106" s="20">
        <f t="shared" si="6"/>
        <v>1.0074988942601277</v>
      </c>
      <c r="X106" s="20">
        <f t="shared" si="6"/>
        <v>1.007857302231014</v>
      </c>
      <c r="Y106" s="20">
        <f t="shared" si="6"/>
        <v>1.0082158377020636</v>
      </c>
      <c r="Z106" s="20">
        <f t="shared" si="6"/>
        <v>1.0085745007186335</v>
      </c>
      <c r="AA106" s="20">
        <f t="shared" si="6"/>
        <v>1.0089332913260969</v>
      </c>
      <c r="AB106" s="20">
        <f t="shared" si="6"/>
        <v>1.0092922095698429</v>
      </c>
      <c r="AC106" s="20">
        <f t="shared" si="6"/>
        <v>1.0096512554952768</v>
      </c>
      <c r="AD106" s="20">
        <f t="shared" si="6"/>
        <v>1.01001042914782</v>
      </c>
      <c r="AE106" s="20">
        <f t="shared" si="6"/>
        <v>1.0103697305729107</v>
      </c>
      <c r="AF106" s="20">
        <f t="shared" si="6"/>
        <v>1.0107291598160024</v>
      </c>
      <c r="AG106" s="20">
        <f t="shared" si="6"/>
        <v>1.0110887169225651</v>
      </c>
      <c r="AH106" s="20">
        <f t="shared" si="6"/>
        <v>1.0114484019380849</v>
      </c>
      <c r="AI106" s="20">
        <f t="shared" si="6"/>
        <v>1.0118082149080645</v>
      </c>
      <c r="AJ106" s="20">
        <f t="shared" si="6"/>
        <v>1.0121681558780222</v>
      </c>
      <c r="AK106" s="20">
        <f t="shared" si="6"/>
        <v>1.012528224893493</v>
      </c>
      <c r="AL106" s="20">
        <f t="shared" si="6"/>
        <v>1.0128884220000274</v>
      </c>
      <c r="AM106" s="20">
        <f t="shared" si="6"/>
        <v>1.0132487472431928</v>
      </c>
      <c r="AN106" s="20">
        <f t="shared" si="6"/>
        <v>1.0136092006685729</v>
      </c>
      <c r="AO106" s="20">
        <f t="shared" si="6"/>
        <v>1.0139697823217666</v>
      </c>
      <c r="AP106" s="20">
        <f t="shared" si="6"/>
        <v>1.0143304922483904</v>
      </c>
      <c r="AQ106" s="20">
        <f t="shared" si="6"/>
        <v>1.0146913304940757</v>
      </c>
      <c r="AR106" s="20">
        <f t="shared" si="6"/>
        <v>1.0150522971044713</v>
      </c>
      <c r="AS106" s="20">
        <f t="shared" si="6"/>
        <v>1.0154133921252413</v>
      </c>
      <c r="AT106" s="20">
        <f t="shared" si="6"/>
        <v>1.0157746156020666</v>
      </c>
      <c r="AU106" s="20">
        <f t="shared" si="6"/>
        <v>1.0161359675806445</v>
      </c>
      <c r="AV106" s="20">
        <f t="shared" si="6"/>
        <v>1.0164974481066875</v>
      </c>
      <c r="AW106" s="20">
        <f t="shared" si="6"/>
        <v>1.016859057225926</v>
      </c>
      <c r="AX106" s="20">
        <f t="shared" si="6"/>
        <v>1.0172207949841052</v>
      </c>
      <c r="AY106" s="20">
        <f t="shared" si="6"/>
        <v>1.0175826614269874</v>
      </c>
      <c r="AZ106" s="20">
        <f t="shared" si="6"/>
        <v>1.0179446566003507</v>
      </c>
      <c r="BA106" s="20">
        <f t="shared" si="6"/>
        <v>1.0183067805499899</v>
      </c>
      <c r="BB106" s="20">
        <f t="shared" si="6"/>
        <v>1.0186690333217161</v>
      </c>
      <c r="BC106" s="20">
        <f t="shared" si="6"/>
        <v>1.0190314149613562</v>
      </c>
      <c r="BD106" s="20">
        <f t="shared" si="6"/>
        <v>1.0193939255147537</v>
      </c>
      <c r="BE106" s="20">
        <f t="shared" si="6"/>
        <v>1.0197565650277687</v>
      </c>
      <c r="BF106" s="20">
        <f t="shared" si="6"/>
        <v>1.020119333546277</v>
      </c>
      <c r="BG106" s="20">
        <f t="shared" si="6"/>
        <v>1.0204822311161714</v>
      </c>
      <c r="BH106" s="20">
        <f t="shared" si="6"/>
        <v>1.0208452577833604</v>
      </c>
    </row>
    <row r="107" spans="1:64" s="45" customFormat="1" ht="24" customHeight="1" x14ac:dyDescent="0.25">
      <c r="A107" s="44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</row>
    <row r="108" spans="1:64" s="45" customFormat="1" ht="24" customHeight="1" x14ac:dyDescent="0.25">
      <c r="A108" s="28" t="s">
        <v>283</v>
      </c>
      <c r="B108" s="46">
        <v>0.12984521384469977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</row>
    <row r="109" spans="1:64" s="45" customFormat="1" ht="24" customHeight="1" x14ac:dyDescent="0.25">
      <c r="A109" s="47" t="s">
        <v>275</v>
      </c>
      <c r="B109" s="48">
        <f>+B108/365</f>
        <v>3.5574031190328706E-4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</row>
    <row r="110" spans="1:64" s="45" customFormat="1" ht="24" customHeight="1" x14ac:dyDescent="0.25">
      <c r="A110" s="47" t="s">
        <v>274</v>
      </c>
      <c r="B110" s="49">
        <f>+$B$109*B$100</f>
        <v>4115.646703493434</v>
      </c>
      <c r="C110" s="49">
        <f>+$B$109*C$100</f>
        <v>4117.1108049354189</v>
      </c>
      <c r="D110" s="49">
        <f t="shared" ref="D110:BH110" si="7">+$B$109*D$100</f>
        <v>4118.5754272173072</v>
      </c>
      <c r="E110" s="49">
        <f t="shared" si="7"/>
        <v>4120.040570524382</v>
      </c>
      <c r="F110" s="49">
        <f t="shared" si="7"/>
        <v>4121.5062350419948</v>
      </c>
      <c r="G110" s="49">
        <f t="shared" si="7"/>
        <v>4122.9724209555598</v>
      </c>
      <c r="H110" s="49">
        <f t="shared" si="7"/>
        <v>4124.4391284505591</v>
      </c>
      <c r="I110" s="49">
        <f t="shared" si="7"/>
        <v>4125.9063577125407</v>
      </c>
      <c r="J110" s="49">
        <f t="shared" si="7"/>
        <v>4127.374108927117</v>
      </c>
      <c r="K110" s="49">
        <f t="shared" si="7"/>
        <v>4128.8423822799687</v>
      </c>
      <c r="L110" s="49">
        <f t="shared" si="7"/>
        <v>4130.3111779568399</v>
      </c>
      <c r="M110" s="49">
        <f t="shared" si="7"/>
        <v>4131.780496143544</v>
      </c>
      <c r="N110" s="49">
        <f t="shared" si="7"/>
        <v>4133.2503370259574</v>
      </c>
      <c r="O110" s="49">
        <f t="shared" si="7"/>
        <v>4134.7207007900251</v>
      </c>
      <c r="P110" s="49">
        <f t="shared" si="7"/>
        <v>4136.1915876217572</v>
      </c>
      <c r="Q110" s="49">
        <f t="shared" si="7"/>
        <v>4137.6629977072289</v>
      </c>
      <c r="R110" s="49">
        <f t="shared" si="7"/>
        <v>4139.1349312325847</v>
      </c>
      <c r="S110" s="49">
        <f t="shared" si="7"/>
        <v>4140.6073883840309</v>
      </c>
      <c r="T110" s="49">
        <f t="shared" si="7"/>
        <v>4142.0803693478438</v>
      </c>
      <c r="U110" s="49">
        <f t="shared" si="7"/>
        <v>4143.5538743103643</v>
      </c>
      <c r="V110" s="49">
        <f t="shared" si="7"/>
        <v>4145.0279034579999</v>
      </c>
      <c r="W110" s="49">
        <f t="shared" si="7"/>
        <v>4146.5024569772231</v>
      </c>
      <c r="X110" s="49">
        <f t="shared" si="7"/>
        <v>4147.9775350545769</v>
      </c>
      <c r="Y110" s="49">
        <f t="shared" si="7"/>
        <v>4149.4531378766642</v>
      </c>
      <c r="Z110" s="49">
        <f t="shared" si="7"/>
        <v>4150.9292656301604</v>
      </c>
      <c r="AA110" s="49">
        <f t="shared" si="7"/>
        <v>4152.4059185018041</v>
      </c>
      <c r="AB110" s="49">
        <f t="shared" si="7"/>
        <v>4153.8830966784008</v>
      </c>
      <c r="AC110" s="49">
        <f t="shared" si="7"/>
        <v>4155.3608003468235</v>
      </c>
      <c r="AD110" s="49">
        <f t="shared" si="7"/>
        <v>4156.8390296940088</v>
      </c>
      <c r="AE110" s="49">
        <f t="shared" si="7"/>
        <v>4158.3177849069643</v>
      </c>
      <c r="AF110" s="49">
        <f t="shared" si="7"/>
        <v>4159.7970661727604</v>
      </c>
      <c r="AG110" s="49">
        <f t="shared" si="7"/>
        <v>4161.2768736785347</v>
      </c>
      <c r="AH110" s="49">
        <f t="shared" si="7"/>
        <v>4162.757207611493</v>
      </c>
      <c r="AI110" s="49">
        <f t="shared" si="7"/>
        <v>4164.2380681589066</v>
      </c>
      <c r="AJ110" s="49">
        <f t="shared" si="7"/>
        <v>4165.7194555081132</v>
      </c>
      <c r="AK110" s="49">
        <f t="shared" si="7"/>
        <v>4167.2013698465171</v>
      </c>
      <c r="AL110" s="49">
        <f t="shared" si="7"/>
        <v>4168.6838113615895</v>
      </c>
      <c r="AM110" s="49">
        <f t="shared" si="7"/>
        <v>4170.1667802408701</v>
      </c>
      <c r="AN110" s="49">
        <f t="shared" si="7"/>
        <v>4171.6502766719614</v>
      </c>
      <c r="AO110" s="49">
        <f t="shared" si="7"/>
        <v>4173.1343008425365</v>
      </c>
      <c r="AP110" s="49">
        <f t="shared" si="7"/>
        <v>4174.6188529403325</v>
      </c>
      <c r="AQ110" s="49">
        <f t="shared" si="7"/>
        <v>4176.1039331531538</v>
      </c>
      <c r="AR110" s="49">
        <f t="shared" si="7"/>
        <v>4177.5895416688745</v>
      </c>
      <c r="AS110" s="49">
        <f t="shared" si="7"/>
        <v>4179.0756786754318</v>
      </c>
      <c r="AT110" s="49">
        <f t="shared" si="7"/>
        <v>4180.562344360831</v>
      </c>
      <c r="AU110" s="49">
        <f t="shared" si="7"/>
        <v>4182.0495389131447</v>
      </c>
      <c r="AV110" s="49">
        <f t="shared" si="7"/>
        <v>4183.5372625205127</v>
      </c>
      <c r="AW110" s="49">
        <f t="shared" si="7"/>
        <v>4185.0255153711405</v>
      </c>
      <c r="AX110" s="49">
        <f t="shared" si="7"/>
        <v>4186.5142976533025</v>
      </c>
      <c r="AY110" s="49">
        <f t="shared" si="7"/>
        <v>4188.0036095553369</v>
      </c>
      <c r="AZ110" s="49">
        <f t="shared" si="7"/>
        <v>4189.4934512656519</v>
      </c>
      <c r="BA110" s="49">
        <f t="shared" si="7"/>
        <v>4190.983822972722</v>
      </c>
      <c r="BB110" s="49">
        <f t="shared" si="7"/>
        <v>4192.4747248650883</v>
      </c>
      <c r="BC110" s="49">
        <f t="shared" si="7"/>
        <v>4193.9661571313582</v>
      </c>
      <c r="BD110" s="49">
        <f t="shared" si="7"/>
        <v>4195.458119960208</v>
      </c>
      <c r="BE110" s="49">
        <f t="shared" si="7"/>
        <v>4196.9506135403799</v>
      </c>
      <c r="BF110" s="49">
        <f t="shared" si="7"/>
        <v>4198.443638060683</v>
      </c>
      <c r="BG110" s="49">
        <f t="shared" si="7"/>
        <v>4199.937193709995</v>
      </c>
      <c r="BH110" s="49">
        <f t="shared" si="7"/>
        <v>4201.4312806772596</v>
      </c>
      <c r="BJ110" s="22">
        <f>SUM(B110:BI110)</f>
        <v>245345.24971627179</v>
      </c>
      <c r="BL110" s="22">
        <f>+BJ110-BJ192</f>
        <v>-4.1536986827850342E-7</v>
      </c>
    </row>
    <row r="111" spans="1:64" s="45" customFormat="1" ht="24" hidden="1" customHeight="1" outlineLevel="1" x14ac:dyDescent="0.25">
      <c r="A111" s="47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J111" s="22"/>
      <c r="BL111" s="22"/>
    </row>
    <row r="112" spans="1:64" ht="20.100000000000001" hidden="1" customHeight="1" outlineLevel="1" x14ac:dyDescent="0.25">
      <c r="A112" s="59" t="s">
        <v>137</v>
      </c>
      <c r="B112" s="50">
        <v>0</v>
      </c>
      <c r="C112" s="50">
        <v>0</v>
      </c>
      <c r="D112" s="50">
        <v>0</v>
      </c>
      <c r="E112" s="50">
        <v>0</v>
      </c>
      <c r="F112" s="50">
        <v>0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19.631506999999999</v>
      </c>
      <c r="V112" s="50">
        <v>19.631506999999999</v>
      </c>
      <c r="W112" s="50">
        <v>19.631506999999999</v>
      </c>
      <c r="X112" s="50">
        <v>19.631506999999999</v>
      </c>
      <c r="Y112" s="50">
        <v>19.631506999999999</v>
      </c>
      <c r="Z112" s="50">
        <v>19.631506999999999</v>
      </c>
      <c r="AA112" s="50">
        <v>19.631506999999999</v>
      </c>
      <c r="AB112" s="50">
        <v>19.631506999999999</v>
      </c>
      <c r="AC112" s="50">
        <v>19.631506999999999</v>
      </c>
      <c r="AD112" s="50">
        <v>19.631506999999999</v>
      </c>
      <c r="AE112" s="50">
        <v>19.631506999999999</v>
      </c>
      <c r="AF112" s="50">
        <v>19.631506999999999</v>
      </c>
      <c r="AG112" s="50">
        <v>19.631506999999999</v>
      </c>
      <c r="AH112" s="50">
        <v>19.631506999999999</v>
      </c>
      <c r="AI112" s="50">
        <v>19.631506999999999</v>
      </c>
      <c r="AJ112" s="50">
        <v>19.631506999999999</v>
      </c>
      <c r="AK112" s="50">
        <v>19.631506999999999</v>
      </c>
      <c r="AL112" s="50">
        <v>19.631506999999999</v>
      </c>
      <c r="AM112" s="50">
        <v>19.631506999999999</v>
      </c>
      <c r="AN112" s="50">
        <v>19.631506999999999</v>
      </c>
      <c r="AO112" s="50">
        <v>19.631506999999999</v>
      </c>
      <c r="AP112" s="50">
        <v>19.631506999999999</v>
      </c>
      <c r="AQ112" s="50">
        <v>19.631506999999999</v>
      </c>
      <c r="AR112" s="50">
        <v>19.631506999999999</v>
      </c>
      <c r="AS112" s="50">
        <v>19.631506999999999</v>
      </c>
      <c r="AT112" s="50">
        <v>19.631506999999999</v>
      </c>
      <c r="AU112" s="50">
        <v>19.631506999999999</v>
      </c>
      <c r="AV112" s="50">
        <v>19.631506999999999</v>
      </c>
      <c r="AW112" s="50">
        <v>19.631506999999999</v>
      </c>
      <c r="AX112" s="50">
        <v>19.631506999999999</v>
      </c>
      <c r="AY112" s="50">
        <v>19.631506999999999</v>
      </c>
      <c r="AZ112" s="50">
        <v>19.631506999999999</v>
      </c>
      <c r="BA112" s="50">
        <v>19.631506999999999</v>
      </c>
      <c r="BB112" s="50">
        <v>19.631506999999999</v>
      </c>
      <c r="BC112" s="50">
        <v>19.631506999999999</v>
      </c>
      <c r="BD112" s="50">
        <v>19.631506999999999</v>
      </c>
      <c r="BE112" s="50">
        <v>19.631506999999999</v>
      </c>
      <c r="BF112" s="50">
        <v>19.631506999999999</v>
      </c>
      <c r="BG112" s="50">
        <v>19.631506999999999</v>
      </c>
      <c r="BH112" s="50">
        <v>19.631506999999999</v>
      </c>
      <c r="BI112" s="50"/>
      <c r="BJ112" s="50"/>
    </row>
    <row r="113" spans="1:62" ht="20.100000000000001" hidden="1" customHeight="1" outlineLevel="1" x14ac:dyDescent="0.25">
      <c r="A113" s="59" t="s">
        <v>138</v>
      </c>
      <c r="B113" s="50">
        <v>0</v>
      </c>
      <c r="C113" s="50">
        <v>0</v>
      </c>
      <c r="D113" s="50">
        <v>0</v>
      </c>
      <c r="E113" s="50">
        <v>0</v>
      </c>
      <c r="F113" s="50">
        <v>0</v>
      </c>
      <c r="G113" s="50">
        <v>0</v>
      </c>
      <c r="H113" s="50"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12.328766999999999</v>
      </c>
      <c r="O113" s="50">
        <v>12.328766999999999</v>
      </c>
      <c r="P113" s="50">
        <v>12.328766999999999</v>
      </c>
      <c r="Q113" s="50">
        <v>12.328766999999999</v>
      </c>
      <c r="R113" s="50">
        <v>12.328766999999999</v>
      </c>
      <c r="S113" s="50">
        <v>12.328766999999999</v>
      </c>
      <c r="T113" s="50">
        <v>12.328766999999999</v>
      </c>
      <c r="U113" s="50">
        <v>12.328766999999999</v>
      </c>
      <c r="V113" s="50">
        <v>12.328766999999999</v>
      </c>
      <c r="W113" s="50">
        <v>12.328766999999999</v>
      </c>
      <c r="X113" s="50">
        <v>12.328766999999999</v>
      </c>
      <c r="Y113" s="50">
        <v>12.328766999999999</v>
      </c>
      <c r="Z113" s="50">
        <v>12.328766999999999</v>
      </c>
      <c r="AA113" s="50">
        <v>12.328766999999999</v>
      </c>
      <c r="AB113" s="50">
        <v>12.328766999999999</v>
      </c>
      <c r="AC113" s="50">
        <v>12.328766999999999</v>
      </c>
      <c r="AD113" s="50">
        <v>12.328766999999999</v>
      </c>
      <c r="AE113" s="50">
        <v>12.328766999999999</v>
      </c>
      <c r="AF113" s="50">
        <v>12.328766999999999</v>
      </c>
      <c r="AG113" s="50">
        <v>12.328766999999999</v>
      </c>
      <c r="AH113" s="50">
        <v>12.328766999999999</v>
      </c>
      <c r="AI113" s="50">
        <v>12.328766999999999</v>
      </c>
      <c r="AJ113" s="50">
        <v>12.328766999999999</v>
      </c>
      <c r="AK113" s="50">
        <v>12.328766999999999</v>
      </c>
      <c r="AL113" s="50">
        <v>12.328766999999999</v>
      </c>
      <c r="AM113" s="50">
        <v>12.328766999999999</v>
      </c>
      <c r="AN113" s="50">
        <v>12.328766999999999</v>
      </c>
      <c r="AO113" s="50">
        <v>12.328766999999999</v>
      </c>
      <c r="AP113" s="50">
        <v>12.328766999999999</v>
      </c>
      <c r="AQ113" s="50">
        <v>12.328766999999999</v>
      </c>
      <c r="AR113" s="50">
        <v>12.328766999999999</v>
      </c>
      <c r="AS113" s="50">
        <v>12.328766999999999</v>
      </c>
      <c r="AT113" s="50">
        <v>12.328766999999999</v>
      </c>
      <c r="AU113" s="50">
        <v>12.328766999999999</v>
      </c>
      <c r="AV113" s="50">
        <v>12.328766999999999</v>
      </c>
      <c r="AW113" s="50">
        <v>12.328766999999999</v>
      </c>
      <c r="AX113" s="50">
        <v>12.328766999999999</v>
      </c>
      <c r="AY113" s="50">
        <v>12.328766999999999</v>
      </c>
      <c r="AZ113" s="50">
        <v>12.328766999999999</v>
      </c>
      <c r="BA113" s="50">
        <v>12.328766999999999</v>
      </c>
      <c r="BB113" s="50">
        <v>12.328766999999999</v>
      </c>
      <c r="BC113" s="50">
        <v>12.328766999999999</v>
      </c>
      <c r="BD113" s="50">
        <v>12.328766999999999</v>
      </c>
      <c r="BE113" s="50">
        <v>12.328766999999999</v>
      </c>
      <c r="BF113" s="50">
        <v>12.328766999999999</v>
      </c>
      <c r="BG113" s="50">
        <v>12.328766999999999</v>
      </c>
      <c r="BH113" s="50">
        <v>12.328766999999999</v>
      </c>
      <c r="BI113" s="50"/>
      <c r="BJ113" s="50"/>
    </row>
    <row r="114" spans="1:62" ht="20.100000000000001" hidden="1" customHeight="1" outlineLevel="1" x14ac:dyDescent="0.25">
      <c r="A114" s="59" t="s">
        <v>139</v>
      </c>
      <c r="B114" s="50">
        <v>24.164383999999998</v>
      </c>
      <c r="C114" s="50">
        <v>24.164383999999998</v>
      </c>
      <c r="D114" s="50">
        <v>24.164383999999998</v>
      </c>
      <c r="E114" s="50">
        <v>24.164383999999998</v>
      </c>
      <c r="F114" s="50">
        <v>24.164383999999998</v>
      </c>
      <c r="G114" s="50">
        <v>24.164383999999998</v>
      </c>
      <c r="H114" s="50">
        <v>24.164383999999998</v>
      </c>
      <c r="I114" s="50">
        <v>24.164383999999998</v>
      </c>
      <c r="J114" s="50">
        <v>24.164383999999998</v>
      </c>
      <c r="K114" s="50">
        <v>24.164383999999998</v>
      </c>
      <c r="L114" s="50">
        <v>24.164383999999998</v>
      </c>
      <c r="M114" s="50">
        <v>24.164383999999998</v>
      </c>
      <c r="N114" s="50">
        <v>24.164383999999998</v>
      </c>
      <c r="O114" s="50">
        <v>24.164383999999998</v>
      </c>
      <c r="P114" s="50">
        <v>24.164383999999998</v>
      </c>
      <c r="Q114" s="50">
        <v>24.164383999999998</v>
      </c>
      <c r="R114" s="50">
        <v>24.164383999999998</v>
      </c>
      <c r="S114" s="50">
        <v>24.164383999999998</v>
      </c>
      <c r="T114" s="50">
        <v>24.164383999999998</v>
      </c>
      <c r="U114" s="50">
        <v>24.164383999999998</v>
      </c>
      <c r="V114" s="50">
        <v>24.164383999999998</v>
      </c>
      <c r="W114" s="50">
        <v>24.164383999999998</v>
      </c>
      <c r="X114" s="50">
        <v>24.164383999999998</v>
      </c>
      <c r="Y114" s="50">
        <v>24.164383999999998</v>
      </c>
      <c r="Z114" s="50">
        <v>24.164383999999998</v>
      </c>
      <c r="AA114" s="50">
        <v>24.164383999999998</v>
      </c>
      <c r="AB114" s="50">
        <v>24.164383999999998</v>
      </c>
      <c r="AC114" s="50">
        <v>24.164383999999998</v>
      </c>
      <c r="AD114" s="50">
        <v>24.164383999999998</v>
      </c>
      <c r="AE114" s="50">
        <v>24.164383999999998</v>
      </c>
      <c r="AF114" s="50">
        <v>24.164383999999998</v>
      </c>
      <c r="AG114" s="50">
        <v>24.164383999999998</v>
      </c>
      <c r="AH114" s="50">
        <v>24.164383999999998</v>
      </c>
      <c r="AI114" s="50">
        <v>24.164383999999998</v>
      </c>
      <c r="AJ114" s="50">
        <v>24.164383999999998</v>
      </c>
      <c r="AK114" s="50">
        <v>24.164383999999998</v>
      </c>
      <c r="AL114" s="50">
        <v>24.164383999999998</v>
      </c>
      <c r="AM114" s="50">
        <v>24.164383999999998</v>
      </c>
      <c r="AN114" s="50">
        <v>24.164383999999998</v>
      </c>
      <c r="AO114" s="50">
        <v>24.164383999999998</v>
      </c>
      <c r="AP114" s="50">
        <v>24.164383999999998</v>
      </c>
      <c r="AQ114" s="50">
        <v>24.164383999999998</v>
      </c>
      <c r="AR114" s="50">
        <v>24.164383999999998</v>
      </c>
      <c r="AS114" s="50">
        <v>24.164383999999998</v>
      </c>
      <c r="AT114" s="50">
        <v>24.164383999999998</v>
      </c>
      <c r="AU114" s="50">
        <v>24.164383999999998</v>
      </c>
      <c r="AV114" s="50">
        <v>24.164383999999998</v>
      </c>
      <c r="AW114" s="50">
        <v>24.164383999999998</v>
      </c>
      <c r="AX114" s="50">
        <v>24.164383999999998</v>
      </c>
      <c r="AY114" s="50">
        <v>24.164383999999998</v>
      </c>
      <c r="AZ114" s="50">
        <v>24.164383999999998</v>
      </c>
      <c r="BA114" s="50">
        <v>24.164383999999998</v>
      </c>
      <c r="BB114" s="50">
        <v>24.164383999999998</v>
      </c>
      <c r="BC114" s="50">
        <v>24.164383999999998</v>
      </c>
      <c r="BD114" s="50">
        <v>24.164383999999998</v>
      </c>
      <c r="BE114" s="50">
        <v>24.164383999999998</v>
      </c>
      <c r="BF114" s="50">
        <v>24.164383999999998</v>
      </c>
      <c r="BG114" s="50">
        <v>24.164383999999998</v>
      </c>
      <c r="BH114" s="50">
        <v>24.164383999999998</v>
      </c>
      <c r="BI114" s="50"/>
      <c r="BJ114" s="50"/>
    </row>
    <row r="115" spans="1:62" ht="20.100000000000001" hidden="1" customHeight="1" outlineLevel="1" x14ac:dyDescent="0.25">
      <c r="A115" s="59" t="s">
        <v>141</v>
      </c>
      <c r="B115" s="50">
        <v>65.427048999999997</v>
      </c>
      <c r="C115" s="50">
        <v>65.427048999999997</v>
      </c>
      <c r="D115" s="50">
        <v>65.427048999999997</v>
      </c>
      <c r="E115" s="50">
        <v>65.427048999999997</v>
      </c>
      <c r="F115" s="50">
        <v>65.427048999999997</v>
      </c>
      <c r="G115" s="50">
        <v>65.427048999999997</v>
      </c>
      <c r="H115" s="50">
        <v>65.427048999999997</v>
      </c>
      <c r="I115" s="50">
        <v>65.427048999999997</v>
      </c>
      <c r="J115" s="50">
        <v>65.427048999999997</v>
      </c>
      <c r="K115" s="50">
        <v>65.427048999999997</v>
      </c>
      <c r="L115" s="50">
        <v>65.427048999999997</v>
      </c>
      <c r="M115" s="50">
        <v>65.427048999999997</v>
      </c>
      <c r="N115" s="50">
        <v>65.427048999999997</v>
      </c>
      <c r="O115" s="50">
        <v>65.427048999999997</v>
      </c>
      <c r="P115" s="50">
        <v>65.427048999999997</v>
      </c>
      <c r="Q115" s="50">
        <v>65.427048999999997</v>
      </c>
      <c r="R115" s="50">
        <v>65.427048999999997</v>
      </c>
      <c r="S115" s="50">
        <v>65.427048999999997</v>
      </c>
      <c r="T115" s="50">
        <v>65.427048999999997</v>
      </c>
      <c r="U115" s="50">
        <v>65.427048999999997</v>
      </c>
      <c r="V115" s="50">
        <v>65.427048999999997</v>
      </c>
      <c r="W115" s="50">
        <v>65.427048999999997</v>
      </c>
      <c r="X115" s="50">
        <v>65.427048999999997</v>
      </c>
      <c r="Y115" s="50">
        <v>65.427048999999997</v>
      </c>
      <c r="Z115" s="50">
        <v>65.427048999999997</v>
      </c>
      <c r="AA115" s="50">
        <v>65.427048999999997</v>
      </c>
      <c r="AB115" s="50">
        <v>65.427048999999997</v>
      </c>
      <c r="AC115" s="50">
        <v>65.427048999999997</v>
      </c>
      <c r="AD115" s="50">
        <v>65.427048999999997</v>
      </c>
      <c r="AE115" s="50">
        <v>65.427048999999997</v>
      </c>
      <c r="AF115" s="50">
        <v>65.427048999999997</v>
      </c>
      <c r="AG115" s="50">
        <v>65.427048999999997</v>
      </c>
      <c r="AH115" s="50">
        <v>65.427048999999997</v>
      </c>
      <c r="AI115" s="50">
        <v>65.427048999999997</v>
      </c>
      <c r="AJ115" s="50">
        <v>65.427048999999997</v>
      </c>
      <c r="AK115" s="50">
        <v>65.427048999999997</v>
      </c>
      <c r="AL115" s="50">
        <v>65.427048999999997</v>
      </c>
      <c r="AM115" s="50">
        <v>65.427048999999997</v>
      </c>
      <c r="AN115" s="50">
        <v>65.427048999999997</v>
      </c>
      <c r="AO115" s="50">
        <v>65.427048999999997</v>
      </c>
      <c r="AP115" s="50">
        <v>65.427048999999997</v>
      </c>
      <c r="AQ115" s="50">
        <v>65.427048999999997</v>
      </c>
      <c r="AR115" s="50">
        <v>65.427048999999997</v>
      </c>
      <c r="AS115" s="50">
        <v>65.427048999999997</v>
      </c>
      <c r="AT115" s="50">
        <v>65.427048999999997</v>
      </c>
      <c r="AU115" s="50">
        <v>65.427048999999997</v>
      </c>
      <c r="AV115" s="50">
        <v>65.427048999999997</v>
      </c>
      <c r="AW115" s="50">
        <v>65.427048999999997</v>
      </c>
      <c r="AX115" s="50">
        <v>65.427048999999997</v>
      </c>
      <c r="AY115" s="50">
        <v>65.427048999999997</v>
      </c>
      <c r="AZ115" s="50">
        <v>65.427048999999997</v>
      </c>
      <c r="BA115" s="50">
        <v>65.427048999999997</v>
      </c>
      <c r="BB115" s="50">
        <v>65.427048999999997</v>
      </c>
      <c r="BC115" s="50">
        <v>65.427048999999997</v>
      </c>
      <c r="BD115" s="50">
        <v>65.427048999999997</v>
      </c>
      <c r="BE115" s="50">
        <v>65.427048999999997</v>
      </c>
      <c r="BF115" s="50">
        <v>65.427048999999997</v>
      </c>
      <c r="BG115" s="50">
        <v>65.427048999999997</v>
      </c>
      <c r="BH115" s="50">
        <v>65.427048999999997</v>
      </c>
      <c r="BI115" s="50"/>
      <c r="BJ115" s="50"/>
    </row>
    <row r="116" spans="1:62" ht="20.100000000000001" hidden="1" customHeight="1" outlineLevel="1" x14ac:dyDescent="0.25">
      <c r="A116" s="59" t="s">
        <v>142</v>
      </c>
      <c r="B116" s="50">
        <v>37.390374000000001</v>
      </c>
      <c r="C116" s="50">
        <v>37.390374000000001</v>
      </c>
      <c r="D116" s="50">
        <v>37.390374000000001</v>
      </c>
      <c r="E116" s="50">
        <v>37.390374000000001</v>
      </c>
      <c r="F116" s="50">
        <v>37.390374000000001</v>
      </c>
      <c r="G116" s="50">
        <v>37.390374000000001</v>
      </c>
      <c r="H116" s="50">
        <v>37.390374000000001</v>
      </c>
      <c r="I116" s="50">
        <v>37.390374000000001</v>
      </c>
      <c r="J116" s="50">
        <v>37.390374000000001</v>
      </c>
      <c r="K116" s="50">
        <v>37.390374000000001</v>
      </c>
      <c r="L116" s="50">
        <v>37.390374000000001</v>
      </c>
      <c r="M116" s="50">
        <v>37.390374000000001</v>
      </c>
      <c r="N116" s="50">
        <v>37.390374000000001</v>
      </c>
      <c r="O116" s="50">
        <v>37.390374000000001</v>
      </c>
      <c r="P116" s="50">
        <v>37.390374000000001</v>
      </c>
      <c r="Q116" s="50">
        <v>37.390374000000001</v>
      </c>
      <c r="R116" s="50">
        <v>37.390374000000001</v>
      </c>
      <c r="S116" s="50">
        <v>37.390374000000001</v>
      </c>
      <c r="T116" s="50">
        <v>37.390374000000001</v>
      </c>
      <c r="U116" s="50">
        <v>37.390374000000001</v>
      </c>
      <c r="V116" s="50">
        <v>37.390374000000001</v>
      </c>
      <c r="W116" s="50">
        <v>37.390374000000001</v>
      </c>
      <c r="X116" s="50">
        <v>37.390374000000001</v>
      </c>
      <c r="Y116" s="50">
        <v>37.390374000000001</v>
      </c>
      <c r="Z116" s="50">
        <v>37.390374000000001</v>
      </c>
      <c r="AA116" s="50">
        <v>37.390374000000001</v>
      </c>
      <c r="AB116" s="50">
        <v>37.390374000000001</v>
      </c>
      <c r="AC116" s="50">
        <v>37.390374000000001</v>
      </c>
      <c r="AD116" s="50">
        <v>37.390374000000001</v>
      </c>
      <c r="AE116" s="50">
        <v>37.390374000000001</v>
      </c>
      <c r="AF116" s="50">
        <v>37.390374000000001</v>
      </c>
      <c r="AG116" s="50">
        <v>37.390374000000001</v>
      </c>
      <c r="AH116" s="50">
        <v>37.390374000000001</v>
      </c>
      <c r="AI116" s="50">
        <v>37.390374000000001</v>
      </c>
      <c r="AJ116" s="50">
        <v>37.390374000000001</v>
      </c>
      <c r="AK116" s="50">
        <v>37.390374000000001</v>
      </c>
      <c r="AL116" s="50">
        <v>37.390374000000001</v>
      </c>
      <c r="AM116" s="50">
        <v>37.390374000000001</v>
      </c>
      <c r="AN116" s="50">
        <v>37.390374000000001</v>
      </c>
      <c r="AO116" s="50">
        <v>37.390374000000001</v>
      </c>
      <c r="AP116" s="50">
        <v>37.390374000000001</v>
      </c>
      <c r="AQ116" s="50">
        <v>37.390374000000001</v>
      </c>
      <c r="AR116" s="50">
        <v>37.390374000000001</v>
      </c>
      <c r="AS116" s="50">
        <v>37.390374000000001</v>
      </c>
      <c r="AT116" s="50">
        <v>37.390374000000001</v>
      </c>
      <c r="AU116" s="50">
        <v>37.390374000000001</v>
      </c>
      <c r="AV116" s="50">
        <v>37.390374000000001</v>
      </c>
      <c r="AW116" s="50">
        <v>37.390374000000001</v>
      </c>
      <c r="AX116" s="50">
        <v>37.390374000000001</v>
      </c>
      <c r="AY116" s="50">
        <v>37.390374000000001</v>
      </c>
      <c r="AZ116" s="50">
        <v>37.390374000000001</v>
      </c>
      <c r="BA116" s="50">
        <v>37.390374000000001</v>
      </c>
      <c r="BB116" s="50">
        <v>37.390374000000001</v>
      </c>
      <c r="BC116" s="50">
        <v>37.390374000000001</v>
      </c>
      <c r="BD116" s="50">
        <v>37.390374000000001</v>
      </c>
      <c r="BE116" s="50">
        <v>37.390374000000001</v>
      </c>
      <c r="BF116" s="50">
        <v>37.390374000000001</v>
      </c>
      <c r="BG116" s="50">
        <v>37.390374000000001</v>
      </c>
      <c r="BH116" s="50">
        <v>37.390374000000001</v>
      </c>
      <c r="BI116" s="50"/>
      <c r="BJ116" s="50"/>
    </row>
    <row r="117" spans="1:62" ht="20.100000000000001" hidden="1" customHeight="1" outlineLevel="1" x14ac:dyDescent="0.25">
      <c r="A117" s="59" t="s">
        <v>143</v>
      </c>
      <c r="B117" s="50">
        <v>65.557862999999998</v>
      </c>
      <c r="C117" s="50">
        <v>65.557862999999998</v>
      </c>
      <c r="D117" s="50">
        <v>65.557862999999998</v>
      </c>
      <c r="E117" s="50">
        <v>65.557862999999998</v>
      </c>
      <c r="F117" s="50">
        <v>65.557862999999998</v>
      </c>
      <c r="G117" s="50">
        <v>65.557862999999998</v>
      </c>
      <c r="H117" s="50">
        <v>65.557862999999998</v>
      </c>
      <c r="I117" s="50">
        <v>65.557862999999998</v>
      </c>
      <c r="J117" s="50">
        <v>65.557862999999998</v>
      </c>
      <c r="K117" s="50">
        <v>65.557862999999998</v>
      </c>
      <c r="L117" s="50">
        <v>65.557862999999998</v>
      </c>
      <c r="M117" s="50">
        <v>65.557862999999998</v>
      </c>
      <c r="N117" s="50">
        <v>65.557862999999998</v>
      </c>
      <c r="O117" s="50">
        <v>65.557862999999998</v>
      </c>
      <c r="P117" s="50">
        <v>65.557862999999998</v>
      </c>
      <c r="Q117" s="50">
        <v>65.557862999999998</v>
      </c>
      <c r="R117" s="50">
        <v>65.557862999999998</v>
      </c>
      <c r="S117" s="50">
        <v>65.557862999999998</v>
      </c>
      <c r="T117" s="50">
        <v>65.557862999999998</v>
      </c>
      <c r="U117" s="50">
        <v>65.557862999999998</v>
      </c>
      <c r="V117" s="50">
        <v>65.557862999999998</v>
      </c>
      <c r="W117" s="50">
        <v>65.557862999999998</v>
      </c>
      <c r="X117" s="50">
        <v>65.557862999999998</v>
      </c>
      <c r="Y117" s="50">
        <v>65.557862999999998</v>
      </c>
      <c r="Z117" s="50">
        <v>65.557862999999998</v>
      </c>
      <c r="AA117" s="50">
        <v>65.557862999999998</v>
      </c>
      <c r="AB117" s="50">
        <v>65.557862999999998</v>
      </c>
      <c r="AC117" s="50">
        <v>65.557862999999998</v>
      </c>
      <c r="AD117" s="50">
        <v>65.557862999999998</v>
      </c>
      <c r="AE117" s="50">
        <v>65.557862999999998</v>
      </c>
      <c r="AF117" s="50">
        <v>65.557862999999998</v>
      </c>
      <c r="AG117" s="50">
        <v>65.557862999999998</v>
      </c>
      <c r="AH117" s="50">
        <v>65.557862999999998</v>
      </c>
      <c r="AI117" s="50">
        <v>65.557862999999998</v>
      </c>
      <c r="AJ117" s="50">
        <v>65.557862999999998</v>
      </c>
      <c r="AK117" s="50">
        <v>65.557862999999998</v>
      </c>
      <c r="AL117" s="50">
        <v>65.557862999999998</v>
      </c>
      <c r="AM117" s="50">
        <v>65.557862999999998</v>
      </c>
      <c r="AN117" s="50">
        <v>65.557862999999998</v>
      </c>
      <c r="AO117" s="50">
        <v>65.557862999999998</v>
      </c>
      <c r="AP117" s="50">
        <v>65.557862999999998</v>
      </c>
      <c r="AQ117" s="50">
        <v>65.557862999999998</v>
      </c>
      <c r="AR117" s="50">
        <v>65.557862999999998</v>
      </c>
      <c r="AS117" s="50">
        <v>65.557862999999998</v>
      </c>
      <c r="AT117" s="50">
        <v>65.557862999999998</v>
      </c>
      <c r="AU117" s="50">
        <v>65.557862999999998</v>
      </c>
      <c r="AV117" s="50">
        <v>65.557862999999998</v>
      </c>
      <c r="AW117" s="50">
        <v>65.557862999999998</v>
      </c>
      <c r="AX117" s="50">
        <v>65.557862999999998</v>
      </c>
      <c r="AY117" s="50">
        <v>65.557862999999998</v>
      </c>
      <c r="AZ117" s="50">
        <v>65.557862999999998</v>
      </c>
      <c r="BA117" s="50">
        <v>65.557862999999998</v>
      </c>
      <c r="BB117" s="50">
        <v>65.557862999999998</v>
      </c>
      <c r="BC117" s="50">
        <v>65.557862999999998</v>
      </c>
      <c r="BD117" s="50">
        <v>65.557862999999998</v>
      </c>
      <c r="BE117" s="50">
        <v>65.557862999999998</v>
      </c>
      <c r="BF117" s="50">
        <v>65.557862999999998</v>
      </c>
      <c r="BG117" s="50">
        <v>65.557862999999998</v>
      </c>
      <c r="BH117" s="50">
        <v>65.557862999999998</v>
      </c>
      <c r="BI117" s="50"/>
      <c r="BJ117" s="50"/>
    </row>
    <row r="118" spans="1:62" ht="20.100000000000001" hidden="1" customHeight="1" outlineLevel="1" x14ac:dyDescent="0.25">
      <c r="A118" s="59" t="s">
        <v>144</v>
      </c>
      <c r="B118" s="50">
        <v>54.794521000000003</v>
      </c>
      <c r="C118" s="50">
        <v>54.794521000000003</v>
      </c>
      <c r="D118" s="50">
        <v>54.794521000000003</v>
      </c>
      <c r="E118" s="50">
        <v>54.794521000000003</v>
      </c>
      <c r="F118" s="50">
        <v>54.794521000000003</v>
      </c>
      <c r="G118" s="50">
        <v>54.794521000000003</v>
      </c>
      <c r="H118" s="50">
        <v>54.794521000000003</v>
      </c>
      <c r="I118" s="50">
        <v>54.794521000000003</v>
      </c>
      <c r="J118" s="50">
        <v>54.794521000000003</v>
      </c>
      <c r="K118" s="50">
        <v>54.794521000000003</v>
      </c>
      <c r="L118" s="50">
        <v>54.794521000000003</v>
      </c>
      <c r="M118" s="50">
        <v>54.794521000000003</v>
      </c>
      <c r="N118" s="50">
        <v>54.794521000000003</v>
      </c>
      <c r="O118" s="50">
        <v>54.794521000000003</v>
      </c>
      <c r="P118" s="50">
        <v>54.794521000000003</v>
      </c>
      <c r="Q118" s="50">
        <v>54.794521000000003</v>
      </c>
      <c r="R118" s="50">
        <v>54.794521000000003</v>
      </c>
      <c r="S118" s="50">
        <v>54.794521000000003</v>
      </c>
      <c r="T118" s="50">
        <v>54.794521000000003</v>
      </c>
      <c r="U118" s="50">
        <v>54.794521000000003</v>
      </c>
      <c r="V118" s="50">
        <v>54.794521000000003</v>
      </c>
      <c r="W118" s="50">
        <v>54.794521000000003</v>
      </c>
      <c r="X118" s="50">
        <v>54.794521000000003</v>
      </c>
      <c r="Y118" s="50">
        <v>54.794521000000003</v>
      </c>
      <c r="Z118" s="50">
        <v>54.794521000000003</v>
      </c>
      <c r="AA118" s="50">
        <v>54.794521000000003</v>
      </c>
      <c r="AB118" s="50">
        <v>54.794521000000003</v>
      </c>
      <c r="AC118" s="50">
        <v>54.794521000000003</v>
      </c>
      <c r="AD118" s="50">
        <v>54.794521000000003</v>
      </c>
      <c r="AE118" s="50">
        <v>54.794521000000003</v>
      </c>
      <c r="AF118" s="50">
        <v>54.794521000000003</v>
      </c>
      <c r="AG118" s="50">
        <v>54.794521000000003</v>
      </c>
      <c r="AH118" s="50">
        <v>54.794521000000003</v>
      </c>
      <c r="AI118" s="50">
        <v>54.794521000000003</v>
      </c>
      <c r="AJ118" s="50">
        <v>54.794521000000003</v>
      </c>
      <c r="AK118" s="50">
        <v>54.794521000000003</v>
      </c>
      <c r="AL118" s="50">
        <v>54.794521000000003</v>
      </c>
      <c r="AM118" s="50">
        <v>54.794521000000003</v>
      </c>
      <c r="AN118" s="50">
        <v>54.794521000000003</v>
      </c>
      <c r="AO118" s="50">
        <v>54.794521000000003</v>
      </c>
      <c r="AP118" s="50">
        <v>54.794521000000003</v>
      </c>
      <c r="AQ118" s="50">
        <v>54.794521000000003</v>
      </c>
      <c r="AR118" s="50">
        <v>54.794521000000003</v>
      </c>
      <c r="AS118" s="50">
        <v>54.794521000000003</v>
      </c>
      <c r="AT118" s="50">
        <v>54.794521000000003</v>
      </c>
      <c r="AU118" s="50">
        <v>54.794521000000003</v>
      </c>
      <c r="AV118" s="50">
        <v>54.794521000000003</v>
      </c>
      <c r="AW118" s="50">
        <v>54.794521000000003</v>
      </c>
      <c r="AX118" s="50">
        <v>54.794521000000003</v>
      </c>
      <c r="AY118" s="50">
        <v>54.794521000000003</v>
      </c>
      <c r="AZ118" s="50">
        <v>54.794521000000003</v>
      </c>
      <c r="BA118" s="50">
        <v>54.794521000000003</v>
      </c>
      <c r="BB118" s="50">
        <v>54.794521000000003</v>
      </c>
      <c r="BC118" s="50">
        <v>54.794521000000003</v>
      </c>
      <c r="BD118" s="50">
        <v>54.794521000000003</v>
      </c>
      <c r="BE118" s="50">
        <v>54.794521000000003</v>
      </c>
      <c r="BF118" s="50">
        <v>54.794521000000003</v>
      </c>
      <c r="BG118" s="50">
        <v>54.794521000000003</v>
      </c>
      <c r="BH118" s="50">
        <v>54.794521000000003</v>
      </c>
      <c r="BI118" s="50"/>
      <c r="BJ118" s="50"/>
    </row>
    <row r="119" spans="1:62" ht="20.100000000000001" hidden="1" customHeight="1" outlineLevel="1" x14ac:dyDescent="0.25">
      <c r="A119" s="59" t="s">
        <v>145</v>
      </c>
      <c r="B119" s="50">
        <v>62.465752999999999</v>
      </c>
      <c r="C119" s="50">
        <v>62.465752999999999</v>
      </c>
      <c r="D119" s="50">
        <v>62.465752999999999</v>
      </c>
      <c r="E119" s="50">
        <v>62.465752999999999</v>
      </c>
      <c r="F119" s="50">
        <v>62.465752999999999</v>
      </c>
      <c r="G119" s="50">
        <v>62.465752999999999</v>
      </c>
      <c r="H119" s="50">
        <v>62.465752999999999</v>
      </c>
      <c r="I119" s="50">
        <v>62.465752999999999</v>
      </c>
      <c r="J119" s="50">
        <v>62.465752999999999</v>
      </c>
      <c r="K119" s="50">
        <v>62.465752999999999</v>
      </c>
      <c r="L119" s="50">
        <v>62.465752999999999</v>
      </c>
      <c r="M119" s="50">
        <v>62.465752999999999</v>
      </c>
      <c r="N119" s="50">
        <v>62.465752999999999</v>
      </c>
      <c r="O119" s="50">
        <v>62.465752999999999</v>
      </c>
      <c r="P119" s="50">
        <v>62.465752999999999</v>
      </c>
      <c r="Q119" s="50">
        <v>62.465752999999999</v>
      </c>
      <c r="R119" s="50">
        <v>62.465752999999999</v>
      </c>
      <c r="S119" s="50">
        <v>62.465752999999999</v>
      </c>
      <c r="T119" s="50">
        <v>62.465752999999999</v>
      </c>
      <c r="U119" s="50">
        <v>62.465752999999999</v>
      </c>
      <c r="V119" s="50">
        <v>62.465752999999999</v>
      </c>
      <c r="W119" s="50">
        <v>62.465752999999999</v>
      </c>
      <c r="X119" s="50">
        <v>62.465752999999999</v>
      </c>
      <c r="Y119" s="50">
        <v>62.465752999999999</v>
      </c>
      <c r="Z119" s="50">
        <v>62.465752999999999</v>
      </c>
      <c r="AA119" s="50">
        <v>62.465752999999999</v>
      </c>
      <c r="AB119" s="50">
        <v>62.465752999999999</v>
      </c>
      <c r="AC119" s="50">
        <v>62.465752999999999</v>
      </c>
      <c r="AD119" s="50">
        <v>62.465752999999999</v>
      </c>
      <c r="AE119" s="50">
        <v>62.465752999999999</v>
      </c>
      <c r="AF119" s="50">
        <v>62.465752999999999</v>
      </c>
      <c r="AG119" s="50">
        <v>62.465752999999999</v>
      </c>
      <c r="AH119" s="50">
        <v>62.465752999999999</v>
      </c>
      <c r="AI119" s="50">
        <v>62.465752999999999</v>
      </c>
      <c r="AJ119" s="50">
        <v>62.465752999999999</v>
      </c>
      <c r="AK119" s="50">
        <v>62.465752999999999</v>
      </c>
      <c r="AL119" s="50">
        <v>62.465752999999999</v>
      </c>
      <c r="AM119" s="50">
        <v>62.465752999999999</v>
      </c>
      <c r="AN119" s="50">
        <v>62.465752999999999</v>
      </c>
      <c r="AO119" s="50">
        <v>62.465752999999999</v>
      </c>
      <c r="AP119" s="50">
        <v>62.465752999999999</v>
      </c>
      <c r="AQ119" s="50">
        <v>62.465752999999999</v>
      </c>
      <c r="AR119" s="50">
        <v>62.465752999999999</v>
      </c>
      <c r="AS119" s="50">
        <v>62.465752999999999</v>
      </c>
      <c r="AT119" s="50">
        <v>62.465752999999999</v>
      </c>
      <c r="AU119" s="50">
        <v>62.465752999999999</v>
      </c>
      <c r="AV119" s="50">
        <v>62.465752999999999</v>
      </c>
      <c r="AW119" s="50">
        <v>62.465752999999999</v>
      </c>
      <c r="AX119" s="50">
        <v>62.465752999999999</v>
      </c>
      <c r="AY119" s="50">
        <v>62.465752999999999</v>
      </c>
      <c r="AZ119" s="50">
        <v>62.465752999999999</v>
      </c>
      <c r="BA119" s="50">
        <v>62.465752999999999</v>
      </c>
      <c r="BB119" s="50">
        <v>62.465752999999999</v>
      </c>
      <c r="BC119" s="50">
        <v>62.465752999999999</v>
      </c>
      <c r="BD119" s="50">
        <v>62.465752999999999</v>
      </c>
      <c r="BE119" s="50">
        <v>62.465752999999999</v>
      </c>
      <c r="BF119" s="50">
        <v>62.465752999999999</v>
      </c>
      <c r="BG119" s="50">
        <v>62.465752999999999</v>
      </c>
      <c r="BH119" s="50">
        <v>62.465752999999999</v>
      </c>
      <c r="BI119" s="50"/>
      <c r="BJ119" s="50"/>
    </row>
    <row r="120" spans="1:62" ht="20.100000000000001" hidden="1" customHeight="1" outlineLevel="1" x14ac:dyDescent="0.25">
      <c r="A120" s="59" t="s">
        <v>146</v>
      </c>
      <c r="B120" s="50">
        <v>44.246575</v>
      </c>
      <c r="C120" s="50">
        <v>44.246575</v>
      </c>
      <c r="D120" s="50">
        <v>44.246575</v>
      </c>
      <c r="E120" s="50">
        <v>44.246575</v>
      </c>
      <c r="F120" s="50">
        <v>44.246575</v>
      </c>
      <c r="G120" s="50">
        <v>44.246575</v>
      </c>
      <c r="H120" s="50">
        <v>44.246575</v>
      </c>
      <c r="I120" s="50">
        <v>44.246575</v>
      </c>
      <c r="J120" s="50">
        <v>44.246575</v>
      </c>
      <c r="K120" s="50">
        <v>44.246575</v>
      </c>
      <c r="L120" s="50">
        <v>44.246575</v>
      </c>
      <c r="M120" s="50">
        <v>44.246575</v>
      </c>
      <c r="N120" s="50">
        <v>44.246575</v>
      </c>
      <c r="O120" s="50">
        <v>44.246575</v>
      </c>
      <c r="P120" s="50">
        <v>44.246575</v>
      </c>
      <c r="Q120" s="50">
        <v>44.246575</v>
      </c>
      <c r="R120" s="50">
        <v>44.246575</v>
      </c>
      <c r="S120" s="50">
        <v>44.246575</v>
      </c>
      <c r="T120" s="50">
        <v>44.246575</v>
      </c>
      <c r="U120" s="50">
        <v>44.246575</v>
      </c>
      <c r="V120" s="50">
        <v>44.246575</v>
      </c>
      <c r="W120" s="50">
        <v>44.246575</v>
      </c>
      <c r="X120" s="50">
        <v>44.246575</v>
      </c>
      <c r="Y120" s="50">
        <v>44.246575</v>
      </c>
      <c r="Z120" s="50">
        <v>44.246575</v>
      </c>
      <c r="AA120" s="50">
        <v>44.246575</v>
      </c>
      <c r="AB120" s="50">
        <v>44.246575</v>
      </c>
      <c r="AC120" s="50">
        <v>44.246575</v>
      </c>
      <c r="AD120" s="50">
        <v>44.246575</v>
      </c>
      <c r="AE120" s="50">
        <v>44.246575</v>
      </c>
      <c r="AF120" s="50">
        <v>44.246575</v>
      </c>
      <c r="AG120" s="50">
        <v>44.246575</v>
      </c>
      <c r="AH120" s="50">
        <v>44.246575</v>
      </c>
      <c r="AI120" s="50">
        <v>44.246575</v>
      </c>
      <c r="AJ120" s="50">
        <v>44.246575</v>
      </c>
      <c r="AK120" s="50">
        <v>44.246575</v>
      </c>
      <c r="AL120" s="50">
        <v>44.246575</v>
      </c>
      <c r="AM120" s="50">
        <v>44.246575</v>
      </c>
      <c r="AN120" s="50">
        <v>44.246575</v>
      </c>
      <c r="AO120" s="50">
        <v>44.246575</v>
      </c>
      <c r="AP120" s="50">
        <v>44.246575</v>
      </c>
      <c r="AQ120" s="50">
        <v>44.246575</v>
      </c>
      <c r="AR120" s="50">
        <v>44.246575</v>
      </c>
      <c r="AS120" s="50">
        <v>44.246575</v>
      </c>
      <c r="AT120" s="50">
        <v>44.246575</v>
      </c>
      <c r="AU120" s="50">
        <v>44.246575</v>
      </c>
      <c r="AV120" s="50">
        <v>44.246575</v>
      </c>
      <c r="AW120" s="50">
        <v>44.246575</v>
      </c>
      <c r="AX120" s="50">
        <v>44.246575</v>
      </c>
      <c r="AY120" s="50">
        <v>44.246575</v>
      </c>
      <c r="AZ120" s="50">
        <v>44.246575</v>
      </c>
      <c r="BA120" s="50">
        <v>44.246575</v>
      </c>
      <c r="BB120" s="50">
        <v>44.246575</v>
      </c>
      <c r="BC120" s="50">
        <v>44.246575</v>
      </c>
      <c r="BD120" s="50">
        <v>44.246575</v>
      </c>
      <c r="BE120" s="50">
        <v>44.246575</v>
      </c>
      <c r="BF120" s="50">
        <v>44.246575</v>
      </c>
      <c r="BG120" s="50">
        <v>44.246575</v>
      </c>
      <c r="BH120" s="50">
        <v>44.246575</v>
      </c>
      <c r="BI120" s="50"/>
      <c r="BJ120" s="50"/>
    </row>
    <row r="121" spans="1:62" ht="20.100000000000001" hidden="1" customHeight="1" outlineLevel="1" x14ac:dyDescent="0.25">
      <c r="A121" s="59" t="s">
        <v>147</v>
      </c>
      <c r="B121" s="50">
        <v>27.60331</v>
      </c>
      <c r="C121" s="50">
        <v>27.60331</v>
      </c>
      <c r="D121" s="50">
        <v>27.60331</v>
      </c>
      <c r="E121" s="50">
        <v>27.60331</v>
      </c>
      <c r="F121" s="50">
        <v>27.60331</v>
      </c>
      <c r="G121" s="50">
        <v>27.60331</v>
      </c>
      <c r="H121" s="50">
        <v>27.60331</v>
      </c>
      <c r="I121" s="50">
        <v>27.60331</v>
      </c>
      <c r="J121" s="50">
        <v>27.60331</v>
      </c>
      <c r="K121" s="50">
        <v>27.60331</v>
      </c>
      <c r="L121" s="50">
        <v>27.60331</v>
      </c>
      <c r="M121" s="50">
        <v>27.60331</v>
      </c>
      <c r="N121" s="50">
        <v>27.60331</v>
      </c>
      <c r="O121" s="50">
        <v>27.60331</v>
      </c>
      <c r="P121" s="50">
        <v>27.60331</v>
      </c>
      <c r="Q121" s="50">
        <v>27.60331</v>
      </c>
      <c r="R121" s="50">
        <v>27.60331</v>
      </c>
      <c r="S121" s="50">
        <v>27.60331</v>
      </c>
      <c r="T121" s="50">
        <v>27.60331</v>
      </c>
      <c r="U121" s="50">
        <v>27.60331</v>
      </c>
      <c r="V121" s="50">
        <v>27.60331</v>
      </c>
      <c r="W121" s="50">
        <v>27.60331</v>
      </c>
      <c r="X121" s="50">
        <v>27.60331</v>
      </c>
      <c r="Y121" s="50">
        <v>27.60331</v>
      </c>
      <c r="Z121" s="50">
        <v>27.60331</v>
      </c>
      <c r="AA121" s="50">
        <v>27.60331</v>
      </c>
      <c r="AB121" s="50">
        <v>27.60331</v>
      </c>
      <c r="AC121" s="50">
        <v>27.60331</v>
      </c>
      <c r="AD121" s="50">
        <v>27.60331</v>
      </c>
      <c r="AE121" s="50">
        <v>27.60331</v>
      </c>
      <c r="AF121" s="50">
        <v>27.60331</v>
      </c>
      <c r="AG121" s="50">
        <v>27.60331</v>
      </c>
      <c r="AH121" s="50">
        <v>27.60331</v>
      </c>
      <c r="AI121" s="50">
        <v>27.60331</v>
      </c>
      <c r="AJ121" s="50">
        <v>27.60331</v>
      </c>
      <c r="AK121" s="50">
        <v>27.60331</v>
      </c>
      <c r="AL121" s="50">
        <v>27.60331</v>
      </c>
      <c r="AM121" s="50">
        <v>27.60331</v>
      </c>
      <c r="AN121" s="50">
        <v>27.60331</v>
      </c>
      <c r="AO121" s="50">
        <v>27.60331</v>
      </c>
      <c r="AP121" s="50">
        <v>27.60331</v>
      </c>
      <c r="AQ121" s="50">
        <v>27.60331</v>
      </c>
      <c r="AR121" s="50">
        <v>27.60331</v>
      </c>
      <c r="AS121" s="50">
        <v>27.60331</v>
      </c>
      <c r="AT121" s="50">
        <v>27.60331</v>
      </c>
      <c r="AU121" s="50">
        <v>27.60331</v>
      </c>
      <c r="AV121" s="50">
        <v>27.60331</v>
      </c>
      <c r="AW121" s="50">
        <v>27.60331</v>
      </c>
      <c r="AX121" s="50">
        <v>27.60331</v>
      </c>
      <c r="AY121" s="50">
        <v>27.60331</v>
      </c>
      <c r="AZ121" s="50">
        <v>27.60331</v>
      </c>
      <c r="BA121" s="50">
        <v>27.60331</v>
      </c>
      <c r="BB121" s="50">
        <v>27.60331</v>
      </c>
      <c r="BC121" s="50">
        <v>27.60331</v>
      </c>
      <c r="BD121" s="50">
        <v>27.60331</v>
      </c>
      <c r="BE121" s="50">
        <v>27.60331</v>
      </c>
      <c r="BF121" s="50">
        <v>27.60331</v>
      </c>
      <c r="BG121" s="50">
        <v>27.60331</v>
      </c>
      <c r="BH121" s="50">
        <v>27.60331</v>
      </c>
      <c r="BI121" s="51"/>
      <c r="BJ121" s="51"/>
    </row>
    <row r="122" spans="1:62" ht="20.100000000000001" hidden="1" customHeight="1" outlineLevel="1" x14ac:dyDescent="0.25">
      <c r="A122" s="59" t="s">
        <v>148</v>
      </c>
      <c r="B122" s="50">
        <v>30.136986</v>
      </c>
      <c r="C122" s="50">
        <v>30.136986</v>
      </c>
      <c r="D122" s="50">
        <v>30.136986</v>
      </c>
      <c r="E122" s="50">
        <v>30.136986</v>
      </c>
      <c r="F122" s="50">
        <v>30.136986</v>
      </c>
      <c r="G122" s="50">
        <v>30.136986</v>
      </c>
      <c r="H122" s="50">
        <v>30.136986</v>
      </c>
      <c r="I122" s="50">
        <v>30.136986</v>
      </c>
      <c r="J122" s="50">
        <v>30.136986</v>
      </c>
      <c r="K122" s="50">
        <v>30.136986</v>
      </c>
      <c r="L122" s="50">
        <v>30.136986</v>
      </c>
      <c r="M122" s="50">
        <v>30.136986</v>
      </c>
      <c r="N122" s="50">
        <v>30.136986</v>
      </c>
      <c r="O122" s="50">
        <v>30.136986</v>
      </c>
      <c r="P122" s="50">
        <v>30.136986</v>
      </c>
      <c r="Q122" s="50">
        <v>30.136986</v>
      </c>
      <c r="R122" s="50">
        <v>30.136986</v>
      </c>
      <c r="S122" s="50">
        <v>30.136986</v>
      </c>
      <c r="T122" s="50">
        <v>30.136986</v>
      </c>
      <c r="U122" s="50">
        <v>30.136986</v>
      </c>
      <c r="V122" s="50">
        <v>30.136986</v>
      </c>
      <c r="W122" s="50">
        <v>30.136986</v>
      </c>
      <c r="X122" s="50">
        <v>30.136986</v>
      </c>
      <c r="Y122" s="50">
        <v>30.136986</v>
      </c>
      <c r="Z122" s="50">
        <v>30.136986</v>
      </c>
      <c r="AA122" s="50">
        <v>30.136986</v>
      </c>
      <c r="AB122" s="50">
        <v>30.136986</v>
      </c>
      <c r="AC122" s="50">
        <v>30.136986</v>
      </c>
      <c r="AD122" s="50">
        <v>30.136986</v>
      </c>
      <c r="AE122" s="50">
        <v>30.136986</v>
      </c>
      <c r="AF122" s="50">
        <v>30.136986</v>
      </c>
      <c r="AG122" s="50">
        <v>30.136986</v>
      </c>
      <c r="AH122" s="50">
        <v>30.136986</v>
      </c>
      <c r="AI122" s="50">
        <v>30.136986</v>
      </c>
      <c r="AJ122" s="50">
        <v>30.136986</v>
      </c>
      <c r="AK122" s="50">
        <v>30.136986</v>
      </c>
      <c r="AL122" s="50">
        <v>30.136986</v>
      </c>
      <c r="AM122" s="50">
        <v>30.136986</v>
      </c>
      <c r="AN122" s="50">
        <v>30.136986</v>
      </c>
      <c r="AO122" s="50">
        <v>30.136986</v>
      </c>
      <c r="AP122" s="50">
        <v>30.136986</v>
      </c>
      <c r="AQ122" s="50">
        <v>30.136986</v>
      </c>
      <c r="AR122" s="50">
        <v>30.136986</v>
      </c>
      <c r="AS122" s="50">
        <v>30.136986</v>
      </c>
      <c r="AT122" s="50">
        <v>30.136986</v>
      </c>
      <c r="AU122" s="50">
        <v>30.136986</v>
      </c>
      <c r="AV122" s="50">
        <v>30.136986</v>
      </c>
      <c r="AW122" s="50">
        <v>30.136986</v>
      </c>
      <c r="AX122" s="50">
        <v>30.136986</v>
      </c>
      <c r="AY122" s="50">
        <v>30.136986</v>
      </c>
      <c r="AZ122" s="50">
        <v>30.136986</v>
      </c>
      <c r="BA122" s="50">
        <v>30.136986</v>
      </c>
      <c r="BB122" s="50">
        <v>30.136986</v>
      </c>
      <c r="BC122" s="50">
        <v>30.136986</v>
      </c>
      <c r="BD122" s="50">
        <v>30.136986</v>
      </c>
      <c r="BE122" s="50">
        <v>30.136986</v>
      </c>
      <c r="BF122" s="50">
        <v>30.136986</v>
      </c>
      <c r="BG122" s="50">
        <v>30.136986</v>
      </c>
      <c r="BH122" s="50">
        <v>30.136986</v>
      </c>
      <c r="BI122" s="51"/>
      <c r="BJ122" s="51"/>
    </row>
    <row r="123" spans="1:62" ht="20.100000000000001" hidden="1" customHeight="1" outlineLevel="1" x14ac:dyDescent="0.25">
      <c r="A123" s="59" t="s">
        <v>149</v>
      </c>
      <c r="B123" s="50">
        <v>131.50684899999999</v>
      </c>
      <c r="C123" s="50">
        <v>131.50684899999999</v>
      </c>
      <c r="D123" s="50">
        <v>131.50684899999999</v>
      </c>
      <c r="E123" s="50">
        <v>131.50684899999999</v>
      </c>
      <c r="F123" s="50">
        <v>131.50684899999999</v>
      </c>
      <c r="G123" s="50">
        <v>131.50684899999999</v>
      </c>
      <c r="H123" s="50">
        <v>131.50684899999999</v>
      </c>
      <c r="I123" s="50">
        <v>131.50684899999999</v>
      </c>
      <c r="J123" s="50">
        <v>131.50684899999999</v>
      </c>
      <c r="K123" s="50">
        <v>131.50684899999999</v>
      </c>
      <c r="L123" s="50">
        <v>131.50684899999999</v>
      </c>
      <c r="M123" s="50">
        <v>131.50684899999999</v>
      </c>
      <c r="N123" s="50">
        <v>131.50684899999999</v>
      </c>
      <c r="O123" s="50">
        <v>131.50684899999999</v>
      </c>
      <c r="P123" s="50">
        <v>131.50684899999999</v>
      </c>
      <c r="Q123" s="50">
        <v>131.50684899999999</v>
      </c>
      <c r="R123" s="50">
        <v>131.50684899999999</v>
      </c>
      <c r="S123" s="50">
        <v>131.50684899999999</v>
      </c>
      <c r="T123" s="50">
        <v>131.50684899999999</v>
      </c>
      <c r="U123" s="50">
        <v>131.50684899999999</v>
      </c>
      <c r="V123" s="50">
        <v>131.50684899999999</v>
      </c>
      <c r="W123" s="50">
        <v>131.50684899999999</v>
      </c>
      <c r="X123" s="50">
        <v>131.50684899999999</v>
      </c>
      <c r="Y123" s="50">
        <v>131.50684899999999</v>
      </c>
      <c r="Z123" s="50">
        <v>131.50684899999999</v>
      </c>
      <c r="AA123" s="50">
        <v>131.50684899999999</v>
      </c>
      <c r="AB123" s="50">
        <v>131.50684899999999</v>
      </c>
      <c r="AC123" s="50">
        <v>131.50684899999999</v>
      </c>
      <c r="AD123" s="50">
        <v>131.50684899999999</v>
      </c>
      <c r="AE123" s="50">
        <v>131.50684899999999</v>
      </c>
      <c r="AF123" s="50">
        <v>131.50684899999999</v>
      </c>
      <c r="AG123" s="50">
        <v>131.50684899999999</v>
      </c>
      <c r="AH123" s="50">
        <v>131.50684899999999</v>
      </c>
      <c r="AI123" s="50">
        <v>131.50684899999999</v>
      </c>
      <c r="AJ123" s="50">
        <v>131.50684899999999</v>
      </c>
      <c r="AK123" s="50">
        <v>131.50684899999999</v>
      </c>
      <c r="AL123" s="50">
        <v>131.50684899999999</v>
      </c>
      <c r="AM123" s="50">
        <v>131.50684899999999</v>
      </c>
      <c r="AN123" s="50">
        <v>131.50684899999999</v>
      </c>
      <c r="AO123" s="50">
        <v>131.50684899999999</v>
      </c>
      <c r="AP123" s="50">
        <v>131.50684899999999</v>
      </c>
      <c r="AQ123" s="50">
        <v>131.50684899999999</v>
      </c>
      <c r="AR123" s="50">
        <v>131.50684899999999</v>
      </c>
      <c r="AS123" s="50">
        <v>131.50684899999999</v>
      </c>
      <c r="AT123" s="50">
        <v>131.50684899999999</v>
      </c>
      <c r="AU123" s="50">
        <v>131.50684899999999</v>
      </c>
      <c r="AV123" s="50">
        <v>131.50684899999999</v>
      </c>
      <c r="AW123" s="50">
        <v>131.50684899999999</v>
      </c>
      <c r="AX123" s="50">
        <v>131.50684899999999</v>
      </c>
      <c r="AY123" s="50">
        <v>131.50684899999999</v>
      </c>
      <c r="AZ123" s="50">
        <v>131.50684899999999</v>
      </c>
      <c r="BA123" s="50">
        <v>131.50684899999999</v>
      </c>
      <c r="BB123" s="50">
        <v>131.50684899999999</v>
      </c>
      <c r="BC123" s="50">
        <v>131.50684899999999</v>
      </c>
      <c r="BD123" s="50">
        <v>131.50684899999999</v>
      </c>
      <c r="BE123" s="50">
        <v>131.50684899999999</v>
      </c>
      <c r="BF123" s="50">
        <v>131.50684899999999</v>
      </c>
      <c r="BG123" s="50">
        <v>131.50684899999999</v>
      </c>
      <c r="BH123" s="50">
        <v>131.50684899999999</v>
      </c>
      <c r="BI123" s="51"/>
      <c r="BJ123" s="51"/>
    </row>
    <row r="124" spans="1:62" ht="20.100000000000001" hidden="1" customHeight="1" outlineLevel="1" x14ac:dyDescent="0.25">
      <c r="A124" s="59" t="s">
        <v>150</v>
      </c>
      <c r="B124" s="50">
        <v>41.643836</v>
      </c>
      <c r="C124" s="50">
        <v>41.643836</v>
      </c>
      <c r="D124" s="50">
        <v>41.643836</v>
      </c>
      <c r="E124" s="50">
        <v>41.643836</v>
      </c>
      <c r="F124" s="50">
        <v>41.643836</v>
      </c>
      <c r="G124" s="50">
        <v>41.643836</v>
      </c>
      <c r="H124" s="50">
        <v>41.643836</v>
      </c>
      <c r="I124" s="50">
        <v>41.643836</v>
      </c>
      <c r="J124" s="50">
        <v>41.643836</v>
      </c>
      <c r="K124" s="50">
        <v>41.643836</v>
      </c>
      <c r="L124" s="50">
        <v>41.643836</v>
      </c>
      <c r="M124" s="50">
        <v>41.643836</v>
      </c>
      <c r="N124" s="50">
        <v>41.643836</v>
      </c>
      <c r="O124" s="50">
        <v>41.643836</v>
      </c>
      <c r="P124" s="50">
        <v>41.643836</v>
      </c>
      <c r="Q124" s="50">
        <v>41.643836</v>
      </c>
      <c r="R124" s="50">
        <v>41.643836</v>
      </c>
      <c r="S124" s="50">
        <v>41.643836</v>
      </c>
      <c r="T124" s="50">
        <v>41.643836</v>
      </c>
      <c r="U124" s="50">
        <v>41.643836</v>
      </c>
      <c r="V124" s="50">
        <v>41.643836</v>
      </c>
      <c r="W124" s="50">
        <v>41.643836</v>
      </c>
      <c r="X124" s="50">
        <v>41.643836</v>
      </c>
      <c r="Y124" s="50">
        <v>41.643836</v>
      </c>
      <c r="Z124" s="50">
        <v>41.643836</v>
      </c>
      <c r="AA124" s="50">
        <v>41.643836</v>
      </c>
      <c r="AB124" s="50">
        <v>41.643836</v>
      </c>
      <c r="AC124" s="50">
        <v>41.643836</v>
      </c>
      <c r="AD124" s="50">
        <v>41.643836</v>
      </c>
      <c r="AE124" s="50">
        <v>41.643836</v>
      </c>
      <c r="AF124" s="50">
        <v>41.643836</v>
      </c>
      <c r="AG124" s="50">
        <v>41.643836</v>
      </c>
      <c r="AH124" s="50">
        <v>41.643836</v>
      </c>
      <c r="AI124" s="50">
        <v>41.643836</v>
      </c>
      <c r="AJ124" s="50">
        <v>41.643836</v>
      </c>
      <c r="AK124" s="50">
        <v>41.643836</v>
      </c>
      <c r="AL124" s="50">
        <v>41.643836</v>
      </c>
      <c r="AM124" s="50">
        <v>41.643836</v>
      </c>
      <c r="AN124" s="50">
        <v>41.643836</v>
      </c>
      <c r="AO124" s="50">
        <v>41.643836</v>
      </c>
      <c r="AP124" s="50">
        <v>41.643836</v>
      </c>
      <c r="AQ124" s="50">
        <v>41.643836</v>
      </c>
      <c r="AR124" s="50">
        <v>41.643836</v>
      </c>
      <c r="AS124" s="50">
        <v>41.643836</v>
      </c>
      <c r="AT124" s="50">
        <v>41.643836</v>
      </c>
      <c r="AU124" s="50">
        <v>41.643836</v>
      </c>
      <c r="AV124" s="50">
        <v>41.643836</v>
      </c>
      <c r="AW124" s="50">
        <v>41.643836</v>
      </c>
      <c r="AX124" s="50">
        <v>41.643836</v>
      </c>
      <c r="AY124" s="50">
        <v>41.643836</v>
      </c>
      <c r="AZ124" s="50">
        <v>41.643836</v>
      </c>
      <c r="BA124" s="50">
        <v>41.643836</v>
      </c>
      <c r="BB124" s="50">
        <v>41.643836</v>
      </c>
      <c r="BC124" s="50">
        <v>41.643836</v>
      </c>
      <c r="BD124" s="50">
        <v>41.643836</v>
      </c>
      <c r="BE124" s="50">
        <v>41.643836</v>
      </c>
      <c r="BF124" s="50">
        <v>41.643836</v>
      </c>
      <c r="BG124" s="50">
        <v>41.643836</v>
      </c>
      <c r="BH124" s="50">
        <v>41.643836</v>
      </c>
      <c r="BI124" s="51"/>
      <c r="BJ124" s="51"/>
    </row>
    <row r="125" spans="1:62" ht="20.100000000000001" hidden="1" customHeight="1" outlineLevel="1" x14ac:dyDescent="0.25">
      <c r="A125" s="59" t="s">
        <v>151</v>
      </c>
      <c r="B125" s="50">
        <v>123.287671</v>
      </c>
      <c r="C125" s="50">
        <v>123.287671</v>
      </c>
      <c r="D125" s="50">
        <v>123.287671</v>
      </c>
      <c r="E125" s="50">
        <v>123.287671</v>
      </c>
      <c r="F125" s="50">
        <v>123.287671</v>
      </c>
      <c r="G125" s="50">
        <v>123.287671</v>
      </c>
      <c r="H125" s="50">
        <v>123.287671</v>
      </c>
      <c r="I125" s="50">
        <v>123.287671</v>
      </c>
      <c r="J125" s="50">
        <v>123.287671</v>
      </c>
      <c r="K125" s="50">
        <v>123.287671</v>
      </c>
      <c r="L125" s="50">
        <v>123.287671</v>
      </c>
      <c r="M125" s="50">
        <v>123.287671</v>
      </c>
      <c r="N125" s="50">
        <v>123.287671</v>
      </c>
      <c r="O125" s="50">
        <v>123.287671</v>
      </c>
      <c r="P125" s="50">
        <v>123.287671</v>
      </c>
      <c r="Q125" s="50">
        <v>123.287671</v>
      </c>
      <c r="R125" s="50">
        <v>123.287671</v>
      </c>
      <c r="S125" s="50">
        <v>123.287671</v>
      </c>
      <c r="T125" s="50">
        <v>123.287671</v>
      </c>
      <c r="U125" s="50">
        <v>123.287671</v>
      </c>
      <c r="V125" s="50">
        <v>123.287671</v>
      </c>
      <c r="W125" s="50">
        <v>123.287671</v>
      </c>
      <c r="X125" s="50">
        <v>123.287671</v>
      </c>
      <c r="Y125" s="50">
        <v>123.287671</v>
      </c>
      <c r="Z125" s="50">
        <v>123.287671</v>
      </c>
      <c r="AA125" s="50">
        <v>123.287671</v>
      </c>
      <c r="AB125" s="50">
        <v>123.287671</v>
      </c>
      <c r="AC125" s="50">
        <v>123.287671</v>
      </c>
      <c r="AD125" s="50">
        <v>123.287671</v>
      </c>
      <c r="AE125" s="50">
        <v>123.287671</v>
      </c>
      <c r="AF125" s="50">
        <v>123.287671</v>
      </c>
      <c r="AG125" s="50">
        <v>123.287671</v>
      </c>
      <c r="AH125" s="50">
        <v>123.287671</v>
      </c>
      <c r="AI125" s="50">
        <v>123.287671</v>
      </c>
      <c r="AJ125" s="50">
        <v>123.287671</v>
      </c>
      <c r="AK125" s="50">
        <v>123.287671</v>
      </c>
      <c r="AL125" s="50">
        <v>123.287671</v>
      </c>
      <c r="AM125" s="50">
        <v>123.287671</v>
      </c>
      <c r="AN125" s="50">
        <v>123.287671</v>
      </c>
      <c r="AO125" s="50">
        <v>123.287671</v>
      </c>
      <c r="AP125" s="50">
        <v>123.287671</v>
      </c>
      <c r="AQ125" s="50">
        <v>123.287671</v>
      </c>
      <c r="AR125" s="50">
        <v>123.287671</v>
      </c>
      <c r="AS125" s="50">
        <v>123.287671</v>
      </c>
      <c r="AT125" s="50">
        <v>123.287671</v>
      </c>
      <c r="AU125" s="50">
        <v>123.287671</v>
      </c>
      <c r="AV125" s="50">
        <v>123.287671</v>
      </c>
      <c r="AW125" s="50">
        <v>123.287671</v>
      </c>
      <c r="AX125" s="50">
        <v>123.287671</v>
      </c>
      <c r="AY125" s="50">
        <v>123.287671</v>
      </c>
      <c r="AZ125" s="50">
        <v>123.287671</v>
      </c>
      <c r="BA125" s="50">
        <v>123.287671</v>
      </c>
      <c r="BB125" s="50">
        <v>123.287671</v>
      </c>
      <c r="BC125" s="50">
        <v>123.287671</v>
      </c>
      <c r="BD125" s="50">
        <v>123.287671</v>
      </c>
      <c r="BE125" s="50">
        <v>123.287671</v>
      </c>
      <c r="BF125" s="50">
        <v>123.287671</v>
      </c>
      <c r="BG125" s="50">
        <v>123.287671</v>
      </c>
      <c r="BH125" s="50">
        <v>123.287671</v>
      </c>
      <c r="BI125" s="51"/>
      <c r="BJ125" s="51"/>
    </row>
    <row r="126" spans="1:62" ht="20.100000000000001" hidden="1" customHeight="1" outlineLevel="1" x14ac:dyDescent="0.25">
      <c r="A126" s="59" t="s">
        <v>152</v>
      </c>
      <c r="B126" s="50">
        <v>136.986301</v>
      </c>
      <c r="C126" s="50">
        <v>136.986301</v>
      </c>
      <c r="D126" s="50">
        <v>136.986301</v>
      </c>
      <c r="E126" s="50">
        <v>136.986301</v>
      </c>
      <c r="F126" s="50">
        <v>136.986301</v>
      </c>
      <c r="G126" s="50">
        <v>136.986301</v>
      </c>
      <c r="H126" s="50">
        <v>136.986301</v>
      </c>
      <c r="I126" s="50">
        <v>136.986301</v>
      </c>
      <c r="J126" s="50">
        <v>136.986301</v>
      </c>
      <c r="K126" s="50">
        <v>136.986301</v>
      </c>
      <c r="L126" s="50">
        <v>136.986301</v>
      </c>
      <c r="M126" s="50">
        <v>136.986301</v>
      </c>
      <c r="N126" s="50">
        <v>136.986301</v>
      </c>
      <c r="O126" s="50">
        <v>136.986301</v>
      </c>
      <c r="P126" s="50">
        <v>136.986301</v>
      </c>
      <c r="Q126" s="50">
        <v>136.986301</v>
      </c>
      <c r="R126" s="50">
        <v>136.986301</v>
      </c>
      <c r="S126" s="50">
        <v>136.986301</v>
      </c>
      <c r="T126" s="50">
        <v>136.986301</v>
      </c>
      <c r="U126" s="50">
        <v>136.986301</v>
      </c>
      <c r="V126" s="50">
        <v>136.986301</v>
      </c>
      <c r="W126" s="50">
        <v>136.986301</v>
      </c>
      <c r="X126" s="50">
        <v>136.986301</v>
      </c>
      <c r="Y126" s="50">
        <v>136.986301</v>
      </c>
      <c r="Z126" s="50">
        <v>136.986301</v>
      </c>
      <c r="AA126" s="50">
        <v>136.986301</v>
      </c>
      <c r="AB126" s="50">
        <v>136.986301</v>
      </c>
      <c r="AC126" s="50">
        <v>136.986301</v>
      </c>
      <c r="AD126" s="50">
        <v>136.986301</v>
      </c>
      <c r="AE126" s="50">
        <v>136.986301</v>
      </c>
      <c r="AF126" s="50">
        <v>136.986301</v>
      </c>
      <c r="AG126" s="50">
        <v>136.986301</v>
      </c>
      <c r="AH126" s="50">
        <v>136.986301</v>
      </c>
      <c r="AI126" s="50">
        <v>136.986301</v>
      </c>
      <c r="AJ126" s="50">
        <v>136.986301</v>
      </c>
      <c r="AK126" s="50">
        <v>136.986301</v>
      </c>
      <c r="AL126" s="50">
        <v>136.986301</v>
      </c>
      <c r="AM126" s="50">
        <v>136.986301</v>
      </c>
      <c r="AN126" s="50">
        <v>136.986301</v>
      </c>
      <c r="AO126" s="50">
        <v>136.986301</v>
      </c>
      <c r="AP126" s="50">
        <v>136.986301</v>
      </c>
      <c r="AQ126" s="50">
        <v>136.986301</v>
      </c>
      <c r="AR126" s="50">
        <v>136.986301</v>
      </c>
      <c r="AS126" s="50">
        <v>136.986301</v>
      </c>
      <c r="AT126" s="50">
        <v>136.986301</v>
      </c>
      <c r="AU126" s="50">
        <v>136.986301</v>
      </c>
      <c r="AV126" s="50">
        <v>136.986301</v>
      </c>
      <c r="AW126" s="50">
        <v>136.986301</v>
      </c>
      <c r="AX126" s="50">
        <v>136.986301</v>
      </c>
      <c r="AY126" s="50">
        <v>136.986301</v>
      </c>
      <c r="AZ126" s="50">
        <v>136.986301</v>
      </c>
      <c r="BA126" s="50">
        <v>136.986301</v>
      </c>
      <c r="BB126" s="50">
        <v>136.986301</v>
      </c>
      <c r="BC126" s="50">
        <v>136.986301</v>
      </c>
      <c r="BD126" s="50">
        <v>136.986301</v>
      </c>
      <c r="BE126" s="50">
        <v>136.986301</v>
      </c>
      <c r="BF126" s="50">
        <v>136.986301</v>
      </c>
      <c r="BG126" s="50">
        <v>136.986301</v>
      </c>
      <c r="BH126" s="50">
        <v>136.986301</v>
      </c>
      <c r="BI126" s="51"/>
      <c r="BJ126" s="51"/>
    </row>
    <row r="127" spans="1:62" ht="20.100000000000001" hidden="1" customHeight="1" outlineLevel="1" x14ac:dyDescent="0.25">
      <c r="A127" s="59" t="s">
        <v>153</v>
      </c>
      <c r="B127" s="50">
        <v>26.027397000000001</v>
      </c>
      <c r="C127" s="50">
        <v>26.027397000000001</v>
      </c>
      <c r="D127" s="50">
        <v>26.027397000000001</v>
      </c>
      <c r="E127" s="50">
        <v>26.027397000000001</v>
      </c>
      <c r="F127" s="50">
        <v>26.027397000000001</v>
      </c>
      <c r="G127" s="50">
        <v>26.027397000000001</v>
      </c>
      <c r="H127" s="50">
        <v>26.027397000000001</v>
      </c>
      <c r="I127" s="50">
        <v>26.027397000000001</v>
      </c>
      <c r="J127" s="50">
        <v>26.027397000000001</v>
      </c>
      <c r="K127" s="50">
        <v>26.027397000000001</v>
      </c>
      <c r="L127" s="50">
        <v>26.027397000000001</v>
      </c>
      <c r="M127" s="50">
        <v>26.027397000000001</v>
      </c>
      <c r="N127" s="50">
        <v>26.027397000000001</v>
      </c>
      <c r="O127" s="50">
        <v>26.027397000000001</v>
      </c>
      <c r="P127" s="50">
        <v>26.027397000000001</v>
      </c>
      <c r="Q127" s="50">
        <v>26.027397000000001</v>
      </c>
      <c r="R127" s="50">
        <v>26.027397000000001</v>
      </c>
      <c r="S127" s="50">
        <v>26.027397000000001</v>
      </c>
      <c r="T127" s="50">
        <v>26.027397000000001</v>
      </c>
      <c r="U127" s="50">
        <v>26.027397000000001</v>
      </c>
      <c r="V127" s="50">
        <v>26.027397000000001</v>
      </c>
      <c r="W127" s="50">
        <v>26.027397000000001</v>
      </c>
      <c r="X127" s="50">
        <v>26.027397000000001</v>
      </c>
      <c r="Y127" s="50">
        <v>26.027397000000001</v>
      </c>
      <c r="Z127" s="50">
        <v>26.027397000000001</v>
      </c>
      <c r="AA127" s="50">
        <v>26.027397000000001</v>
      </c>
      <c r="AB127" s="50">
        <v>26.027397000000001</v>
      </c>
      <c r="AC127" s="50">
        <v>26.027397000000001</v>
      </c>
      <c r="AD127" s="50">
        <v>26.027397000000001</v>
      </c>
      <c r="AE127" s="50">
        <v>26.027397000000001</v>
      </c>
      <c r="AF127" s="50">
        <v>26.027397000000001</v>
      </c>
      <c r="AG127" s="50">
        <v>26.027397000000001</v>
      </c>
      <c r="AH127" s="50">
        <v>26.027397000000001</v>
      </c>
      <c r="AI127" s="50">
        <v>26.027397000000001</v>
      </c>
      <c r="AJ127" s="50">
        <v>26.027397000000001</v>
      </c>
      <c r="AK127" s="50">
        <v>26.027397000000001</v>
      </c>
      <c r="AL127" s="50">
        <v>26.027397000000001</v>
      </c>
      <c r="AM127" s="50">
        <v>26.027397000000001</v>
      </c>
      <c r="AN127" s="50">
        <v>26.027397000000001</v>
      </c>
      <c r="AO127" s="50">
        <v>26.027397000000001</v>
      </c>
      <c r="AP127" s="50">
        <v>26.027397000000001</v>
      </c>
      <c r="AQ127" s="50">
        <v>26.027397000000001</v>
      </c>
      <c r="AR127" s="50">
        <v>26.027397000000001</v>
      </c>
      <c r="AS127" s="50">
        <v>26.027397000000001</v>
      </c>
      <c r="AT127" s="50">
        <v>26.027397000000001</v>
      </c>
      <c r="AU127" s="50">
        <v>26.027397000000001</v>
      </c>
      <c r="AV127" s="50">
        <v>26.027397000000001</v>
      </c>
      <c r="AW127" s="50">
        <v>26.027397000000001</v>
      </c>
      <c r="AX127" s="50">
        <v>26.027397000000001</v>
      </c>
      <c r="AY127" s="50">
        <v>26.027397000000001</v>
      </c>
      <c r="AZ127" s="50">
        <v>26.027397000000001</v>
      </c>
      <c r="BA127" s="50">
        <v>26.027397000000001</v>
      </c>
      <c r="BB127" s="50">
        <v>26.027397000000001</v>
      </c>
      <c r="BC127" s="50">
        <v>26.027397000000001</v>
      </c>
      <c r="BD127" s="50">
        <v>26.027397000000001</v>
      </c>
      <c r="BE127" s="50">
        <v>26.027397000000001</v>
      </c>
      <c r="BF127" s="50">
        <v>26.027397000000001</v>
      </c>
      <c r="BG127" s="50">
        <v>26.027397000000001</v>
      </c>
      <c r="BH127" s="50">
        <v>26.027397000000001</v>
      </c>
      <c r="BI127" s="51"/>
      <c r="BJ127" s="51"/>
    </row>
    <row r="128" spans="1:62" ht="20.100000000000001" hidden="1" customHeight="1" outlineLevel="1" x14ac:dyDescent="0.25">
      <c r="A128" s="59" t="s">
        <v>154</v>
      </c>
      <c r="B128" s="50">
        <v>47.167223999999997</v>
      </c>
      <c r="C128" s="50">
        <v>47.167223999999997</v>
      </c>
      <c r="D128" s="50">
        <v>47.167223999999997</v>
      </c>
      <c r="E128" s="50">
        <v>47.167223999999997</v>
      </c>
      <c r="F128" s="50">
        <v>47.167223999999997</v>
      </c>
      <c r="G128" s="50">
        <v>47.167223999999997</v>
      </c>
      <c r="H128" s="50">
        <v>47.167223999999997</v>
      </c>
      <c r="I128" s="50">
        <v>47.167223999999997</v>
      </c>
      <c r="J128" s="50">
        <v>47.167223999999997</v>
      </c>
      <c r="K128" s="50">
        <v>47.167223999999997</v>
      </c>
      <c r="L128" s="50">
        <v>47.167223999999997</v>
      </c>
      <c r="M128" s="50">
        <v>47.167223999999997</v>
      </c>
      <c r="N128" s="50">
        <v>47.167223999999997</v>
      </c>
      <c r="O128" s="50">
        <v>47.167223999999997</v>
      </c>
      <c r="P128" s="50">
        <v>47.167223999999997</v>
      </c>
      <c r="Q128" s="50">
        <v>47.167223999999997</v>
      </c>
      <c r="R128" s="50">
        <v>47.167223999999997</v>
      </c>
      <c r="S128" s="50">
        <v>47.167223999999997</v>
      </c>
      <c r="T128" s="50">
        <v>47.167223999999997</v>
      </c>
      <c r="U128" s="50">
        <v>47.167223999999997</v>
      </c>
      <c r="V128" s="50">
        <v>47.167223999999997</v>
      </c>
      <c r="W128" s="50">
        <v>47.167223999999997</v>
      </c>
      <c r="X128" s="50">
        <v>47.167223999999997</v>
      </c>
      <c r="Y128" s="50">
        <v>47.167223999999997</v>
      </c>
      <c r="Z128" s="50">
        <v>47.167223999999997</v>
      </c>
      <c r="AA128" s="50">
        <v>47.167223999999997</v>
      </c>
      <c r="AB128" s="50">
        <v>47.167223999999997</v>
      </c>
      <c r="AC128" s="50">
        <v>47.167223999999997</v>
      </c>
      <c r="AD128" s="50">
        <v>47.167223999999997</v>
      </c>
      <c r="AE128" s="50">
        <v>47.167223999999997</v>
      </c>
      <c r="AF128" s="50">
        <v>47.167223999999997</v>
      </c>
      <c r="AG128" s="50">
        <v>47.167223999999997</v>
      </c>
      <c r="AH128" s="50">
        <v>47.167223999999997</v>
      </c>
      <c r="AI128" s="50">
        <v>47.167223999999997</v>
      </c>
      <c r="AJ128" s="50">
        <v>47.167223999999997</v>
      </c>
      <c r="AK128" s="50">
        <v>47.167223999999997</v>
      </c>
      <c r="AL128" s="50">
        <v>47.167223999999997</v>
      </c>
      <c r="AM128" s="50">
        <v>47.167223999999997</v>
      </c>
      <c r="AN128" s="50">
        <v>47.167223999999997</v>
      </c>
      <c r="AO128" s="50">
        <v>47.167223999999997</v>
      </c>
      <c r="AP128" s="50">
        <v>47.167223999999997</v>
      </c>
      <c r="AQ128" s="50">
        <v>47.167223999999997</v>
      </c>
      <c r="AR128" s="50">
        <v>47.167223999999997</v>
      </c>
      <c r="AS128" s="50">
        <v>47.167223999999997</v>
      </c>
      <c r="AT128" s="50">
        <v>47.167223999999997</v>
      </c>
      <c r="AU128" s="50">
        <v>47.167223999999997</v>
      </c>
      <c r="AV128" s="50">
        <v>47.167223999999997</v>
      </c>
      <c r="AW128" s="50">
        <v>47.167223999999997</v>
      </c>
      <c r="AX128" s="50">
        <v>47.167223999999997</v>
      </c>
      <c r="AY128" s="50">
        <v>47.167223999999997</v>
      </c>
      <c r="AZ128" s="50">
        <v>47.167223999999997</v>
      </c>
      <c r="BA128" s="50">
        <v>47.167223999999997</v>
      </c>
      <c r="BB128" s="50">
        <v>47.167223999999997</v>
      </c>
      <c r="BC128" s="50">
        <v>47.167223999999997</v>
      </c>
      <c r="BD128" s="50">
        <v>47.167223999999997</v>
      </c>
      <c r="BE128" s="50">
        <v>47.167223999999997</v>
      </c>
      <c r="BF128" s="50">
        <v>47.167223999999997</v>
      </c>
      <c r="BG128" s="50">
        <v>47.167223999999997</v>
      </c>
      <c r="BH128" s="50">
        <v>47.167223999999997</v>
      </c>
      <c r="BI128" s="51"/>
      <c r="BJ128" s="51"/>
    </row>
    <row r="129" spans="1:62" ht="20.100000000000001" hidden="1" customHeight="1" outlineLevel="1" x14ac:dyDescent="0.25">
      <c r="A129" s="59" t="s">
        <v>155</v>
      </c>
      <c r="B129" s="50">
        <v>23.287671</v>
      </c>
      <c r="C129" s="50">
        <v>23.287671</v>
      </c>
      <c r="D129" s="50">
        <v>23.287671</v>
      </c>
      <c r="E129" s="50">
        <v>23.287671</v>
      </c>
      <c r="F129" s="50">
        <v>23.287671</v>
      </c>
      <c r="G129" s="50">
        <v>23.287671</v>
      </c>
      <c r="H129" s="50">
        <v>23.287671</v>
      </c>
      <c r="I129" s="50">
        <v>23.287671</v>
      </c>
      <c r="J129" s="50">
        <v>23.287671</v>
      </c>
      <c r="K129" s="50">
        <v>23.287671</v>
      </c>
      <c r="L129" s="50">
        <v>23.287671</v>
      </c>
      <c r="M129" s="50">
        <v>23.287671</v>
      </c>
      <c r="N129" s="50">
        <v>23.287671</v>
      </c>
      <c r="O129" s="50">
        <v>23.287671</v>
      </c>
      <c r="P129" s="50">
        <v>23.287671</v>
      </c>
      <c r="Q129" s="50">
        <v>23.287671</v>
      </c>
      <c r="R129" s="50">
        <v>23.287671</v>
      </c>
      <c r="S129" s="50">
        <v>23.287671</v>
      </c>
      <c r="T129" s="50">
        <v>23.287671</v>
      </c>
      <c r="U129" s="50">
        <v>23.287671</v>
      </c>
      <c r="V129" s="50">
        <v>23.287671</v>
      </c>
      <c r="W129" s="50">
        <v>23.287671</v>
      </c>
      <c r="X129" s="50">
        <v>23.287671</v>
      </c>
      <c r="Y129" s="50">
        <v>23.287671</v>
      </c>
      <c r="Z129" s="50">
        <v>23.287671</v>
      </c>
      <c r="AA129" s="50">
        <v>23.287671</v>
      </c>
      <c r="AB129" s="50">
        <v>23.287671</v>
      </c>
      <c r="AC129" s="50">
        <v>23.287671</v>
      </c>
      <c r="AD129" s="50">
        <v>23.287671</v>
      </c>
      <c r="AE129" s="50">
        <v>23.287671</v>
      </c>
      <c r="AF129" s="50">
        <v>23.287671</v>
      </c>
      <c r="AG129" s="50">
        <v>23.287671</v>
      </c>
      <c r="AH129" s="50">
        <v>23.287671</v>
      </c>
      <c r="AI129" s="50">
        <v>23.287671</v>
      </c>
      <c r="AJ129" s="50">
        <v>23.287671</v>
      </c>
      <c r="AK129" s="50">
        <v>23.287671</v>
      </c>
      <c r="AL129" s="50">
        <v>23.287671</v>
      </c>
      <c r="AM129" s="50">
        <v>23.287671</v>
      </c>
      <c r="AN129" s="50">
        <v>23.287671</v>
      </c>
      <c r="AO129" s="50">
        <v>23.287671</v>
      </c>
      <c r="AP129" s="50">
        <v>23.287671</v>
      </c>
      <c r="AQ129" s="50">
        <v>23.287671</v>
      </c>
      <c r="AR129" s="50">
        <v>23.287671</v>
      </c>
      <c r="AS129" s="50">
        <v>23.287671</v>
      </c>
      <c r="AT129" s="50">
        <v>23.287671</v>
      </c>
      <c r="AU129" s="50">
        <v>23.287671</v>
      </c>
      <c r="AV129" s="50">
        <v>23.287671</v>
      </c>
      <c r="AW129" s="50">
        <v>23.287671</v>
      </c>
      <c r="AX129" s="50">
        <v>23.287671</v>
      </c>
      <c r="AY129" s="50">
        <v>23.287671</v>
      </c>
      <c r="AZ129" s="50">
        <v>23.287671</v>
      </c>
      <c r="BA129" s="50">
        <v>23.287671</v>
      </c>
      <c r="BB129" s="50">
        <v>23.287671</v>
      </c>
      <c r="BC129" s="50">
        <v>23.287671</v>
      </c>
      <c r="BD129" s="50">
        <v>23.287671</v>
      </c>
      <c r="BE129" s="50">
        <v>23.287671</v>
      </c>
      <c r="BF129" s="50">
        <v>23.287671</v>
      </c>
      <c r="BG129" s="50">
        <v>23.287671</v>
      </c>
      <c r="BH129" s="50">
        <v>23.287671</v>
      </c>
      <c r="BI129" s="51"/>
      <c r="BJ129" s="51"/>
    </row>
    <row r="130" spans="1:62" ht="20.100000000000001" hidden="1" customHeight="1" outlineLevel="1" x14ac:dyDescent="0.25">
      <c r="A130" s="59" t="s">
        <v>156</v>
      </c>
      <c r="B130" s="50">
        <v>24.657533999999998</v>
      </c>
      <c r="C130" s="50">
        <v>24.657533999999998</v>
      </c>
      <c r="D130" s="50">
        <v>24.657533999999998</v>
      </c>
      <c r="E130" s="50">
        <v>24.657533999999998</v>
      </c>
      <c r="F130" s="50">
        <v>24.657533999999998</v>
      </c>
      <c r="G130" s="50">
        <v>24.657533999999998</v>
      </c>
      <c r="H130" s="50">
        <v>24.657533999999998</v>
      </c>
      <c r="I130" s="50">
        <v>24.657533999999998</v>
      </c>
      <c r="J130" s="50">
        <v>24.657533999999998</v>
      </c>
      <c r="K130" s="50">
        <v>24.657533999999998</v>
      </c>
      <c r="L130" s="50">
        <v>24.657533999999998</v>
      </c>
      <c r="M130" s="50">
        <v>24.657533999999998</v>
      </c>
      <c r="N130" s="50">
        <v>24.657533999999998</v>
      </c>
      <c r="O130" s="50">
        <v>24.657533999999998</v>
      </c>
      <c r="P130" s="50">
        <v>24.657533999999998</v>
      </c>
      <c r="Q130" s="50">
        <v>24.657533999999998</v>
      </c>
      <c r="R130" s="50">
        <v>24.657533999999998</v>
      </c>
      <c r="S130" s="50">
        <v>24.657533999999998</v>
      </c>
      <c r="T130" s="50">
        <v>24.657533999999998</v>
      </c>
      <c r="U130" s="50">
        <v>24.657533999999998</v>
      </c>
      <c r="V130" s="50">
        <v>24.657533999999998</v>
      </c>
      <c r="W130" s="50">
        <v>24.657533999999998</v>
      </c>
      <c r="X130" s="50">
        <v>24.657533999999998</v>
      </c>
      <c r="Y130" s="50">
        <v>24.657533999999998</v>
      </c>
      <c r="Z130" s="50">
        <v>24.657533999999998</v>
      </c>
      <c r="AA130" s="50">
        <v>24.657533999999998</v>
      </c>
      <c r="AB130" s="50">
        <v>24.657533999999998</v>
      </c>
      <c r="AC130" s="50">
        <v>24.657533999999998</v>
      </c>
      <c r="AD130" s="50">
        <v>24.657533999999998</v>
      </c>
      <c r="AE130" s="50">
        <v>24.657533999999998</v>
      </c>
      <c r="AF130" s="50">
        <v>24.657533999999998</v>
      </c>
      <c r="AG130" s="50">
        <v>24.657533999999998</v>
      </c>
      <c r="AH130" s="50">
        <v>24.657533999999998</v>
      </c>
      <c r="AI130" s="50">
        <v>24.657533999999998</v>
      </c>
      <c r="AJ130" s="50">
        <v>24.657533999999998</v>
      </c>
      <c r="AK130" s="50">
        <v>24.657533999999998</v>
      </c>
      <c r="AL130" s="50">
        <v>24.657533999999998</v>
      </c>
      <c r="AM130" s="50">
        <v>24.657533999999998</v>
      </c>
      <c r="AN130" s="50">
        <v>24.657533999999998</v>
      </c>
      <c r="AO130" s="50">
        <v>24.657533999999998</v>
      </c>
      <c r="AP130" s="50">
        <v>24.657533999999998</v>
      </c>
      <c r="AQ130" s="50">
        <v>24.657533999999998</v>
      </c>
      <c r="AR130" s="50">
        <v>24.657533999999998</v>
      </c>
      <c r="AS130" s="50">
        <v>24.657533999999998</v>
      </c>
      <c r="AT130" s="50">
        <v>24.657533999999998</v>
      </c>
      <c r="AU130" s="50">
        <v>24.657533999999998</v>
      </c>
      <c r="AV130" s="50">
        <v>24.657533999999998</v>
      </c>
      <c r="AW130" s="50">
        <v>24.657533999999998</v>
      </c>
      <c r="AX130" s="50">
        <v>24.657533999999998</v>
      </c>
      <c r="AY130" s="50">
        <v>24.657533999999998</v>
      </c>
      <c r="AZ130" s="50">
        <v>24.657533999999998</v>
      </c>
      <c r="BA130" s="50">
        <v>24.657533999999998</v>
      </c>
      <c r="BB130" s="50">
        <v>24.657533999999998</v>
      </c>
      <c r="BC130" s="50">
        <v>24.657533999999998</v>
      </c>
      <c r="BD130" s="50">
        <v>24.657533999999998</v>
      </c>
      <c r="BE130" s="50">
        <v>24.657533999999998</v>
      </c>
      <c r="BF130" s="50">
        <v>24.657533999999998</v>
      </c>
      <c r="BG130" s="50">
        <v>24.657533999999998</v>
      </c>
      <c r="BH130" s="50">
        <v>24.657533999999998</v>
      </c>
      <c r="BI130" s="51"/>
      <c r="BJ130" s="51"/>
    </row>
    <row r="131" spans="1:62" ht="20.100000000000001" hidden="1" customHeight="1" outlineLevel="1" x14ac:dyDescent="0.25">
      <c r="A131" s="59" t="s">
        <v>157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14.794521</v>
      </c>
      <c r="U131" s="50">
        <v>14.794521</v>
      </c>
      <c r="V131" s="50">
        <v>14.794521</v>
      </c>
      <c r="W131" s="50">
        <v>14.794521</v>
      </c>
      <c r="X131" s="50">
        <v>14.794521</v>
      </c>
      <c r="Y131" s="50">
        <v>14.794521</v>
      </c>
      <c r="Z131" s="50">
        <v>14.794521</v>
      </c>
      <c r="AA131" s="50">
        <v>14.794521</v>
      </c>
      <c r="AB131" s="50">
        <v>14.794521</v>
      </c>
      <c r="AC131" s="50">
        <v>14.794521</v>
      </c>
      <c r="AD131" s="50">
        <v>14.794521</v>
      </c>
      <c r="AE131" s="50">
        <v>14.794521</v>
      </c>
      <c r="AF131" s="50">
        <v>14.794521</v>
      </c>
      <c r="AG131" s="50">
        <v>14.794521</v>
      </c>
      <c r="AH131" s="50">
        <v>14.794521</v>
      </c>
      <c r="AI131" s="50">
        <v>14.794521</v>
      </c>
      <c r="AJ131" s="50">
        <v>14.794521</v>
      </c>
      <c r="AK131" s="50">
        <v>14.794521</v>
      </c>
      <c r="AL131" s="50">
        <v>14.794521</v>
      </c>
      <c r="AM131" s="50">
        <v>14.794521</v>
      </c>
      <c r="AN131" s="50">
        <v>14.794521</v>
      </c>
      <c r="AO131" s="50">
        <v>14.794521</v>
      </c>
      <c r="AP131" s="50">
        <v>14.794521</v>
      </c>
      <c r="AQ131" s="50">
        <v>14.794521</v>
      </c>
      <c r="AR131" s="50">
        <v>14.794521</v>
      </c>
      <c r="AS131" s="50">
        <v>14.794521</v>
      </c>
      <c r="AT131" s="50">
        <v>14.794521</v>
      </c>
      <c r="AU131" s="50">
        <v>14.794521</v>
      </c>
      <c r="AV131" s="50">
        <v>14.794521</v>
      </c>
      <c r="AW131" s="50">
        <v>14.794521</v>
      </c>
      <c r="AX131" s="50">
        <v>14.794521</v>
      </c>
      <c r="AY131" s="50">
        <v>14.794521</v>
      </c>
      <c r="AZ131" s="50">
        <v>14.794521</v>
      </c>
      <c r="BA131" s="50">
        <v>14.794521</v>
      </c>
      <c r="BB131" s="50">
        <v>14.794521</v>
      </c>
      <c r="BC131" s="50">
        <v>14.794521</v>
      </c>
      <c r="BD131" s="50">
        <v>14.794521</v>
      </c>
      <c r="BE131" s="50">
        <v>14.794521</v>
      </c>
      <c r="BF131" s="50">
        <v>14.794521</v>
      </c>
      <c r="BG131" s="50">
        <v>14.794521</v>
      </c>
      <c r="BH131" s="50">
        <v>14.794521</v>
      </c>
      <c r="BI131" s="51"/>
      <c r="BJ131" s="51"/>
    </row>
    <row r="132" spans="1:62" ht="20.100000000000001" hidden="1" customHeight="1" outlineLevel="1" x14ac:dyDescent="0.25">
      <c r="A132" s="59" t="s">
        <v>158</v>
      </c>
      <c r="B132" s="50">
        <v>0</v>
      </c>
      <c r="C132" s="50">
        <v>0</v>
      </c>
      <c r="D132" s="50">
        <v>0</v>
      </c>
      <c r="E132" s="50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50">
        <v>0</v>
      </c>
      <c r="N132" s="50">
        <v>0</v>
      </c>
      <c r="O132" s="50">
        <v>0</v>
      </c>
      <c r="P132" s="50">
        <v>0</v>
      </c>
      <c r="Q132" s="50">
        <v>0</v>
      </c>
      <c r="R132" s="50">
        <v>0</v>
      </c>
      <c r="S132" s="50">
        <v>0</v>
      </c>
      <c r="T132" s="50">
        <v>0</v>
      </c>
      <c r="U132" s="50">
        <v>12.328766999999999</v>
      </c>
      <c r="V132" s="50">
        <v>12.328766999999999</v>
      </c>
      <c r="W132" s="50">
        <v>12.328766999999999</v>
      </c>
      <c r="X132" s="50">
        <v>12.328766999999999</v>
      </c>
      <c r="Y132" s="50">
        <v>12.328766999999999</v>
      </c>
      <c r="Z132" s="50">
        <v>12.328766999999999</v>
      </c>
      <c r="AA132" s="50">
        <v>12.328766999999999</v>
      </c>
      <c r="AB132" s="50">
        <v>12.328766999999999</v>
      </c>
      <c r="AC132" s="50">
        <v>12.328766999999999</v>
      </c>
      <c r="AD132" s="50">
        <v>12.328766999999999</v>
      </c>
      <c r="AE132" s="50">
        <v>12.328766999999999</v>
      </c>
      <c r="AF132" s="50">
        <v>12.328766999999999</v>
      </c>
      <c r="AG132" s="50">
        <v>12.328766999999999</v>
      </c>
      <c r="AH132" s="50">
        <v>12.328766999999999</v>
      </c>
      <c r="AI132" s="50">
        <v>12.328766999999999</v>
      </c>
      <c r="AJ132" s="50">
        <v>12.328766999999999</v>
      </c>
      <c r="AK132" s="50">
        <v>12.328766999999999</v>
      </c>
      <c r="AL132" s="50">
        <v>12.328766999999999</v>
      </c>
      <c r="AM132" s="50">
        <v>12.328766999999999</v>
      </c>
      <c r="AN132" s="50">
        <v>12.328766999999999</v>
      </c>
      <c r="AO132" s="50">
        <v>12.328766999999999</v>
      </c>
      <c r="AP132" s="50">
        <v>12.328766999999999</v>
      </c>
      <c r="AQ132" s="50">
        <v>12.328766999999999</v>
      </c>
      <c r="AR132" s="50">
        <v>12.328766999999999</v>
      </c>
      <c r="AS132" s="50">
        <v>12.328766999999999</v>
      </c>
      <c r="AT132" s="50">
        <v>12.328766999999999</v>
      </c>
      <c r="AU132" s="50">
        <v>12.328766999999999</v>
      </c>
      <c r="AV132" s="50">
        <v>12.328766999999999</v>
      </c>
      <c r="AW132" s="50">
        <v>12.328766999999999</v>
      </c>
      <c r="AX132" s="50">
        <v>12.328766999999999</v>
      </c>
      <c r="AY132" s="50">
        <v>12.328766999999999</v>
      </c>
      <c r="AZ132" s="50">
        <v>12.328766999999999</v>
      </c>
      <c r="BA132" s="50">
        <v>12.328766999999999</v>
      </c>
      <c r="BB132" s="50">
        <v>12.328766999999999</v>
      </c>
      <c r="BC132" s="50">
        <v>12.328766999999999</v>
      </c>
      <c r="BD132" s="50">
        <v>12.328766999999999</v>
      </c>
      <c r="BE132" s="50">
        <v>12.328766999999999</v>
      </c>
      <c r="BF132" s="50">
        <v>12.328766999999999</v>
      </c>
      <c r="BG132" s="50">
        <v>12.328766999999999</v>
      </c>
      <c r="BH132" s="50">
        <v>12.328766999999999</v>
      </c>
      <c r="BI132" s="51"/>
      <c r="BJ132" s="51"/>
    </row>
    <row r="133" spans="1:62" ht="20.100000000000001" hidden="1" customHeight="1" outlineLevel="1" x14ac:dyDescent="0.25">
      <c r="A133" s="59" t="s">
        <v>159</v>
      </c>
      <c r="B133" s="50">
        <v>0</v>
      </c>
      <c r="C133" s="50">
        <v>0</v>
      </c>
      <c r="D133" s="50">
        <v>0</v>
      </c>
      <c r="E133" s="50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24.657533999999998</v>
      </c>
      <c r="W133" s="50">
        <v>24.657533999999998</v>
      </c>
      <c r="X133" s="50">
        <v>24.657533999999998</v>
      </c>
      <c r="Y133" s="50">
        <v>24.657533999999998</v>
      </c>
      <c r="Z133" s="50">
        <v>24.657533999999998</v>
      </c>
      <c r="AA133" s="50">
        <v>24.657533999999998</v>
      </c>
      <c r="AB133" s="50">
        <v>24.657533999999998</v>
      </c>
      <c r="AC133" s="50">
        <v>24.657533999999998</v>
      </c>
      <c r="AD133" s="50">
        <v>24.657533999999998</v>
      </c>
      <c r="AE133" s="50">
        <v>24.657533999999998</v>
      </c>
      <c r="AF133" s="50">
        <v>24.657533999999998</v>
      </c>
      <c r="AG133" s="50">
        <v>24.657533999999998</v>
      </c>
      <c r="AH133" s="50">
        <v>24.657533999999998</v>
      </c>
      <c r="AI133" s="50">
        <v>24.657533999999998</v>
      </c>
      <c r="AJ133" s="50">
        <v>24.657533999999998</v>
      </c>
      <c r="AK133" s="50">
        <v>24.657533999999998</v>
      </c>
      <c r="AL133" s="50">
        <v>24.657533999999998</v>
      </c>
      <c r="AM133" s="50">
        <v>24.657533999999998</v>
      </c>
      <c r="AN133" s="50">
        <v>24.657533999999998</v>
      </c>
      <c r="AO133" s="50">
        <v>24.657533999999998</v>
      </c>
      <c r="AP133" s="50">
        <v>24.657533999999998</v>
      </c>
      <c r="AQ133" s="50">
        <v>24.657533999999998</v>
      </c>
      <c r="AR133" s="50">
        <v>24.657533999999998</v>
      </c>
      <c r="AS133" s="50">
        <v>24.657533999999998</v>
      </c>
      <c r="AT133" s="50">
        <v>24.657533999999998</v>
      </c>
      <c r="AU133" s="50">
        <v>24.657533999999998</v>
      </c>
      <c r="AV133" s="50">
        <v>24.657533999999998</v>
      </c>
      <c r="AW133" s="50">
        <v>24.657533999999998</v>
      </c>
      <c r="AX133" s="50">
        <v>24.657533999999998</v>
      </c>
      <c r="AY133" s="50">
        <v>24.657533999999998</v>
      </c>
      <c r="AZ133" s="50">
        <v>24.657533999999998</v>
      </c>
      <c r="BA133" s="50">
        <v>24.657533999999998</v>
      </c>
      <c r="BB133" s="50">
        <v>24.657533999999998</v>
      </c>
      <c r="BC133" s="50">
        <v>24.657533999999998</v>
      </c>
      <c r="BD133" s="50">
        <v>24.657533999999998</v>
      </c>
      <c r="BE133" s="50">
        <v>24.657533999999998</v>
      </c>
      <c r="BF133" s="50">
        <v>24.657533999999998</v>
      </c>
      <c r="BG133" s="50">
        <v>24.657533999999998</v>
      </c>
      <c r="BH133" s="50">
        <v>24.657533999999998</v>
      </c>
      <c r="BI133" s="51"/>
      <c r="BJ133" s="51"/>
    </row>
    <row r="134" spans="1:62" ht="20.100000000000001" hidden="1" customHeight="1" outlineLevel="1" x14ac:dyDescent="0.25">
      <c r="A134" s="59" t="s">
        <v>160</v>
      </c>
      <c r="B134" s="50">
        <v>26.301369999999999</v>
      </c>
      <c r="C134" s="50">
        <v>26.301369999999999</v>
      </c>
      <c r="D134" s="50">
        <v>26.301369999999999</v>
      </c>
      <c r="E134" s="50">
        <v>26.301369999999999</v>
      </c>
      <c r="F134" s="50">
        <v>26.301369999999999</v>
      </c>
      <c r="G134" s="50">
        <v>26.301369999999999</v>
      </c>
      <c r="H134" s="50">
        <v>26.301369999999999</v>
      </c>
      <c r="I134" s="50">
        <v>26.301369999999999</v>
      </c>
      <c r="J134" s="50">
        <v>26.301369999999999</v>
      </c>
      <c r="K134" s="50">
        <v>26.301369999999999</v>
      </c>
      <c r="L134" s="50">
        <v>26.301369999999999</v>
      </c>
      <c r="M134" s="50">
        <v>26.301369999999999</v>
      </c>
      <c r="N134" s="50">
        <v>26.301369999999999</v>
      </c>
      <c r="O134" s="50">
        <v>26.301369999999999</v>
      </c>
      <c r="P134" s="50">
        <v>26.301369999999999</v>
      </c>
      <c r="Q134" s="50">
        <v>26.301369999999999</v>
      </c>
      <c r="R134" s="50">
        <v>26.301369999999999</v>
      </c>
      <c r="S134" s="50">
        <v>26.301369999999999</v>
      </c>
      <c r="T134" s="50">
        <v>26.301369999999999</v>
      </c>
      <c r="U134" s="50">
        <v>26.301369999999999</v>
      </c>
      <c r="V134" s="50">
        <v>26.301369999999999</v>
      </c>
      <c r="W134" s="50">
        <v>26.301369999999999</v>
      </c>
      <c r="X134" s="50">
        <v>26.301369999999999</v>
      </c>
      <c r="Y134" s="50">
        <v>26.301369999999999</v>
      </c>
      <c r="Z134" s="50">
        <v>26.301369999999999</v>
      </c>
      <c r="AA134" s="50">
        <v>26.301369999999999</v>
      </c>
      <c r="AB134" s="50">
        <v>26.301369999999999</v>
      </c>
      <c r="AC134" s="50">
        <v>26.301369999999999</v>
      </c>
      <c r="AD134" s="50">
        <v>26.301369999999999</v>
      </c>
      <c r="AE134" s="50">
        <v>26.301369999999999</v>
      </c>
      <c r="AF134" s="50">
        <v>26.301369999999999</v>
      </c>
      <c r="AG134" s="50">
        <v>26.301369999999999</v>
      </c>
      <c r="AH134" s="50">
        <v>26.301369999999999</v>
      </c>
      <c r="AI134" s="50">
        <v>26.301369999999999</v>
      </c>
      <c r="AJ134" s="50">
        <v>26.301369999999999</v>
      </c>
      <c r="AK134" s="50">
        <v>26.301369999999999</v>
      </c>
      <c r="AL134" s="50">
        <v>26.301369999999999</v>
      </c>
      <c r="AM134" s="50">
        <v>26.301369999999999</v>
      </c>
      <c r="AN134" s="50">
        <v>26.301369999999999</v>
      </c>
      <c r="AO134" s="50">
        <v>26.301369999999999</v>
      </c>
      <c r="AP134" s="50">
        <v>26.301369999999999</v>
      </c>
      <c r="AQ134" s="50">
        <v>26.301369999999999</v>
      </c>
      <c r="AR134" s="50">
        <v>26.301369999999999</v>
      </c>
      <c r="AS134" s="50">
        <v>26.301369999999999</v>
      </c>
      <c r="AT134" s="50">
        <v>26.301369999999999</v>
      </c>
      <c r="AU134" s="50">
        <v>26.301369999999999</v>
      </c>
      <c r="AV134" s="50">
        <v>26.301369999999999</v>
      </c>
      <c r="AW134" s="50">
        <v>26.301369999999999</v>
      </c>
      <c r="AX134" s="50">
        <v>26.301369999999999</v>
      </c>
      <c r="AY134" s="50">
        <v>26.301369999999999</v>
      </c>
      <c r="AZ134" s="50">
        <v>26.301369999999999</v>
      </c>
      <c r="BA134" s="50">
        <v>26.301369999999999</v>
      </c>
      <c r="BB134" s="50">
        <v>26.301369999999999</v>
      </c>
      <c r="BC134" s="50">
        <v>26.301369999999999</v>
      </c>
      <c r="BD134" s="50">
        <v>26.301369999999999</v>
      </c>
      <c r="BE134" s="50">
        <v>26.301369999999999</v>
      </c>
      <c r="BF134" s="50">
        <v>26.301369999999999</v>
      </c>
      <c r="BG134" s="50">
        <v>26.301369999999999</v>
      </c>
      <c r="BH134" s="50">
        <v>26.301369999999999</v>
      </c>
      <c r="BI134" s="51"/>
      <c r="BJ134" s="51"/>
    </row>
    <row r="135" spans="1:62" ht="20.100000000000001" hidden="1" customHeight="1" outlineLevel="1" x14ac:dyDescent="0.25">
      <c r="A135" s="59" t="s">
        <v>290</v>
      </c>
      <c r="B135" s="50">
        <v>24.657533999999998</v>
      </c>
      <c r="C135" s="50">
        <v>24.657533999999998</v>
      </c>
      <c r="D135" s="50">
        <v>24.657533999999998</v>
      </c>
      <c r="E135" s="50">
        <v>24.657533999999998</v>
      </c>
      <c r="F135" s="50">
        <v>24.657533999999998</v>
      </c>
      <c r="G135" s="50">
        <v>24.657533999999998</v>
      </c>
      <c r="H135" s="50">
        <v>24.657533999999998</v>
      </c>
      <c r="I135" s="50">
        <v>24.657533999999998</v>
      </c>
      <c r="J135" s="50">
        <v>24.657533999999998</v>
      </c>
      <c r="K135" s="50">
        <v>24.657533999999998</v>
      </c>
      <c r="L135" s="50">
        <v>24.657533999999998</v>
      </c>
      <c r="M135" s="50">
        <v>24.657533999999998</v>
      </c>
      <c r="N135" s="50">
        <v>24.657533999999998</v>
      </c>
      <c r="O135" s="50">
        <v>24.657533999999998</v>
      </c>
      <c r="P135" s="50">
        <v>24.657533999999998</v>
      </c>
      <c r="Q135" s="50">
        <v>24.657533999999998</v>
      </c>
      <c r="R135" s="50">
        <v>24.657533999999998</v>
      </c>
      <c r="S135" s="50">
        <v>24.657533999999998</v>
      </c>
      <c r="T135" s="50">
        <v>24.657533999999998</v>
      </c>
      <c r="U135" s="50">
        <v>24.657533999999998</v>
      </c>
      <c r="V135" s="50">
        <v>24.657533999999998</v>
      </c>
      <c r="W135" s="50">
        <v>24.657533999999998</v>
      </c>
      <c r="X135" s="50">
        <v>24.657533999999998</v>
      </c>
      <c r="Y135" s="50">
        <v>24.657533999999998</v>
      </c>
      <c r="Z135" s="50">
        <v>24.657533999999998</v>
      </c>
      <c r="AA135" s="50">
        <v>24.657533999999998</v>
      </c>
      <c r="AB135" s="50">
        <v>24.657533999999998</v>
      </c>
      <c r="AC135" s="50">
        <v>24.657533999999998</v>
      </c>
      <c r="AD135" s="50">
        <v>24.657533999999998</v>
      </c>
      <c r="AE135" s="50">
        <v>24.657533999999998</v>
      </c>
      <c r="AF135" s="50">
        <v>24.657533999999998</v>
      </c>
      <c r="AG135" s="50">
        <v>24.657533999999998</v>
      </c>
      <c r="AH135" s="50">
        <v>24.657533999999998</v>
      </c>
      <c r="AI135" s="50">
        <v>24.657533999999998</v>
      </c>
      <c r="AJ135" s="50">
        <v>24.657533999999998</v>
      </c>
      <c r="AK135" s="50">
        <v>24.657533999999998</v>
      </c>
      <c r="AL135" s="50">
        <v>24.657533999999998</v>
      </c>
      <c r="AM135" s="50">
        <v>24.657533999999998</v>
      </c>
      <c r="AN135" s="50">
        <v>24.657533999999998</v>
      </c>
      <c r="AO135" s="50">
        <v>24.657533999999998</v>
      </c>
      <c r="AP135" s="50">
        <v>24.657533999999998</v>
      </c>
      <c r="AQ135" s="50">
        <v>24.657533999999998</v>
      </c>
      <c r="AR135" s="50">
        <v>24.657533999999998</v>
      </c>
      <c r="AS135" s="50">
        <v>24.657533999999998</v>
      </c>
      <c r="AT135" s="50">
        <v>24.657533999999998</v>
      </c>
      <c r="AU135" s="50">
        <v>24.657533999999998</v>
      </c>
      <c r="AV135" s="50">
        <v>24.657533999999998</v>
      </c>
      <c r="AW135" s="50">
        <v>24.657533999999998</v>
      </c>
      <c r="AX135" s="50">
        <v>24.657533999999998</v>
      </c>
      <c r="AY135" s="50">
        <v>24.657533999999998</v>
      </c>
      <c r="AZ135" s="50">
        <v>24.657533999999998</v>
      </c>
      <c r="BA135" s="50">
        <v>24.657533999999998</v>
      </c>
      <c r="BB135" s="50">
        <v>24.657533999999998</v>
      </c>
      <c r="BC135" s="50">
        <v>24.657533999999998</v>
      </c>
      <c r="BD135" s="50">
        <v>24.657533999999998</v>
      </c>
      <c r="BE135" s="50">
        <v>24.657533999999998</v>
      </c>
      <c r="BF135" s="50">
        <v>24.657533999999998</v>
      </c>
      <c r="BG135" s="50">
        <v>24.657533999999998</v>
      </c>
      <c r="BH135" s="50">
        <v>24.657533999999998</v>
      </c>
      <c r="BI135" s="51"/>
      <c r="BJ135" s="51"/>
    </row>
    <row r="136" spans="1:62" ht="20.100000000000001" hidden="1" customHeight="1" outlineLevel="1" x14ac:dyDescent="0.25">
      <c r="A136" s="59" t="s">
        <v>162</v>
      </c>
      <c r="B136" s="50">
        <v>27.397259999999999</v>
      </c>
      <c r="C136" s="50">
        <v>27.397259999999999</v>
      </c>
      <c r="D136" s="50">
        <v>27.397259999999999</v>
      </c>
      <c r="E136" s="50">
        <v>27.397259999999999</v>
      </c>
      <c r="F136" s="50">
        <v>27.397259999999999</v>
      </c>
      <c r="G136" s="50">
        <v>27.397259999999999</v>
      </c>
      <c r="H136" s="50">
        <v>27.397259999999999</v>
      </c>
      <c r="I136" s="50">
        <v>27.397259999999999</v>
      </c>
      <c r="J136" s="50">
        <v>27.397259999999999</v>
      </c>
      <c r="K136" s="50">
        <v>27.397259999999999</v>
      </c>
      <c r="L136" s="50">
        <v>27.397259999999999</v>
      </c>
      <c r="M136" s="50">
        <v>27.397259999999999</v>
      </c>
      <c r="N136" s="50">
        <v>27.397259999999999</v>
      </c>
      <c r="O136" s="50">
        <v>27.397259999999999</v>
      </c>
      <c r="P136" s="50">
        <v>27.397259999999999</v>
      </c>
      <c r="Q136" s="50">
        <v>27.397259999999999</v>
      </c>
      <c r="R136" s="50">
        <v>27.397259999999999</v>
      </c>
      <c r="S136" s="50">
        <v>27.397259999999999</v>
      </c>
      <c r="T136" s="50">
        <v>27.397259999999999</v>
      </c>
      <c r="U136" s="50">
        <v>27.397259999999999</v>
      </c>
      <c r="V136" s="50">
        <v>27.397259999999999</v>
      </c>
      <c r="W136" s="50">
        <v>27.397259999999999</v>
      </c>
      <c r="X136" s="50">
        <v>27.397259999999999</v>
      </c>
      <c r="Y136" s="50">
        <v>27.397259999999999</v>
      </c>
      <c r="Z136" s="50">
        <v>27.397259999999999</v>
      </c>
      <c r="AA136" s="50">
        <v>27.397259999999999</v>
      </c>
      <c r="AB136" s="50">
        <v>27.397259999999999</v>
      </c>
      <c r="AC136" s="50">
        <v>27.397259999999999</v>
      </c>
      <c r="AD136" s="50">
        <v>27.397259999999999</v>
      </c>
      <c r="AE136" s="50">
        <v>27.397259999999999</v>
      </c>
      <c r="AF136" s="50">
        <v>27.397259999999999</v>
      </c>
      <c r="AG136" s="50">
        <v>27.397259999999999</v>
      </c>
      <c r="AH136" s="50">
        <v>27.397259999999999</v>
      </c>
      <c r="AI136" s="50">
        <v>27.397259999999999</v>
      </c>
      <c r="AJ136" s="50">
        <v>27.397259999999999</v>
      </c>
      <c r="AK136" s="50">
        <v>27.397259999999999</v>
      </c>
      <c r="AL136" s="50">
        <v>27.397259999999999</v>
      </c>
      <c r="AM136" s="50">
        <v>27.397259999999999</v>
      </c>
      <c r="AN136" s="50">
        <v>27.397259999999999</v>
      </c>
      <c r="AO136" s="50">
        <v>27.397259999999999</v>
      </c>
      <c r="AP136" s="50">
        <v>27.397259999999999</v>
      </c>
      <c r="AQ136" s="50">
        <v>27.397259999999999</v>
      </c>
      <c r="AR136" s="50">
        <v>27.397259999999999</v>
      </c>
      <c r="AS136" s="50">
        <v>27.397259999999999</v>
      </c>
      <c r="AT136" s="50">
        <v>27.397259999999999</v>
      </c>
      <c r="AU136" s="50">
        <v>27.397259999999999</v>
      </c>
      <c r="AV136" s="50">
        <v>27.397259999999999</v>
      </c>
      <c r="AW136" s="50">
        <v>27.397259999999999</v>
      </c>
      <c r="AX136" s="50">
        <v>27.397259999999999</v>
      </c>
      <c r="AY136" s="50">
        <v>27.397259999999999</v>
      </c>
      <c r="AZ136" s="50">
        <v>27.397259999999999</v>
      </c>
      <c r="BA136" s="50">
        <v>27.397259999999999</v>
      </c>
      <c r="BB136" s="50">
        <v>27.397259999999999</v>
      </c>
      <c r="BC136" s="50">
        <v>27.397259999999999</v>
      </c>
      <c r="BD136" s="50">
        <v>27.397259999999999</v>
      </c>
      <c r="BE136" s="50">
        <v>27.397259999999999</v>
      </c>
      <c r="BF136" s="50">
        <v>27.397259999999999</v>
      </c>
      <c r="BG136" s="50">
        <v>27.397259999999999</v>
      </c>
      <c r="BH136" s="50">
        <v>27.397259999999999</v>
      </c>
      <c r="BI136" s="51"/>
      <c r="BJ136" s="51"/>
    </row>
    <row r="137" spans="1:62" ht="20.100000000000001" hidden="1" customHeight="1" outlineLevel="1" x14ac:dyDescent="0.25">
      <c r="A137" s="59" t="s">
        <v>163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  <c r="Q137" s="50">
        <v>0</v>
      </c>
      <c r="R137" s="50">
        <v>0</v>
      </c>
      <c r="S137" s="50">
        <v>0</v>
      </c>
      <c r="T137" s="50">
        <v>0</v>
      </c>
      <c r="U137" s="50">
        <v>0</v>
      </c>
      <c r="V137" s="50">
        <v>0</v>
      </c>
      <c r="W137" s="50">
        <v>0</v>
      </c>
      <c r="X137" s="50">
        <v>0</v>
      </c>
      <c r="Y137" s="50">
        <v>0</v>
      </c>
      <c r="Z137" s="50">
        <v>0</v>
      </c>
      <c r="AA137" s="50">
        <v>0</v>
      </c>
      <c r="AB137" s="50">
        <v>0</v>
      </c>
      <c r="AC137" s="50">
        <v>0</v>
      </c>
      <c r="AD137" s="50">
        <v>0</v>
      </c>
      <c r="AE137" s="50">
        <v>0</v>
      </c>
      <c r="AF137" s="50">
        <v>0</v>
      </c>
      <c r="AG137" s="50">
        <v>0</v>
      </c>
      <c r="AH137" s="50">
        <v>13.013699000000001</v>
      </c>
      <c r="AI137" s="50">
        <v>13.013699000000001</v>
      </c>
      <c r="AJ137" s="50">
        <v>13.013699000000001</v>
      </c>
      <c r="AK137" s="50">
        <v>13.013699000000001</v>
      </c>
      <c r="AL137" s="50">
        <v>13.013699000000001</v>
      </c>
      <c r="AM137" s="50">
        <v>13.013699000000001</v>
      </c>
      <c r="AN137" s="50">
        <v>13.013699000000001</v>
      </c>
      <c r="AO137" s="50">
        <v>13.013699000000001</v>
      </c>
      <c r="AP137" s="50">
        <v>13.013699000000001</v>
      </c>
      <c r="AQ137" s="50">
        <v>13.013699000000001</v>
      </c>
      <c r="AR137" s="50">
        <v>13.013699000000001</v>
      </c>
      <c r="AS137" s="50">
        <v>13.013699000000001</v>
      </c>
      <c r="AT137" s="50">
        <v>13.013699000000001</v>
      </c>
      <c r="AU137" s="50">
        <v>13.013699000000001</v>
      </c>
      <c r="AV137" s="50">
        <v>13.013699000000001</v>
      </c>
      <c r="AW137" s="50">
        <v>13.013699000000001</v>
      </c>
      <c r="AX137" s="50">
        <v>13.013699000000001</v>
      </c>
      <c r="AY137" s="50">
        <v>13.013699000000001</v>
      </c>
      <c r="AZ137" s="50">
        <v>13.013699000000001</v>
      </c>
      <c r="BA137" s="50">
        <v>13.013699000000001</v>
      </c>
      <c r="BB137" s="50">
        <v>13.013699000000001</v>
      </c>
      <c r="BC137" s="50">
        <v>13.013699000000001</v>
      </c>
      <c r="BD137" s="50">
        <v>13.013699000000001</v>
      </c>
      <c r="BE137" s="50">
        <v>13.013699000000001</v>
      </c>
      <c r="BF137" s="50">
        <v>13.013699000000001</v>
      </c>
      <c r="BG137" s="50">
        <v>13.013699000000001</v>
      </c>
      <c r="BH137" s="50">
        <v>13.013699000000001</v>
      </c>
      <c r="BI137" s="50"/>
      <c r="BJ137" s="50"/>
    </row>
    <row r="138" spans="1:62" ht="20.100000000000001" hidden="1" customHeight="1" outlineLevel="1" x14ac:dyDescent="0.25">
      <c r="A138" s="59" t="s">
        <v>164</v>
      </c>
      <c r="B138" s="50">
        <v>82.907662999999999</v>
      </c>
      <c r="C138" s="50">
        <v>82.907662999999999</v>
      </c>
      <c r="D138" s="50">
        <v>82.907662999999999</v>
      </c>
      <c r="E138" s="50">
        <v>82.907662999999999</v>
      </c>
      <c r="F138" s="50">
        <v>82.907662999999999</v>
      </c>
      <c r="G138" s="50">
        <v>82.907662999999999</v>
      </c>
      <c r="H138" s="50">
        <v>82.907662999999999</v>
      </c>
      <c r="I138" s="50">
        <v>82.907662999999999</v>
      </c>
      <c r="J138" s="50">
        <v>82.907662999999999</v>
      </c>
      <c r="K138" s="50">
        <v>82.907662999999999</v>
      </c>
      <c r="L138" s="50">
        <v>82.907662999999999</v>
      </c>
      <c r="M138" s="50">
        <v>82.907662999999999</v>
      </c>
      <c r="N138" s="50">
        <v>82.907662999999999</v>
      </c>
      <c r="O138" s="50">
        <v>82.907662999999999</v>
      </c>
      <c r="P138" s="50">
        <v>82.907662999999999</v>
      </c>
      <c r="Q138" s="50">
        <v>82.907662999999999</v>
      </c>
      <c r="R138" s="50">
        <v>82.907662999999999</v>
      </c>
      <c r="S138" s="50">
        <v>82.907662999999999</v>
      </c>
      <c r="T138" s="50">
        <v>82.907662999999999</v>
      </c>
      <c r="U138" s="50">
        <v>82.907662999999999</v>
      </c>
      <c r="V138" s="50">
        <v>82.907662999999999</v>
      </c>
      <c r="W138" s="50">
        <v>82.907662999999999</v>
      </c>
      <c r="X138" s="50">
        <v>82.907662999999999</v>
      </c>
      <c r="Y138" s="50">
        <v>82.907662999999999</v>
      </c>
      <c r="Z138" s="50">
        <v>82.907662999999999</v>
      </c>
      <c r="AA138" s="50">
        <v>82.907662999999999</v>
      </c>
      <c r="AB138" s="50">
        <v>82.907662999999999</v>
      </c>
      <c r="AC138" s="50">
        <v>82.907662999999999</v>
      </c>
      <c r="AD138" s="50">
        <v>82.907662999999999</v>
      </c>
      <c r="AE138" s="50">
        <v>82.907662999999999</v>
      </c>
      <c r="AF138" s="50">
        <v>82.907662999999999</v>
      </c>
      <c r="AG138" s="50">
        <v>82.907662999999999</v>
      </c>
      <c r="AH138" s="50">
        <v>82.907662999999999</v>
      </c>
      <c r="AI138" s="50">
        <v>82.907662999999999</v>
      </c>
      <c r="AJ138" s="50">
        <v>82.907662999999999</v>
      </c>
      <c r="AK138" s="50">
        <v>82.907662999999999</v>
      </c>
      <c r="AL138" s="50">
        <v>82.907662999999999</v>
      </c>
      <c r="AM138" s="50">
        <v>82.907662999999999</v>
      </c>
      <c r="AN138" s="50">
        <v>82.907662999999999</v>
      </c>
      <c r="AO138" s="50">
        <v>82.907662999999999</v>
      </c>
      <c r="AP138" s="50">
        <v>82.907662999999999</v>
      </c>
      <c r="AQ138" s="50">
        <v>82.907662999999999</v>
      </c>
      <c r="AR138" s="50">
        <v>82.907662999999999</v>
      </c>
      <c r="AS138" s="50">
        <v>82.907662999999999</v>
      </c>
      <c r="AT138" s="50">
        <v>82.907662999999999</v>
      </c>
      <c r="AU138" s="50">
        <v>82.907662999999999</v>
      </c>
      <c r="AV138" s="50">
        <v>82.907662999999999</v>
      </c>
      <c r="AW138" s="50">
        <v>82.907662999999999</v>
      </c>
      <c r="AX138" s="50">
        <v>82.907662999999999</v>
      </c>
      <c r="AY138" s="50">
        <v>82.907662999999999</v>
      </c>
      <c r="AZ138" s="50">
        <v>82.907662999999999</v>
      </c>
      <c r="BA138" s="50">
        <v>82.907662999999999</v>
      </c>
      <c r="BB138" s="50">
        <v>82.907662999999999</v>
      </c>
      <c r="BC138" s="50">
        <v>82.907662999999999</v>
      </c>
      <c r="BD138" s="50">
        <v>82.907662999999999</v>
      </c>
      <c r="BE138" s="50">
        <v>82.907662999999999</v>
      </c>
      <c r="BF138" s="50">
        <v>82.907662999999999</v>
      </c>
      <c r="BG138" s="50">
        <v>82.907662999999999</v>
      </c>
      <c r="BH138" s="50">
        <v>82.907662999999999</v>
      </c>
      <c r="BI138" s="50"/>
      <c r="BJ138" s="50"/>
    </row>
    <row r="139" spans="1:62" ht="20.100000000000001" hidden="1" customHeight="1" outlineLevel="1" x14ac:dyDescent="0.25">
      <c r="A139" s="59" t="s">
        <v>165</v>
      </c>
      <c r="B139" s="50">
        <v>0</v>
      </c>
      <c r="C139" s="50">
        <v>0</v>
      </c>
      <c r="D139" s="50">
        <v>0</v>
      </c>
      <c r="E139" s="50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26.027397000000001</v>
      </c>
      <c r="AJ139" s="50">
        <v>26.027397000000001</v>
      </c>
      <c r="AK139" s="50">
        <v>26.027397000000001</v>
      </c>
      <c r="AL139" s="50">
        <v>26.027397000000001</v>
      </c>
      <c r="AM139" s="50">
        <v>26.027397000000001</v>
      </c>
      <c r="AN139" s="50">
        <v>26.027397000000001</v>
      </c>
      <c r="AO139" s="50">
        <v>26.027397000000001</v>
      </c>
      <c r="AP139" s="50">
        <v>26.027397000000001</v>
      </c>
      <c r="AQ139" s="50">
        <v>26.027397000000001</v>
      </c>
      <c r="AR139" s="50">
        <v>26.027397000000001</v>
      </c>
      <c r="AS139" s="50">
        <v>26.027397000000001</v>
      </c>
      <c r="AT139" s="50">
        <v>26.027397000000001</v>
      </c>
      <c r="AU139" s="50">
        <v>26.027397000000001</v>
      </c>
      <c r="AV139" s="50">
        <v>26.027397000000001</v>
      </c>
      <c r="AW139" s="50">
        <v>26.027397000000001</v>
      </c>
      <c r="AX139" s="50">
        <v>26.027397000000001</v>
      </c>
      <c r="AY139" s="50">
        <v>26.027397000000001</v>
      </c>
      <c r="AZ139" s="50">
        <v>26.027397000000001</v>
      </c>
      <c r="BA139" s="50">
        <v>26.027397000000001</v>
      </c>
      <c r="BB139" s="50">
        <v>26.027397000000001</v>
      </c>
      <c r="BC139" s="50">
        <v>26.027397000000001</v>
      </c>
      <c r="BD139" s="50">
        <v>26.027397000000001</v>
      </c>
      <c r="BE139" s="50">
        <v>26.027397000000001</v>
      </c>
      <c r="BF139" s="50">
        <v>26.027397000000001</v>
      </c>
      <c r="BG139" s="50">
        <v>26.027397000000001</v>
      </c>
      <c r="BH139" s="50">
        <v>26.027397000000001</v>
      </c>
      <c r="BI139" s="50"/>
      <c r="BJ139" s="50"/>
    </row>
    <row r="140" spans="1:62" ht="20.100000000000001" hidden="1" customHeight="1" outlineLevel="1" x14ac:dyDescent="0.25">
      <c r="A140" s="59" t="s">
        <v>166</v>
      </c>
      <c r="B140" s="50">
        <v>0</v>
      </c>
      <c r="C140" s="50">
        <v>0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  <c r="Q140" s="50">
        <v>0</v>
      </c>
      <c r="R140" s="50">
        <v>0</v>
      </c>
      <c r="S140" s="50">
        <v>0</v>
      </c>
      <c r="T140" s="50">
        <v>0</v>
      </c>
      <c r="U140" s="50">
        <v>143.15068500000001</v>
      </c>
      <c r="V140" s="50">
        <v>143.15068500000001</v>
      </c>
      <c r="W140" s="50">
        <v>143.15068500000001</v>
      </c>
      <c r="X140" s="50">
        <v>143.15068500000001</v>
      </c>
      <c r="Y140" s="50">
        <v>143.15068500000001</v>
      </c>
      <c r="Z140" s="50">
        <v>143.15068500000001</v>
      </c>
      <c r="AA140" s="50">
        <v>143.15068500000001</v>
      </c>
      <c r="AB140" s="50">
        <v>143.15068500000001</v>
      </c>
      <c r="AC140" s="50">
        <v>143.15068500000001</v>
      </c>
      <c r="AD140" s="50">
        <v>143.15068500000001</v>
      </c>
      <c r="AE140" s="50">
        <v>143.15068500000001</v>
      </c>
      <c r="AF140" s="50">
        <v>143.15068500000001</v>
      </c>
      <c r="AG140" s="50">
        <v>143.15068500000001</v>
      </c>
      <c r="AH140" s="50">
        <v>143.15068500000001</v>
      </c>
      <c r="AI140" s="50">
        <v>143.15068500000001</v>
      </c>
      <c r="AJ140" s="50">
        <v>143.15068500000001</v>
      </c>
      <c r="AK140" s="50">
        <v>143.15068500000001</v>
      </c>
      <c r="AL140" s="50">
        <v>143.15068500000001</v>
      </c>
      <c r="AM140" s="50">
        <v>143.15068500000001</v>
      </c>
      <c r="AN140" s="50">
        <v>143.15068500000001</v>
      </c>
      <c r="AO140" s="50">
        <v>143.15068500000001</v>
      </c>
      <c r="AP140" s="50">
        <v>143.15068500000001</v>
      </c>
      <c r="AQ140" s="50">
        <v>143.15068500000001</v>
      </c>
      <c r="AR140" s="50">
        <v>143.15068500000001</v>
      </c>
      <c r="AS140" s="50">
        <v>143.15068500000001</v>
      </c>
      <c r="AT140" s="50">
        <v>143.15068500000001</v>
      </c>
      <c r="AU140" s="50">
        <v>143.15068500000001</v>
      </c>
      <c r="AV140" s="50">
        <v>143.15068500000001</v>
      </c>
      <c r="AW140" s="50">
        <v>143.15068500000001</v>
      </c>
      <c r="AX140" s="50">
        <v>143.15068500000001</v>
      </c>
      <c r="AY140" s="50">
        <v>143.15068500000001</v>
      </c>
      <c r="AZ140" s="50">
        <v>143.15068500000001</v>
      </c>
      <c r="BA140" s="50">
        <v>143.15068500000001</v>
      </c>
      <c r="BB140" s="50">
        <v>143.15068500000001</v>
      </c>
      <c r="BC140" s="50">
        <v>143.15068500000001</v>
      </c>
      <c r="BD140" s="50">
        <v>143.15068500000001</v>
      </c>
      <c r="BE140" s="50">
        <v>143.15068500000001</v>
      </c>
      <c r="BF140" s="50">
        <v>143.15068500000001</v>
      </c>
      <c r="BG140" s="50">
        <v>143.15068500000001</v>
      </c>
      <c r="BH140" s="50">
        <v>143.15068500000001</v>
      </c>
      <c r="BI140" s="50"/>
      <c r="BJ140" s="50"/>
    </row>
    <row r="141" spans="1:62" ht="20.100000000000001" hidden="1" customHeight="1" outlineLevel="1" x14ac:dyDescent="0.25">
      <c r="A141" s="59" t="s">
        <v>291</v>
      </c>
      <c r="B141" s="50">
        <v>116.438356</v>
      </c>
      <c r="C141" s="50">
        <v>116.438356</v>
      </c>
      <c r="D141" s="50">
        <v>116.438356</v>
      </c>
      <c r="E141" s="50">
        <v>116.438356</v>
      </c>
      <c r="F141" s="50">
        <v>116.438356</v>
      </c>
      <c r="G141" s="50">
        <v>116.438356</v>
      </c>
      <c r="H141" s="50">
        <v>116.438356</v>
      </c>
      <c r="I141" s="50">
        <v>116.438356</v>
      </c>
      <c r="J141" s="50">
        <v>116.438356</v>
      </c>
      <c r="K141" s="50">
        <v>116.438356</v>
      </c>
      <c r="L141" s="50">
        <v>116.438356</v>
      </c>
      <c r="M141" s="50">
        <v>116.438356</v>
      </c>
      <c r="N141" s="50">
        <v>116.438356</v>
      </c>
      <c r="O141" s="50">
        <v>116.438356</v>
      </c>
      <c r="P141" s="50">
        <v>116.438356</v>
      </c>
      <c r="Q141" s="50">
        <v>116.438356</v>
      </c>
      <c r="R141" s="50">
        <v>116.438356</v>
      </c>
      <c r="S141" s="50">
        <v>116.438356</v>
      </c>
      <c r="T141" s="50">
        <v>116.438356</v>
      </c>
      <c r="U141" s="50">
        <v>116.438356</v>
      </c>
      <c r="V141" s="50">
        <v>116.438356</v>
      </c>
      <c r="W141" s="50">
        <v>116.438356</v>
      </c>
      <c r="X141" s="50">
        <v>116.438356</v>
      </c>
      <c r="Y141" s="50">
        <v>116.438356</v>
      </c>
      <c r="Z141" s="50">
        <v>116.438356</v>
      </c>
      <c r="AA141" s="50">
        <v>116.438356</v>
      </c>
      <c r="AB141" s="50">
        <v>116.438356</v>
      </c>
      <c r="AC141" s="50">
        <v>116.438356</v>
      </c>
      <c r="AD141" s="50">
        <v>116.438356</v>
      </c>
      <c r="AE141" s="50">
        <v>116.438356</v>
      </c>
      <c r="AF141" s="50">
        <v>116.438356</v>
      </c>
      <c r="AG141" s="50">
        <v>116.438356</v>
      </c>
      <c r="AH141" s="50">
        <v>116.438356</v>
      </c>
      <c r="AI141" s="50">
        <v>116.438356</v>
      </c>
      <c r="AJ141" s="50">
        <v>116.438356</v>
      </c>
      <c r="AK141" s="50">
        <v>116.438356</v>
      </c>
      <c r="AL141" s="50">
        <v>116.438356</v>
      </c>
      <c r="AM141" s="50">
        <v>116.438356</v>
      </c>
      <c r="AN141" s="50">
        <v>116.438356</v>
      </c>
      <c r="AO141" s="50">
        <v>116.438356</v>
      </c>
      <c r="AP141" s="50">
        <v>116.438356</v>
      </c>
      <c r="AQ141" s="50">
        <v>116.438356</v>
      </c>
      <c r="AR141" s="50">
        <v>116.438356</v>
      </c>
      <c r="AS141" s="50">
        <v>116.438356</v>
      </c>
      <c r="AT141" s="50">
        <v>116.438356</v>
      </c>
      <c r="AU141" s="50">
        <v>116.438356</v>
      </c>
      <c r="AV141" s="50">
        <v>116.438356</v>
      </c>
      <c r="AW141" s="50">
        <v>116.438356</v>
      </c>
      <c r="AX141" s="50">
        <v>116.438356</v>
      </c>
      <c r="AY141" s="50">
        <v>116.438356</v>
      </c>
      <c r="AZ141" s="50">
        <v>116.438356</v>
      </c>
      <c r="BA141" s="50">
        <v>116.438356</v>
      </c>
      <c r="BB141" s="50">
        <v>116.438356</v>
      </c>
      <c r="BC141" s="50">
        <v>116.438356</v>
      </c>
      <c r="BD141" s="50">
        <v>116.438356</v>
      </c>
      <c r="BE141" s="50">
        <v>116.438356</v>
      </c>
      <c r="BF141" s="50">
        <v>116.438356</v>
      </c>
      <c r="BG141" s="50">
        <v>116.438356</v>
      </c>
      <c r="BH141" s="50">
        <v>116.438356</v>
      </c>
      <c r="BI141" s="50"/>
      <c r="BJ141" s="50"/>
    </row>
    <row r="142" spans="1:62" ht="20.100000000000001" hidden="1" customHeight="1" outlineLevel="1" x14ac:dyDescent="0.25">
      <c r="A142" s="59" t="s">
        <v>168</v>
      </c>
      <c r="B142" s="50">
        <v>18.742737000000002</v>
      </c>
      <c r="C142" s="50">
        <v>18.742737000000002</v>
      </c>
      <c r="D142" s="50">
        <v>18.742737000000002</v>
      </c>
      <c r="E142" s="50">
        <v>18.742737000000002</v>
      </c>
      <c r="F142" s="50">
        <v>18.742737000000002</v>
      </c>
      <c r="G142" s="50">
        <v>18.742737000000002</v>
      </c>
      <c r="H142" s="50">
        <v>18.742737000000002</v>
      </c>
      <c r="I142" s="50">
        <v>18.742737000000002</v>
      </c>
      <c r="J142" s="50">
        <v>18.742737000000002</v>
      </c>
      <c r="K142" s="50">
        <v>18.742737000000002</v>
      </c>
      <c r="L142" s="50">
        <v>18.742737000000002</v>
      </c>
      <c r="M142" s="50">
        <v>18.742737000000002</v>
      </c>
      <c r="N142" s="50">
        <v>18.742737000000002</v>
      </c>
      <c r="O142" s="50">
        <v>18.742737000000002</v>
      </c>
      <c r="P142" s="50">
        <v>18.742737000000002</v>
      </c>
      <c r="Q142" s="50">
        <v>18.742737000000002</v>
      </c>
      <c r="R142" s="50">
        <v>18.742737000000002</v>
      </c>
      <c r="S142" s="50">
        <v>18.742737000000002</v>
      </c>
      <c r="T142" s="50">
        <v>18.742737000000002</v>
      </c>
      <c r="U142" s="50">
        <v>18.742737000000002</v>
      </c>
      <c r="V142" s="50">
        <v>18.742737000000002</v>
      </c>
      <c r="W142" s="50">
        <v>18.742737000000002</v>
      </c>
      <c r="X142" s="50">
        <v>18.742737000000002</v>
      </c>
      <c r="Y142" s="50">
        <v>18.742737000000002</v>
      </c>
      <c r="Z142" s="50">
        <v>18.742737000000002</v>
      </c>
      <c r="AA142" s="50">
        <v>18.742737000000002</v>
      </c>
      <c r="AB142" s="50">
        <v>18.742737000000002</v>
      </c>
      <c r="AC142" s="50">
        <v>18.742737000000002</v>
      </c>
      <c r="AD142" s="50">
        <v>18.742737000000002</v>
      </c>
      <c r="AE142" s="50">
        <v>18.742737000000002</v>
      </c>
      <c r="AF142" s="50">
        <v>18.742737000000002</v>
      </c>
      <c r="AG142" s="50">
        <v>18.742737000000002</v>
      </c>
      <c r="AH142" s="50">
        <v>18.742737000000002</v>
      </c>
      <c r="AI142" s="50">
        <v>18.742737000000002</v>
      </c>
      <c r="AJ142" s="50">
        <v>18.742737000000002</v>
      </c>
      <c r="AK142" s="50">
        <v>18.742737000000002</v>
      </c>
      <c r="AL142" s="50">
        <v>18.742737000000002</v>
      </c>
      <c r="AM142" s="50">
        <v>18.742737000000002</v>
      </c>
      <c r="AN142" s="50">
        <v>18.742737000000002</v>
      </c>
      <c r="AO142" s="50">
        <v>18.742737000000002</v>
      </c>
      <c r="AP142" s="50">
        <v>18.742737000000002</v>
      </c>
      <c r="AQ142" s="50">
        <v>18.742737000000002</v>
      </c>
      <c r="AR142" s="50">
        <v>18.742737000000002</v>
      </c>
      <c r="AS142" s="50">
        <v>18.742737000000002</v>
      </c>
      <c r="AT142" s="50">
        <v>18.742737000000002</v>
      </c>
      <c r="AU142" s="50">
        <v>18.742737000000002</v>
      </c>
      <c r="AV142" s="50">
        <v>18.742737000000002</v>
      </c>
      <c r="AW142" s="50">
        <v>18.742737000000002</v>
      </c>
      <c r="AX142" s="50">
        <v>18.742737000000002</v>
      </c>
      <c r="AY142" s="50">
        <v>18.742737000000002</v>
      </c>
      <c r="AZ142" s="50">
        <v>18.742737000000002</v>
      </c>
      <c r="BA142" s="50">
        <v>18.742737000000002</v>
      </c>
      <c r="BB142" s="50">
        <v>18.742737000000002</v>
      </c>
      <c r="BC142" s="50">
        <v>18.742737000000002</v>
      </c>
      <c r="BD142" s="50">
        <v>18.742737000000002</v>
      </c>
      <c r="BE142" s="50">
        <v>18.742737000000002</v>
      </c>
      <c r="BF142" s="50">
        <v>18.742737000000002</v>
      </c>
      <c r="BG142" s="50">
        <v>18.742737000000002</v>
      </c>
      <c r="BH142" s="50">
        <v>18.742737000000002</v>
      </c>
      <c r="BI142" s="50"/>
      <c r="BJ142" s="50"/>
    </row>
    <row r="143" spans="1:62" ht="20.100000000000001" hidden="1" customHeight="1" outlineLevel="1" x14ac:dyDescent="0.25">
      <c r="A143" s="59" t="s">
        <v>169</v>
      </c>
      <c r="B143" s="50">
        <v>13.013699000000001</v>
      </c>
      <c r="C143" s="50">
        <v>13.013699000000001</v>
      </c>
      <c r="D143" s="50">
        <v>13.013699000000001</v>
      </c>
      <c r="E143" s="50">
        <v>13.013699000000001</v>
      </c>
      <c r="F143" s="50">
        <v>13.013699000000001</v>
      </c>
      <c r="G143" s="50">
        <v>13.013699000000001</v>
      </c>
      <c r="H143" s="50">
        <v>13.013699000000001</v>
      </c>
      <c r="I143" s="50">
        <v>13.013699000000001</v>
      </c>
      <c r="J143" s="50">
        <v>13.013699000000001</v>
      </c>
      <c r="K143" s="50">
        <v>13.013699000000001</v>
      </c>
      <c r="L143" s="50">
        <v>13.013699000000001</v>
      </c>
      <c r="M143" s="50">
        <v>13.013699000000001</v>
      </c>
      <c r="N143" s="50">
        <v>13.013699000000001</v>
      </c>
      <c r="O143" s="50">
        <v>13.013699000000001</v>
      </c>
      <c r="P143" s="50">
        <v>13.013699000000001</v>
      </c>
      <c r="Q143" s="50">
        <v>13.013699000000001</v>
      </c>
      <c r="R143" s="50">
        <v>13.013699000000001</v>
      </c>
      <c r="S143" s="50">
        <v>13.013699000000001</v>
      </c>
      <c r="T143" s="50">
        <v>13.013699000000001</v>
      </c>
      <c r="U143" s="50">
        <v>13.013699000000001</v>
      </c>
      <c r="V143" s="50">
        <v>13.013699000000001</v>
      </c>
      <c r="W143" s="50">
        <v>13.013699000000001</v>
      </c>
      <c r="X143" s="50">
        <v>13.013699000000001</v>
      </c>
      <c r="Y143" s="50">
        <v>13.013699000000001</v>
      </c>
      <c r="Z143" s="50">
        <v>13.013699000000001</v>
      </c>
      <c r="AA143" s="50">
        <v>13.013699000000001</v>
      </c>
      <c r="AB143" s="50">
        <v>13.013699000000001</v>
      </c>
      <c r="AC143" s="50">
        <v>13.013699000000001</v>
      </c>
      <c r="AD143" s="50">
        <v>13.013699000000001</v>
      </c>
      <c r="AE143" s="50">
        <v>13.013699000000001</v>
      </c>
      <c r="AF143" s="50">
        <v>13.013699000000001</v>
      </c>
      <c r="AG143" s="50">
        <v>13.013699000000001</v>
      </c>
      <c r="AH143" s="50">
        <v>13.013699000000001</v>
      </c>
      <c r="AI143" s="50">
        <v>13.013699000000001</v>
      </c>
      <c r="AJ143" s="50">
        <v>13.013699000000001</v>
      </c>
      <c r="AK143" s="50">
        <v>13.013699000000001</v>
      </c>
      <c r="AL143" s="50">
        <v>13.013699000000001</v>
      </c>
      <c r="AM143" s="50">
        <v>13.013699000000001</v>
      </c>
      <c r="AN143" s="50">
        <v>13.013699000000001</v>
      </c>
      <c r="AO143" s="50">
        <v>13.013699000000001</v>
      </c>
      <c r="AP143" s="50">
        <v>13.013699000000001</v>
      </c>
      <c r="AQ143" s="50">
        <v>13.013699000000001</v>
      </c>
      <c r="AR143" s="50">
        <v>13.013699000000001</v>
      </c>
      <c r="AS143" s="50">
        <v>13.013699000000001</v>
      </c>
      <c r="AT143" s="50">
        <v>13.013699000000001</v>
      </c>
      <c r="AU143" s="50">
        <v>13.013699000000001</v>
      </c>
      <c r="AV143" s="50">
        <v>13.013699000000001</v>
      </c>
      <c r="AW143" s="50">
        <v>13.013699000000001</v>
      </c>
      <c r="AX143" s="50">
        <v>13.013699000000001</v>
      </c>
      <c r="AY143" s="50">
        <v>13.013699000000001</v>
      </c>
      <c r="AZ143" s="50">
        <v>13.013699000000001</v>
      </c>
      <c r="BA143" s="50">
        <v>13.013699000000001</v>
      </c>
      <c r="BB143" s="50">
        <v>13.013699000000001</v>
      </c>
      <c r="BC143" s="50">
        <v>13.013699000000001</v>
      </c>
      <c r="BD143" s="50">
        <v>13.013699000000001</v>
      </c>
      <c r="BE143" s="50">
        <v>13.013699000000001</v>
      </c>
      <c r="BF143" s="50">
        <v>13.013699000000001</v>
      </c>
      <c r="BG143" s="50">
        <v>13.013699000000001</v>
      </c>
      <c r="BH143" s="50">
        <v>13.013699000000001</v>
      </c>
      <c r="BI143" s="50"/>
      <c r="BJ143" s="50"/>
    </row>
    <row r="144" spans="1:62" ht="20.100000000000001" hidden="1" customHeight="1" outlineLevel="1" x14ac:dyDescent="0.25">
      <c r="A144" s="59" t="s">
        <v>170</v>
      </c>
      <c r="B144" s="50">
        <v>0</v>
      </c>
      <c r="C144" s="50">
        <v>0</v>
      </c>
      <c r="D144" s="50">
        <v>0</v>
      </c>
      <c r="E144" s="50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  <c r="Q144" s="50">
        <v>0</v>
      </c>
      <c r="R144" s="50">
        <v>0</v>
      </c>
      <c r="S144" s="50">
        <v>0</v>
      </c>
      <c r="T144" s="50">
        <v>0</v>
      </c>
      <c r="U144" s="50">
        <v>0</v>
      </c>
      <c r="V144" s="50">
        <v>0</v>
      </c>
      <c r="W144" s="50">
        <v>0</v>
      </c>
      <c r="X144" s="50">
        <v>0</v>
      </c>
      <c r="Y144" s="50">
        <v>0</v>
      </c>
      <c r="Z144" s="50">
        <v>0</v>
      </c>
      <c r="AA144" s="50">
        <v>0</v>
      </c>
      <c r="AB144" s="50">
        <v>0</v>
      </c>
      <c r="AC144" s="50">
        <v>0</v>
      </c>
      <c r="AD144" s="50">
        <v>0</v>
      </c>
      <c r="AE144" s="50">
        <v>0</v>
      </c>
      <c r="AF144" s="50">
        <v>0</v>
      </c>
      <c r="AG144" s="50">
        <v>0</v>
      </c>
      <c r="AH144" s="50">
        <v>0</v>
      </c>
      <c r="AI144" s="50">
        <v>0</v>
      </c>
      <c r="AJ144" s="50">
        <v>0</v>
      </c>
      <c r="AK144" s="50">
        <v>0</v>
      </c>
      <c r="AL144" s="50">
        <v>0</v>
      </c>
      <c r="AM144" s="50">
        <v>0</v>
      </c>
      <c r="AN144" s="50">
        <v>0</v>
      </c>
      <c r="AO144" s="50">
        <v>0</v>
      </c>
      <c r="AP144" s="50">
        <v>0</v>
      </c>
      <c r="AQ144" s="50">
        <v>0</v>
      </c>
      <c r="AR144" s="50">
        <v>0</v>
      </c>
      <c r="AS144" s="50">
        <v>0</v>
      </c>
      <c r="AT144" s="50">
        <v>0</v>
      </c>
      <c r="AU144" s="50">
        <v>0</v>
      </c>
      <c r="AV144" s="50">
        <v>0</v>
      </c>
      <c r="AW144" s="50">
        <v>0</v>
      </c>
      <c r="AX144" s="50">
        <v>0</v>
      </c>
      <c r="AY144" s="50">
        <v>39.041096000000003</v>
      </c>
      <c r="AZ144" s="50">
        <v>39.041096000000003</v>
      </c>
      <c r="BA144" s="50">
        <v>39.041096000000003</v>
      </c>
      <c r="BB144" s="50">
        <v>39.041096000000003</v>
      </c>
      <c r="BC144" s="50">
        <v>39.041096000000003</v>
      </c>
      <c r="BD144" s="50">
        <v>39.041096000000003</v>
      </c>
      <c r="BE144" s="50">
        <v>39.041096000000003</v>
      </c>
      <c r="BF144" s="50">
        <v>39.041096000000003</v>
      </c>
      <c r="BG144" s="50">
        <v>39.041096000000003</v>
      </c>
      <c r="BH144" s="50">
        <v>39.041096000000003</v>
      </c>
      <c r="BI144" s="50"/>
      <c r="BJ144" s="50"/>
    </row>
    <row r="145" spans="1:62" ht="20.100000000000001" hidden="1" customHeight="1" outlineLevel="1" x14ac:dyDescent="0.25">
      <c r="A145" s="59" t="s">
        <v>292</v>
      </c>
      <c r="B145" s="50">
        <v>31.928825</v>
      </c>
      <c r="C145" s="50">
        <v>31.928825</v>
      </c>
      <c r="D145" s="50">
        <v>31.928825</v>
      </c>
      <c r="E145" s="50">
        <v>31.928825</v>
      </c>
      <c r="F145" s="50">
        <v>31.928825</v>
      </c>
      <c r="G145" s="50">
        <v>31.928825</v>
      </c>
      <c r="H145" s="50">
        <v>31.928825</v>
      </c>
      <c r="I145" s="50">
        <v>31.928825</v>
      </c>
      <c r="J145" s="50">
        <v>31.928825</v>
      </c>
      <c r="K145" s="50">
        <v>31.928825</v>
      </c>
      <c r="L145" s="50">
        <v>31.928825</v>
      </c>
      <c r="M145" s="50">
        <v>31.928825</v>
      </c>
      <c r="N145" s="50">
        <v>31.928825</v>
      </c>
      <c r="O145" s="50">
        <v>31.928825</v>
      </c>
      <c r="P145" s="50">
        <v>31.928825</v>
      </c>
      <c r="Q145" s="50">
        <v>31.928825</v>
      </c>
      <c r="R145" s="50">
        <v>31.928825</v>
      </c>
      <c r="S145" s="50">
        <v>31.928825</v>
      </c>
      <c r="T145" s="50">
        <v>31.928825</v>
      </c>
      <c r="U145" s="50">
        <v>31.928825</v>
      </c>
      <c r="V145" s="50">
        <v>31.928825</v>
      </c>
      <c r="W145" s="50">
        <v>31.928825</v>
      </c>
      <c r="X145" s="50">
        <v>31.928825</v>
      </c>
      <c r="Y145" s="50">
        <v>31.928825</v>
      </c>
      <c r="Z145" s="50">
        <v>31.928825</v>
      </c>
      <c r="AA145" s="50">
        <v>31.928825</v>
      </c>
      <c r="AB145" s="50">
        <v>31.928825</v>
      </c>
      <c r="AC145" s="50">
        <v>31.928825</v>
      </c>
      <c r="AD145" s="50">
        <v>31.928825</v>
      </c>
      <c r="AE145" s="50">
        <v>31.928825</v>
      </c>
      <c r="AF145" s="50">
        <v>31.928825</v>
      </c>
      <c r="AG145" s="50">
        <v>31.928825</v>
      </c>
      <c r="AH145" s="50">
        <v>31.928825</v>
      </c>
      <c r="AI145" s="50">
        <v>31.928825</v>
      </c>
      <c r="AJ145" s="50">
        <v>31.928825</v>
      </c>
      <c r="AK145" s="50">
        <v>31.928825</v>
      </c>
      <c r="AL145" s="50">
        <v>31.928825</v>
      </c>
      <c r="AM145" s="50">
        <v>31.928825</v>
      </c>
      <c r="AN145" s="50">
        <v>31.928825</v>
      </c>
      <c r="AO145" s="50">
        <v>31.928825</v>
      </c>
      <c r="AP145" s="50">
        <v>31.928825</v>
      </c>
      <c r="AQ145" s="50">
        <v>31.928825</v>
      </c>
      <c r="AR145" s="50">
        <v>31.928825</v>
      </c>
      <c r="AS145" s="50">
        <v>31.928825</v>
      </c>
      <c r="AT145" s="50">
        <v>31.928825</v>
      </c>
      <c r="AU145" s="50">
        <v>31.928825</v>
      </c>
      <c r="AV145" s="50">
        <v>31.928825</v>
      </c>
      <c r="AW145" s="50">
        <v>31.928825</v>
      </c>
      <c r="AX145" s="50">
        <v>31.928825</v>
      </c>
      <c r="AY145" s="50">
        <v>31.928825</v>
      </c>
      <c r="AZ145" s="50">
        <v>31.928825</v>
      </c>
      <c r="BA145" s="50">
        <v>31.928825</v>
      </c>
      <c r="BB145" s="50">
        <v>31.928825</v>
      </c>
      <c r="BC145" s="50">
        <v>31.928825</v>
      </c>
      <c r="BD145" s="50">
        <v>31.928825</v>
      </c>
      <c r="BE145" s="50">
        <v>31.928825</v>
      </c>
      <c r="BF145" s="50">
        <v>31.928825</v>
      </c>
      <c r="BG145" s="50">
        <v>31.928825</v>
      </c>
      <c r="BH145" s="50">
        <v>31.928825</v>
      </c>
      <c r="BI145" s="50"/>
      <c r="BJ145" s="50"/>
    </row>
    <row r="146" spans="1:62" ht="20.100000000000001" hidden="1" customHeight="1" outlineLevel="1" x14ac:dyDescent="0.25">
      <c r="A146" s="59" t="s">
        <v>293</v>
      </c>
      <c r="B146" s="50">
        <v>49.315067999999997</v>
      </c>
      <c r="C146" s="50">
        <v>49.315067999999997</v>
      </c>
      <c r="D146" s="50">
        <v>49.315067999999997</v>
      </c>
      <c r="E146" s="50">
        <v>49.315067999999997</v>
      </c>
      <c r="F146" s="50">
        <v>49.315067999999997</v>
      </c>
      <c r="G146" s="50">
        <v>49.315067999999997</v>
      </c>
      <c r="H146" s="50">
        <v>49.315067999999997</v>
      </c>
      <c r="I146" s="50">
        <v>49.315067999999997</v>
      </c>
      <c r="J146" s="50">
        <v>49.315067999999997</v>
      </c>
      <c r="K146" s="50">
        <v>49.315067999999997</v>
      </c>
      <c r="L146" s="50">
        <v>49.315067999999997</v>
      </c>
      <c r="M146" s="50">
        <v>49.315067999999997</v>
      </c>
      <c r="N146" s="50">
        <v>49.315067999999997</v>
      </c>
      <c r="O146" s="50">
        <v>49.315067999999997</v>
      </c>
      <c r="P146" s="50">
        <v>49.315067999999997</v>
      </c>
      <c r="Q146" s="50">
        <v>49.315067999999997</v>
      </c>
      <c r="R146" s="50">
        <v>49.315067999999997</v>
      </c>
      <c r="S146" s="50">
        <v>49.315067999999997</v>
      </c>
      <c r="T146" s="50">
        <v>49.315067999999997</v>
      </c>
      <c r="U146" s="50">
        <v>49.315067999999997</v>
      </c>
      <c r="V146" s="50">
        <v>49.315067999999997</v>
      </c>
      <c r="W146" s="50">
        <v>49.315067999999997</v>
      </c>
      <c r="X146" s="50">
        <v>49.315067999999997</v>
      </c>
      <c r="Y146" s="50">
        <v>49.315067999999997</v>
      </c>
      <c r="Z146" s="50">
        <v>49.315067999999997</v>
      </c>
      <c r="AA146" s="50">
        <v>49.315067999999997</v>
      </c>
      <c r="AB146" s="50">
        <v>49.315067999999997</v>
      </c>
      <c r="AC146" s="50">
        <v>49.315067999999997</v>
      </c>
      <c r="AD146" s="50">
        <v>49.315067999999997</v>
      </c>
      <c r="AE146" s="50">
        <v>49.315067999999997</v>
      </c>
      <c r="AF146" s="50">
        <v>49.315067999999997</v>
      </c>
      <c r="AG146" s="50">
        <v>49.315067999999997</v>
      </c>
      <c r="AH146" s="50">
        <v>49.315067999999997</v>
      </c>
      <c r="AI146" s="50">
        <v>49.315067999999997</v>
      </c>
      <c r="AJ146" s="50">
        <v>49.315067999999997</v>
      </c>
      <c r="AK146" s="50">
        <v>49.315067999999997</v>
      </c>
      <c r="AL146" s="50">
        <v>49.315067999999997</v>
      </c>
      <c r="AM146" s="50">
        <v>49.315067999999997</v>
      </c>
      <c r="AN146" s="50">
        <v>49.315067999999997</v>
      </c>
      <c r="AO146" s="50">
        <v>49.315067999999997</v>
      </c>
      <c r="AP146" s="50">
        <v>49.315067999999997</v>
      </c>
      <c r="AQ146" s="50">
        <v>49.315067999999997</v>
      </c>
      <c r="AR146" s="50">
        <v>49.315067999999997</v>
      </c>
      <c r="AS146" s="50">
        <v>49.315067999999997</v>
      </c>
      <c r="AT146" s="50">
        <v>49.315067999999997</v>
      </c>
      <c r="AU146" s="50">
        <v>49.315067999999997</v>
      </c>
      <c r="AV146" s="50">
        <v>49.315067999999997</v>
      </c>
      <c r="AW146" s="50">
        <v>49.315067999999997</v>
      </c>
      <c r="AX146" s="50">
        <v>49.315067999999997</v>
      </c>
      <c r="AY146" s="50">
        <v>49.315067999999997</v>
      </c>
      <c r="AZ146" s="50">
        <v>49.315067999999997</v>
      </c>
      <c r="BA146" s="50">
        <v>49.315067999999997</v>
      </c>
      <c r="BB146" s="50">
        <v>49.315067999999997</v>
      </c>
      <c r="BC146" s="50">
        <v>49.315067999999997</v>
      </c>
      <c r="BD146" s="50">
        <v>49.315067999999997</v>
      </c>
      <c r="BE146" s="50">
        <v>49.315067999999997</v>
      </c>
      <c r="BF146" s="50">
        <v>49.315067999999997</v>
      </c>
      <c r="BG146" s="50">
        <v>49.315067999999997</v>
      </c>
      <c r="BH146" s="50">
        <v>49.315067999999997</v>
      </c>
      <c r="BI146" s="51"/>
      <c r="BJ146" s="51"/>
    </row>
    <row r="147" spans="1:62" ht="20.100000000000001" hidden="1" customHeight="1" outlineLevel="1" x14ac:dyDescent="0.25">
      <c r="A147" s="59" t="s">
        <v>173</v>
      </c>
      <c r="B147" s="50">
        <v>0</v>
      </c>
      <c r="C147" s="50">
        <v>0</v>
      </c>
      <c r="D147" s="50">
        <v>0</v>
      </c>
      <c r="E147" s="50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  <c r="Q147" s="50">
        <v>0</v>
      </c>
      <c r="R147" s="50">
        <v>0</v>
      </c>
      <c r="S147" s="50">
        <v>0</v>
      </c>
      <c r="T147" s="50">
        <v>0</v>
      </c>
      <c r="U147" s="50">
        <v>0</v>
      </c>
      <c r="V147" s="50">
        <v>0</v>
      </c>
      <c r="W147" s="50">
        <v>0</v>
      </c>
      <c r="X147" s="50">
        <v>0</v>
      </c>
      <c r="Y147" s="50">
        <v>0</v>
      </c>
      <c r="Z147" s="50">
        <v>0</v>
      </c>
      <c r="AA147" s="50">
        <v>0</v>
      </c>
      <c r="AB147" s="50">
        <v>0</v>
      </c>
      <c r="AC147" s="50">
        <v>0</v>
      </c>
      <c r="AD147" s="50">
        <v>0</v>
      </c>
      <c r="AE147" s="50">
        <v>0</v>
      </c>
      <c r="AF147" s="50">
        <v>0</v>
      </c>
      <c r="AG147" s="50">
        <v>0</v>
      </c>
      <c r="AH147" s="50">
        <v>0</v>
      </c>
      <c r="AI147" s="50">
        <v>0</v>
      </c>
      <c r="AJ147" s="50">
        <v>0</v>
      </c>
      <c r="AK147" s="50">
        <v>0</v>
      </c>
      <c r="AL147" s="50">
        <v>0</v>
      </c>
      <c r="AM147" s="50">
        <v>0</v>
      </c>
      <c r="AN147" s="50">
        <v>0</v>
      </c>
      <c r="AO147" s="50">
        <v>0</v>
      </c>
      <c r="AP147" s="50">
        <v>0</v>
      </c>
      <c r="AQ147" s="50">
        <v>0</v>
      </c>
      <c r="AR147" s="50">
        <v>0</v>
      </c>
      <c r="AS147" s="50">
        <v>0</v>
      </c>
      <c r="AT147" s="50">
        <v>0</v>
      </c>
      <c r="AU147" s="50">
        <v>0</v>
      </c>
      <c r="AV147" s="50">
        <v>0</v>
      </c>
      <c r="AW147" s="50">
        <v>0</v>
      </c>
      <c r="AX147" s="50">
        <v>0</v>
      </c>
      <c r="AY147" s="50">
        <v>0</v>
      </c>
      <c r="AZ147" s="50">
        <v>0</v>
      </c>
      <c r="BA147" s="50">
        <v>0</v>
      </c>
      <c r="BB147" s="50">
        <v>0</v>
      </c>
      <c r="BC147" s="50">
        <v>0</v>
      </c>
      <c r="BD147" s="50">
        <v>20.821918</v>
      </c>
      <c r="BE147" s="50">
        <v>20.821918</v>
      </c>
      <c r="BF147" s="50">
        <v>20.821918</v>
      </c>
      <c r="BG147" s="50">
        <v>20.821918</v>
      </c>
      <c r="BH147" s="50">
        <v>20.821918</v>
      </c>
      <c r="BI147" s="51"/>
      <c r="BJ147" s="51"/>
    </row>
    <row r="148" spans="1:62" ht="20.100000000000001" hidden="1" customHeight="1" outlineLevel="1" x14ac:dyDescent="0.25">
      <c r="A148" s="59" t="s">
        <v>176</v>
      </c>
      <c r="B148" s="50">
        <v>14.414101</v>
      </c>
      <c r="C148" s="50">
        <v>14.414101</v>
      </c>
      <c r="D148" s="50">
        <v>14.414101</v>
      </c>
      <c r="E148" s="50">
        <v>14.414101</v>
      </c>
      <c r="F148" s="50">
        <v>14.414101</v>
      </c>
      <c r="G148" s="50">
        <v>14.414101</v>
      </c>
      <c r="H148" s="50">
        <v>14.414101</v>
      </c>
      <c r="I148" s="50">
        <v>14.414101</v>
      </c>
      <c r="J148" s="50">
        <v>14.414101</v>
      </c>
      <c r="K148" s="50">
        <v>14.414101</v>
      </c>
      <c r="L148" s="50">
        <v>14.414101</v>
      </c>
      <c r="M148" s="50">
        <v>14.414101</v>
      </c>
      <c r="N148" s="50">
        <v>14.414101</v>
      </c>
      <c r="O148" s="50">
        <v>14.414101</v>
      </c>
      <c r="P148" s="50">
        <v>14.414101</v>
      </c>
      <c r="Q148" s="50">
        <v>14.414101</v>
      </c>
      <c r="R148" s="50">
        <v>14.414101</v>
      </c>
      <c r="S148" s="50">
        <v>14.414101</v>
      </c>
      <c r="T148" s="50">
        <v>14.414101</v>
      </c>
      <c r="U148" s="50">
        <v>14.414101</v>
      </c>
      <c r="V148" s="50">
        <v>14.414101</v>
      </c>
      <c r="W148" s="50">
        <v>14.414101</v>
      </c>
      <c r="X148" s="50">
        <v>14.414101</v>
      </c>
      <c r="Y148" s="50">
        <v>14.414101</v>
      </c>
      <c r="Z148" s="50">
        <v>14.414101</v>
      </c>
      <c r="AA148" s="50">
        <v>14.414101</v>
      </c>
      <c r="AB148" s="50">
        <v>14.414101</v>
      </c>
      <c r="AC148" s="50">
        <v>14.414101</v>
      </c>
      <c r="AD148" s="50">
        <v>14.414101</v>
      </c>
      <c r="AE148" s="50">
        <v>14.414101</v>
      </c>
      <c r="AF148" s="50">
        <v>14.414101</v>
      </c>
      <c r="AG148" s="50">
        <v>14.414101</v>
      </c>
      <c r="AH148" s="50">
        <v>14.414101</v>
      </c>
      <c r="AI148" s="50">
        <v>14.414101</v>
      </c>
      <c r="AJ148" s="50">
        <v>14.414101</v>
      </c>
      <c r="AK148" s="50">
        <v>14.414101</v>
      </c>
      <c r="AL148" s="50">
        <v>14.414101</v>
      </c>
      <c r="AM148" s="50">
        <v>14.414101</v>
      </c>
      <c r="AN148" s="50">
        <v>14.414101</v>
      </c>
      <c r="AO148" s="50">
        <v>14.414101</v>
      </c>
      <c r="AP148" s="50">
        <v>14.414101</v>
      </c>
      <c r="AQ148" s="50">
        <v>14.414101</v>
      </c>
      <c r="AR148" s="50">
        <v>14.414101</v>
      </c>
      <c r="AS148" s="50">
        <v>14.414101</v>
      </c>
      <c r="AT148" s="50">
        <v>14.414101</v>
      </c>
      <c r="AU148" s="50">
        <v>14.414101</v>
      </c>
      <c r="AV148" s="50">
        <v>14.414101</v>
      </c>
      <c r="AW148" s="50">
        <v>14.414101</v>
      </c>
      <c r="AX148" s="50">
        <v>14.414101</v>
      </c>
      <c r="AY148" s="50">
        <v>14.414101</v>
      </c>
      <c r="AZ148" s="50">
        <v>14.414101</v>
      </c>
      <c r="BA148" s="50">
        <v>14.414101</v>
      </c>
      <c r="BB148" s="50">
        <v>14.414101</v>
      </c>
      <c r="BC148" s="50">
        <v>14.414101</v>
      </c>
      <c r="BD148" s="50">
        <v>14.414101</v>
      </c>
      <c r="BE148" s="50">
        <v>14.414101</v>
      </c>
      <c r="BF148" s="50">
        <v>14.414101</v>
      </c>
      <c r="BG148" s="50">
        <v>14.414101</v>
      </c>
      <c r="BH148" s="50">
        <v>14.414101</v>
      </c>
      <c r="BI148" s="51"/>
      <c r="BJ148" s="51"/>
    </row>
    <row r="149" spans="1:62" ht="20.100000000000001" hidden="1" customHeight="1" outlineLevel="1" x14ac:dyDescent="0.25">
      <c r="A149" s="59" t="s">
        <v>177</v>
      </c>
      <c r="B149" s="50">
        <v>15.342466</v>
      </c>
      <c r="C149" s="50">
        <v>15.342466</v>
      </c>
      <c r="D149" s="50">
        <v>15.342466</v>
      </c>
      <c r="E149" s="50">
        <v>15.342466</v>
      </c>
      <c r="F149" s="50">
        <v>15.342466</v>
      </c>
      <c r="G149" s="50">
        <v>15.342466</v>
      </c>
      <c r="H149" s="50">
        <v>15.342466</v>
      </c>
      <c r="I149" s="50">
        <v>15.342466</v>
      </c>
      <c r="J149" s="50">
        <v>15.342466</v>
      </c>
      <c r="K149" s="50">
        <v>15.342466</v>
      </c>
      <c r="L149" s="50">
        <v>15.342466</v>
      </c>
      <c r="M149" s="50">
        <v>15.342466</v>
      </c>
      <c r="N149" s="50">
        <v>15.342466</v>
      </c>
      <c r="O149" s="50">
        <v>15.342466</v>
      </c>
      <c r="P149" s="50">
        <v>15.342466</v>
      </c>
      <c r="Q149" s="50">
        <v>15.342466</v>
      </c>
      <c r="R149" s="50">
        <v>15.342466</v>
      </c>
      <c r="S149" s="50">
        <v>15.342466</v>
      </c>
      <c r="T149" s="50">
        <v>15.342466</v>
      </c>
      <c r="U149" s="50">
        <v>15.342466</v>
      </c>
      <c r="V149" s="50">
        <v>15.342466</v>
      </c>
      <c r="W149" s="50">
        <v>15.342466</v>
      </c>
      <c r="X149" s="50">
        <v>15.342466</v>
      </c>
      <c r="Y149" s="50">
        <v>15.342466</v>
      </c>
      <c r="Z149" s="50">
        <v>15.342466</v>
      </c>
      <c r="AA149" s="50">
        <v>15.342466</v>
      </c>
      <c r="AB149" s="50">
        <v>15.342466</v>
      </c>
      <c r="AC149" s="50">
        <v>15.342466</v>
      </c>
      <c r="AD149" s="50">
        <v>15.342466</v>
      </c>
      <c r="AE149" s="50">
        <v>15.342466</v>
      </c>
      <c r="AF149" s="50">
        <v>15.342466</v>
      </c>
      <c r="AG149" s="50">
        <v>15.342466</v>
      </c>
      <c r="AH149" s="50">
        <v>15.342466</v>
      </c>
      <c r="AI149" s="50">
        <v>15.342466</v>
      </c>
      <c r="AJ149" s="50">
        <v>15.342466</v>
      </c>
      <c r="AK149" s="50">
        <v>15.342466</v>
      </c>
      <c r="AL149" s="50">
        <v>15.342466</v>
      </c>
      <c r="AM149" s="50">
        <v>15.342466</v>
      </c>
      <c r="AN149" s="50">
        <v>15.342466</v>
      </c>
      <c r="AO149" s="50">
        <v>15.342466</v>
      </c>
      <c r="AP149" s="50">
        <v>15.342466</v>
      </c>
      <c r="AQ149" s="50">
        <v>15.342466</v>
      </c>
      <c r="AR149" s="50">
        <v>15.342466</v>
      </c>
      <c r="AS149" s="50">
        <v>15.342466</v>
      </c>
      <c r="AT149" s="50">
        <v>15.342466</v>
      </c>
      <c r="AU149" s="50">
        <v>15.342466</v>
      </c>
      <c r="AV149" s="50">
        <v>15.342466</v>
      </c>
      <c r="AW149" s="50">
        <v>15.342466</v>
      </c>
      <c r="AX149" s="50">
        <v>15.342466</v>
      </c>
      <c r="AY149" s="50">
        <v>15.342466</v>
      </c>
      <c r="AZ149" s="50">
        <v>15.342466</v>
      </c>
      <c r="BA149" s="50">
        <v>15.342466</v>
      </c>
      <c r="BB149" s="50">
        <v>15.342466</v>
      </c>
      <c r="BC149" s="50">
        <v>15.342466</v>
      </c>
      <c r="BD149" s="50">
        <v>15.342466</v>
      </c>
      <c r="BE149" s="50">
        <v>15.342466</v>
      </c>
      <c r="BF149" s="50">
        <v>15.342466</v>
      </c>
      <c r="BG149" s="50">
        <v>15.342466</v>
      </c>
      <c r="BH149" s="50">
        <v>15.342466</v>
      </c>
      <c r="BI149" s="51"/>
      <c r="BJ149" s="51"/>
    </row>
    <row r="150" spans="1:62" ht="20.100000000000001" hidden="1" customHeight="1" outlineLevel="1" x14ac:dyDescent="0.25">
      <c r="A150" s="59" t="s">
        <v>178</v>
      </c>
      <c r="B150" s="50">
        <v>26.027397000000001</v>
      </c>
      <c r="C150" s="50">
        <v>26.027397000000001</v>
      </c>
      <c r="D150" s="50">
        <v>26.027397000000001</v>
      </c>
      <c r="E150" s="50">
        <v>26.027397000000001</v>
      </c>
      <c r="F150" s="50">
        <v>26.027397000000001</v>
      </c>
      <c r="G150" s="50">
        <v>26.027397000000001</v>
      </c>
      <c r="H150" s="50">
        <v>26.027397000000001</v>
      </c>
      <c r="I150" s="50">
        <v>26.027397000000001</v>
      </c>
      <c r="J150" s="50">
        <v>26.027397000000001</v>
      </c>
      <c r="K150" s="50">
        <v>26.027397000000001</v>
      </c>
      <c r="L150" s="50">
        <v>26.027397000000001</v>
      </c>
      <c r="M150" s="50">
        <v>26.027397000000001</v>
      </c>
      <c r="N150" s="50">
        <v>26.027397000000001</v>
      </c>
      <c r="O150" s="50">
        <v>26.027397000000001</v>
      </c>
      <c r="P150" s="50">
        <v>26.027397000000001</v>
      </c>
      <c r="Q150" s="50">
        <v>26.027397000000001</v>
      </c>
      <c r="R150" s="50">
        <v>26.027397000000001</v>
      </c>
      <c r="S150" s="50">
        <v>26.027397000000001</v>
      </c>
      <c r="T150" s="50">
        <v>26.027397000000001</v>
      </c>
      <c r="U150" s="50">
        <v>26.027397000000001</v>
      </c>
      <c r="V150" s="50">
        <v>26.027397000000001</v>
      </c>
      <c r="W150" s="50">
        <v>26.027397000000001</v>
      </c>
      <c r="X150" s="50">
        <v>26.027397000000001</v>
      </c>
      <c r="Y150" s="50">
        <v>26.027397000000001</v>
      </c>
      <c r="Z150" s="50">
        <v>26.027397000000001</v>
      </c>
      <c r="AA150" s="50">
        <v>26.027397000000001</v>
      </c>
      <c r="AB150" s="50">
        <v>26.027397000000001</v>
      </c>
      <c r="AC150" s="50">
        <v>26.027397000000001</v>
      </c>
      <c r="AD150" s="50">
        <v>26.027397000000001</v>
      </c>
      <c r="AE150" s="50">
        <v>26.027397000000001</v>
      </c>
      <c r="AF150" s="50">
        <v>26.027397000000001</v>
      </c>
      <c r="AG150" s="50">
        <v>26.027397000000001</v>
      </c>
      <c r="AH150" s="50">
        <v>26.027397000000001</v>
      </c>
      <c r="AI150" s="50">
        <v>26.027397000000001</v>
      </c>
      <c r="AJ150" s="50">
        <v>26.027397000000001</v>
      </c>
      <c r="AK150" s="50">
        <v>26.027397000000001</v>
      </c>
      <c r="AL150" s="50">
        <v>26.027397000000001</v>
      </c>
      <c r="AM150" s="50">
        <v>26.027397000000001</v>
      </c>
      <c r="AN150" s="50">
        <v>26.027397000000001</v>
      </c>
      <c r="AO150" s="50">
        <v>26.027397000000001</v>
      </c>
      <c r="AP150" s="50">
        <v>26.027397000000001</v>
      </c>
      <c r="AQ150" s="50">
        <v>26.027397000000001</v>
      </c>
      <c r="AR150" s="50">
        <v>26.027397000000001</v>
      </c>
      <c r="AS150" s="50">
        <v>26.027397000000001</v>
      </c>
      <c r="AT150" s="50">
        <v>26.027397000000001</v>
      </c>
      <c r="AU150" s="50">
        <v>26.027397000000001</v>
      </c>
      <c r="AV150" s="50">
        <v>26.027397000000001</v>
      </c>
      <c r="AW150" s="50">
        <v>26.027397000000001</v>
      </c>
      <c r="AX150" s="50">
        <v>26.027397000000001</v>
      </c>
      <c r="AY150" s="50">
        <v>26.027397000000001</v>
      </c>
      <c r="AZ150" s="50">
        <v>26.027397000000001</v>
      </c>
      <c r="BA150" s="50">
        <v>26.027397000000001</v>
      </c>
      <c r="BB150" s="50">
        <v>26.027397000000001</v>
      </c>
      <c r="BC150" s="50">
        <v>26.027397000000001</v>
      </c>
      <c r="BD150" s="50">
        <v>26.027397000000001</v>
      </c>
      <c r="BE150" s="50">
        <v>26.027397000000001</v>
      </c>
      <c r="BF150" s="50">
        <v>26.027397000000001</v>
      </c>
      <c r="BG150" s="50">
        <v>26.027397000000001</v>
      </c>
      <c r="BH150" s="50">
        <v>26.027397000000001</v>
      </c>
      <c r="BI150" s="51"/>
      <c r="BJ150" s="51"/>
    </row>
    <row r="151" spans="1:62" ht="20.100000000000001" hidden="1" customHeight="1" outlineLevel="1" x14ac:dyDescent="0.25">
      <c r="A151" s="59" t="s">
        <v>180</v>
      </c>
      <c r="B151" s="50">
        <v>195.98923400000001</v>
      </c>
      <c r="C151" s="50">
        <v>195.98923400000001</v>
      </c>
      <c r="D151" s="50">
        <v>195.98923400000001</v>
      </c>
      <c r="E151" s="50">
        <v>195.98923400000001</v>
      </c>
      <c r="F151" s="50">
        <v>195.98923400000001</v>
      </c>
      <c r="G151" s="50">
        <v>195.98923400000001</v>
      </c>
      <c r="H151" s="50">
        <v>195.98923400000001</v>
      </c>
      <c r="I151" s="50">
        <v>195.98923400000001</v>
      </c>
      <c r="J151" s="50">
        <v>195.98923400000001</v>
      </c>
      <c r="K151" s="50">
        <v>195.98923400000001</v>
      </c>
      <c r="L151" s="50">
        <v>195.98923400000001</v>
      </c>
      <c r="M151" s="50">
        <v>195.98923400000001</v>
      </c>
      <c r="N151" s="50">
        <v>195.98923400000001</v>
      </c>
      <c r="O151" s="50">
        <v>195.98923400000001</v>
      </c>
      <c r="P151" s="50">
        <v>195.98923400000001</v>
      </c>
      <c r="Q151" s="50">
        <v>195.98923400000001</v>
      </c>
      <c r="R151" s="50">
        <v>195.98923400000001</v>
      </c>
      <c r="S151" s="50">
        <v>195.98923400000001</v>
      </c>
      <c r="T151" s="50">
        <v>195.98923400000001</v>
      </c>
      <c r="U151" s="50">
        <v>195.98923400000001</v>
      </c>
      <c r="V151" s="50">
        <v>195.98923400000001</v>
      </c>
      <c r="W151" s="50">
        <v>195.98923400000001</v>
      </c>
      <c r="X151" s="50">
        <v>195.98923400000001</v>
      </c>
      <c r="Y151" s="50">
        <v>195.98923400000001</v>
      </c>
      <c r="Z151" s="50">
        <v>195.98923400000001</v>
      </c>
      <c r="AA151" s="50">
        <v>195.98923400000001</v>
      </c>
      <c r="AB151" s="50">
        <v>195.98923400000001</v>
      </c>
      <c r="AC151" s="50">
        <v>195.98923400000001</v>
      </c>
      <c r="AD151" s="50">
        <v>195.98923400000001</v>
      </c>
      <c r="AE151" s="50">
        <v>195.98923400000001</v>
      </c>
      <c r="AF151" s="50">
        <v>195.98923400000001</v>
      </c>
      <c r="AG151" s="50">
        <v>195.98923400000001</v>
      </c>
      <c r="AH151" s="50">
        <v>195.98923400000001</v>
      </c>
      <c r="AI151" s="50">
        <v>195.98923400000001</v>
      </c>
      <c r="AJ151" s="50">
        <v>195.98923400000001</v>
      </c>
      <c r="AK151" s="50">
        <v>195.98923400000001</v>
      </c>
      <c r="AL151" s="50">
        <v>195.98923400000001</v>
      </c>
      <c r="AM151" s="50">
        <v>195.98923400000001</v>
      </c>
      <c r="AN151" s="50">
        <v>195.98923400000001</v>
      </c>
      <c r="AO151" s="50">
        <v>195.98923400000001</v>
      </c>
      <c r="AP151" s="50">
        <v>195.98923400000001</v>
      </c>
      <c r="AQ151" s="50">
        <v>195.98923400000001</v>
      </c>
      <c r="AR151" s="50">
        <v>195.98923400000001</v>
      </c>
      <c r="AS151" s="50">
        <v>195.98923400000001</v>
      </c>
      <c r="AT151" s="50">
        <v>195.98923400000001</v>
      </c>
      <c r="AU151" s="50">
        <v>195.98923400000001</v>
      </c>
      <c r="AV151" s="50">
        <v>195.98923400000001</v>
      </c>
      <c r="AW151" s="50">
        <v>195.98923400000001</v>
      </c>
      <c r="AX151" s="50">
        <v>195.98923400000001</v>
      </c>
      <c r="AY151" s="50">
        <v>195.98923400000001</v>
      </c>
      <c r="AZ151" s="50">
        <v>195.98923400000001</v>
      </c>
      <c r="BA151" s="50">
        <v>195.98923400000001</v>
      </c>
      <c r="BB151" s="50">
        <v>195.98923400000001</v>
      </c>
      <c r="BC151" s="50">
        <v>195.98923400000001</v>
      </c>
      <c r="BD151" s="50">
        <v>195.98923400000001</v>
      </c>
      <c r="BE151" s="50">
        <v>195.98923400000001</v>
      </c>
      <c r="BF151" s="50">
        <v>195.98923400000001</v>
      </c>
      <c r="BG151" s="50">
        <v>195.98923400000001</v>
      </c>
      <c r="BH151" s="50">
        <v>195.98923400000001</v>
      </c>
      <c r="BI151" s="51"/>
      <c r="BJ151" s="51"/>
    </row>
    <row r="152" spans="1:62" ht="20.100000000000001" hidden="1" customHeight="1" outlineLevel="1" x14ac:dyDescent="0.25">
      <c r="A152" s="59" t="s">
        <v>181</v>
      </c>
      <c r="B152" s="50">
        <v>18.255718000000002</v>
      </c>
      <c r="C152" s="50">
        <v>18.255718000000002</v>
      </c>
      <c r="D152" s="50">
        <v>18.255718000000002</v>
      </c>
      <c r="E152" s="50">
        <v>18.255718000000002</v>
      </c>
      <c r="F152" s="50">
        <v>18.255718000000002</v>
      </c>
      <c r="G152" s="50">
        <v>18.255718000000002</v>
      </c>
      <c r="H152" s="50">
        <v>18.255718000000002</v>
      </c>
      <c r="I152" s="50">
        <v>18.255718000000002</v>
      </c>
      <c r="J152" s="50">
        <v>18.255718000000002</v>
      </c>
      <c r="K152" s="50">
        <v>18.255718000000002</v>
      </c>
      <c r="L152" s="50">
        <v>18.255718000000002</v>
      </c>
      <c r="M152" s="50">
        <v>18.255718000000002</v>
      </c>
      <c r="N152" s="50">
        <v>18.255718000000002</v>
      </c>
      <c r="O152" s="50">
        <v>18.255718000000002</v>
      </c>
      <c r="P152" s="50">
        <v>18.255718000000002</v>
      </c>
      <c r="Q152" s="50">
        <v>18.255718000000002</v>
      </c>
      <c r="R152" s="50">
        <v>18.255718000000002</v>
      </c>
      <c r="S152" s="50">
        <v>18.255718000000002</v>
      </c>
      <c r="T152" s="50">
        <v>18.255718000000002</v>
      </c>
      <c r="U152" s="50">
        <v>18.255718000000002</v>
      </c>
      <c r="V152" s="50">
        <v>18.255718000000002</v>
      </c>
      <c r="W152" s="50">
        <v>18.255718000000002</v>
      </c>
      <c r="X152" s="50">
        <v>18.255718000000002</v>
      </c>
      <c r="Y152" s="50">
        <v>18.255718000000002</v>
      </c>
      <c r="Z152" s="50">
        <v>18.255718000000002</v>
      </c>
      <c r="AA152" s="50">
        <v>18.255718000000002</v>
      </c>
      <c r="AB152" s="50">
        <v>18.255718000000002</v>
      </c>
      <c r="AC152" s="50">
        <v>18.255718000000002</v>
      </c>
      <c r="AD152" s="50">
        <v>18.255718000000002</v>
      </c>
      <c r="AE152" s="50">
        <v>18.255718000000002</v>
      </c>
      <c r="AF152" s="50">
        <v>18.255718000000002</v>
      </c>
      <c r="AG152" s="50">
        <v>18.255718000000002</v>
      </c>
      <c r="AH152" s="50">
        <v>18.255718000000002</v>
      </c>
      <c r="AI152" s="50">
        <v>18.255718000000002</v>
      </c>
      <c r="AJ152" s="50">
        <v>18.255718000000002</v>
      </c>
      <c r="AK152" s="50">
        <v>18.255718000000002</v>
      </c>
      <c r="AL152" s="50">
        <v>18.255718000000002</v>
      </c>
      <c r="AM152" s="50">
        <v>18.255718000000002</v>
      </c>
      <c r="AN152" s="50">
        <v>18.255718000000002</v>
      </c>
      <c r="AO152" s="50">
        <v>18.255718000000002</v>
      </c>
      <c r="AP152" s="50">
        <v>18.255718000000002</v>
      </c>
      <c r="AQ152" s="50">
        <v>18.255718000000002</v>
      </c>
      <c r="AR152" s="50">
        <v>18.255718000000002</v>
      </c>
      <c r="AS152" s="50">
        <v>18.255718000000002</v>
      </c>
      <c r="AT152" s="50">
        <v>18.255718000000002</v>
      </c>
      <c r="AU152" s="50">
        <v>18.255718000000002</v>
      </c>
      <c r="AV152" s="50">
        <v>18.255718000000002</v>
      </c>
      <c r="AW152" s="50">
        <v>18.255718000000002</v>
      </c>
      <c r="AX152" s="50">
        <v>18.255718000000002</v>
      </c>
      <c r="AY152" s="50">
        <v>18.255718000000002</v>
      </c>
      <c r="AZ152" s="50">
        <v>18.255718000000002</v>
      </c>
      <c r="BA152" s="50">
        <v>18.255718000000002</v>
      </c>
      <c r="BB152" s="50">
        <v>18.255718000000002</v>
      </c>
      <c r="BC152" s="50">
        <v>18.255718000000002</v>
      </c>
      <c r="BD152" s="50">
        <v>18.255718000000002</v>
      </c>
      <c r="BE152" s="50">
        <v>18.255718000000002</v>
      </c>
      <c r="BF152" s="50">
        <v>18.255718000000002</v>
      </c>
      <c r="BG152" s="50">
        <v>18.255718000000002</v>
      </c>
      <c r="BH152" s="50">
        <v>18.255718000000002</v>
      </c>
      <c r="BI152" s="51"/>
      <c r="BJ152" s="51"/>
    </row>
    <row r="153" spans="1:62" ht="20.100000000000001" hidden="1" customHeight="1" outlineLevel="1" x14ac:dyDescent="0.25">
      <c r="A153" s="59" t="s">
        <v>182</v>
      </c>
      <c r="B153" s="50">
        <v>158.219178</v>
      </c>
      <c r="C153" s="50">
        <v>158.219178</v>
      </c>
      <c r="D153" s="50">
        <v>158.219178</v>
      </c>
      <c r="E153" s="50">
        <v>158.219178</v>
      </c>
      <c r="F153" s="50">
        <v>158.219178</v>
      </c>
      <c r="G153" s="50">
        <v>158.219178</v>
      </c>
      <c r="H153" s="50">
        <v>158.219178</v>
      </c>
      <c r="I153" s="50">
        <v>158.219178</v>
      </c>
      <c r="J153" s="50">
        <v>158.219178</v>
      </c>
      <c r="K153" s="50">
        <v>158.219178</v>
      </c>
      <c r="L153" s="50">
        <v>158.219178</v>
      </c>
      <c r="M153" s="50">
        <v>158.219178</v>
      </c>
      <c r="N153" s="50">
        <v>158.219178</v>
      </c>
      <c r="O153" s="50">
        <v>158.219178</v>
      </c>
      <c r="P153" s="50">
        <v>158.219178</v>
      </c>
      <c r="Q153" s="50">
        <v>158.219178</v>
      </c>
      <c r="R153" s="50">
        <v>158.219178</v>
      </c>
      <c r="S153" s="50">
        <v>158.219178</v>
      </c>
      <c r="T153" s="50">
        <v>158.219178</v>
      </c>
      <c r="U153" s="50">
        <v>158.219178</v>
      </c>
      <c r="V153" s="50">
        <v>158.219178</v>
      </c>
      <c r="W153" s="50">
        <v>158.219178</v>
      </c>
      <c r="X153" s="50">
        <v>158.219178</v>
      </c>
      <c r="Y153" s="50">
        <v>158.219178</v>
      </c>
      <c r="Z153" s="50">
        <v>158.219178</v>
      </c>
      <c r="AA153" s="50">
        <v>158.219178</v>
      </c>
      <c r="AB153" s="50">
        <v>158.219178</v>
      </c>
      <c r="AC153" s="50">
        <v>158.219178</v>
      </c>
      <c r="AD153" s="50">
        <v>158.219178</v>
      </c>
      <c r="AE153" s="50">
        <v>158.219178</v>
      </c>
      <c r="AF153" s="50">
        <v>158.219178</v>
      </c>
      <c r="AG153" s="50">
        <v>158.219178</v>
      </c>
      <c r="AH153" s="50">
        <v>158.219178</v>
      </c>
      <c r="AI153" s="50">
        <v>158.219178</v>
      </c>
      <c r="AJ153" s="50">
        <v>158.219178</v>
      </c>
      <c r="AK153" s="50">
        <v>158.219178</v>
      </c>
      <c r="AL153" s="50">
        <v>158.219178</v>
      </c>
      <c r="AM153" s="50">
        <v>158.219178</v>
      </c>
      <c r="AN153" s="50">
        <v>158.219178</v>
      </c>
      <c r="AO153" s="50">
        <v>158.219178</v>
      </c>
      <c r="AP153" s="50">
        <v>158.219178</v>
      </c>
      <c r="AQ153" s="50">
        <v>158.219178</v>
      </c>
      <c r="AR153" s="50">
        <v>158.219178</v>
      </c>
      <c r="AS153" s="50">
        <v>158.219178</v>
      </c>
      <c r="AT153" s="50">
        <v>158.219178</v>
      </c>
      <c r="AU153" s="50">
        <v>158.219178</v>
      </c>
      <c r="AV153" s="50">
        <v>158.219178</v>
      </c>
      <c r="AW153" s="50">
        <v>158.219178</v>
      </c>
      <c r="AX153" s="50">
        <v>158.219178</v>
      </c>
      <c r="AY153" s="50">
        <v>158.219178</v>
      </c>
      <c r="AZ153" s="50">
        <v>158.219178</v>
      </c>
      <c r="BA153" s="50">
        <v>158.219178</v>
      </c>
      <c r="BB153" s="50">
        <v>158.219178</v>
      </c>
      <c r="BC153" s="50">
        <v>158.219178</v>
      </c>
      <c r="BD153" s="50">
        <v>158.219178</v>
      </c>
      <c r="BE153" s="50">
        <v>158.219178</v>
      </c>
      <c r="BF153" s="50">
        <v>158.219178</v>
      </c>
      <c r="BG153" s="50">
        <v>158.219178</v>
      </c>
      <c r="BH153" s="50">
        <v>158.219178</v>
      </c>
      <c r="BI153" s="51"/>
      <c r="BJ153" s="51"/>
    </row>
    <row r="154" spans="1:62" ht="20.100000000000001" hidden="1" customHeight="1" outlineLevel="1" x14ac:dyDescent="0.25">
      <c r="A154" s="59" t="s">
        <v>183</v>
      </c>
      <c r="B154" s="50">
        <v>23.013698999999999</v>
      </c>
      <c r="C154" s="50">
        <v>23.013698999999999</v>
      </c>
      <c r="D154" s="50">
        <v>23.013698999999999</v>
      </c>
      <c r="E154" s="50">
        <v>23.013698999999999</v>
      </c>
      <c r="F154" s="50">
        <v>23.013698999999999</v>
      </c>
      <c r="G154" s="50">
        <v>23.013698999999999</v>
      </c>
      <c r="H154" s="50">
        <v>23.013698999999999</v>
      </c>
      <c r="I154" s="50">
        <v>23.013698999999999</v>
      </c>
      <c r="J154" s="50">
        <v>23.013698999999999</v>
      </c>
      <c r="K154" s="50">
        <v>23.013698999999999</v>
      </c>
      <c r="L154" s="50">
        <v>23.013698999999999</v>
      </c>
      <c r="M154" s="50">
        <v>23.013698999999999</v>
      </c>
      <c r="N154" s="50">
        <v>23.013698999999999</v>
      </c>
      <c r="O154" s="50">
        <v>23.013698999999999</v>
      </c>
      <c r="P154" s="50">
        <v>23.013698999999999</v>
      </c>
      <c r="Q154" s="50">
        <v>23.013698999999999</v>
      </c>
      <c r="R154" s="50">
        <v>23.013698999999999</v>
      </c>
      <c r="S154" s="50">
        <v>23.013698999999999</v>
      </c>
      <c r="T154" s="50">
        <v>23.013698999999999</v>
      </c>
      <c r="U154" s="50">
        <v>23.013698999999999</v>
      </c>
      <c r="V154" s="50">
        <v>23.013698999999999</v>
      </c>
      <c r="W154" s="50">
        <v>23.013698999999999</v>
      </c>
      <c r="X154" s="50">
        <v>23.013698999999999</v>
      </c>
      <c r="Y154" s="50">
        <v>23.013698999999999</v>
      </c>
      <c r="Z154" s="50">
        <v>23.013698999999999</v>
      </c>
      <c r="AA154" s="50">
        <v>23.013698999999999</v>
      </c>
      <c r="AB154" s="50">
        <v>23.013698999999999</v>
      </c>
      <c r="AC154" s="50">
        <v>23.013698999999999</v>
      </c>
      <c r="AD154" s="50">
        <v>23.013698999999999</v>
      </c>
      <c r="AE154" s="50">
        <v>23.013698999999999</v>
      </c>
      <c r="AF154" s="50">
        <v>23.013698999999999</v>
      </c>
      <c r="AG154" s="50">
        <v>23.013698999999999</v>
      </c>
      <c r="AH154" s="50">
        <v>23.013698999999999</v>
      </c>
      <c r="AI154" s="50">
        <v>23.013698999999999</v>
      </c>
      <c r="AJ154" s="50">
        <v>23.013698999999999</v>
      </c>
      <c r="AK154" s="50">
        <v>23.013698999999999</v>
      </c>
      <c r="AL154" s="50">
        <v>23.013698999999999</v>
      </c>
      <c r="AM154" s="50">
        <v>23.013698999999999</v>
      </c>
      <c r="AN154" s="50">
        <v>23.013698999999999</v>
      </c>
      <c r="AO154" s="50">
        <v>23.013698999999999</v>
      </c>
      <c r="AP154" s="50">
        <v>23.013698999999999</v>
      </c>
      <c r="AQ154" s="50">
        <v>23.013698999999999</v>
      </c>
      <c r="AR154" s="50">
        <v>23.013698999999999</v>
      </c>
      <c r="AS154" s="50">
        <v>23.013698999999999</v>
      </c>
      <c r="AT154" s="50">
        <v>23.013698999999999</v>
      </c>
      <c r="AU154" s="50">
        <v>23.013698999999999</v>
      </c>
      <c r="AV154" s="50">
        <v>23.013698999999999</v>
      </c>
      <c r="AW154" s="50">
        <v>23.013698999999999</v>
      </c>
      <c r="AX154" s="50">
        <v>23.013698999999999</v>
      </c>
      <c r="AY154" s="50">
        <v>23.013698999999999</v>
      </c>
      <c r="AZ154" s="50">
        <v>23.013698999999999</v>
      </c>
      <c r="BA154" s="50">
        <v>23.013698999999999</v>
      </c>
      <c r="BB154" s="50">
        <v>23.013698999999999</v>
      </c>
      <c r="BC154" s="50">
        <v>23.013698999999999</v>
      </c>
      <c r="BD154" s="50">
        <v>23.013698999999999</v>
      </c>
      <c r="BE154" s="50">
        <v>23.013698999999999</v>
      </c>
      <c r="BF154" s="50">
        <v>23.013698999999999</v>
      </c>
      <c r="BG154" s="50">
        <v>23.013698999999999</v>
      </c>
      <c r="BH154" s="50">
        <v>23.013698999999999</v>
      </c>
      <c r="BI154" s="51"/>
      <c r="BJ154" s="51"/>
    </row>
    <row r="155" spans="1:62" ht="20.100000000000001" hidden="1" customHeight="1" outlineLevel="1" x14ac:dyDescent="0.25">
      <c r="A155" s="59" t="s">
        <v>185</v>
      </c>
      <c r="B155" s="50">
        <v>25.056773</v>
      </c>
      <c r="C155" s="50">
        <v>25.056773</v>
      </c>
      <c r="D155" s="50">
        <v>25.056773</v>
      </c>
      <c r="E155" s="50">
        <v>25.056773</v>
      </c>
      <c r="F155" s="50">
        <v>25.056773</v>
      </c>
      <c r="G155" s="50">
        <v>25.056773</v>
      </c>
      <c r="H155" s="50">
        <v>25.056773</v>
      </c>
      <c r="I155" s="50">
        <v>25.056773</v>
      </c>
      <c r="J155" s="50">
        <v>25.056773</v>
      </c>
      <c r="K155" s="50">
        <v>25.056773</v>
      </c>
      <c r="L155" s="50">
        <v>25.056773</v>
      </c>
      <c r="M155" s="50">
        <v>25.056773</v>
      </c>
      <c r="N155" s="50">
        <v>25.056773</v>
      </c>
      <c r="O155" s="50">
        <v>25.056773</v>
      </c>
      <c r="P155" s="50">
        <v>25.056773</v>
      </c>
      <c r="Q155" s="50">
        <v>25.056773</v>
      </c>
      <c r="R155" s="50">
        <v>25.056773</v>
      </c>
      <c r="S155" s="50">
        <v>25.056773</v>
      </c>
      <c r="T155" s="50">
        <v>25.056773</v>
      </c>
      <c r="U155" s="50">
        <v>25.056773</v>
      </c>
      <c r="V155" s="50">
        <v>25.056773</v>
      </c>
      <c r="W155" s="50">
        <v>25.056773</v>
      </c>
      <c r="X155" s="50">
        <v>25.056773</v>
      </c>
      <c r="Y155" s="50">
        <v>25.056773</v>
      </c>
      <c r="Z155" s="50">
        <v>25.056773</v>
      </c>
      <c r="AA155" s="50">
        <v>25.056773</v>
      </c>
      <c r="AB155" s="50">
        <v>25.056773</v>
      </c>
      <c r="AC155" s="50">
        <v>25.056773</v>
      </c>
      <c r="AD155" s="50">
        <v>25.056773</v>
      </c>
      <c r="AE155" s="50">
        <v>25.056773</v>
      </c>
      <c r="AF155" s="50">
        <v>25.056773</v>
      </c>
      <c r="AG155" s="50">
        <v>25.056773</v>
      </c>
      <c r="AH155" s="50">
        <v>25.056773</v>
      </c>
      <c r="AI155" s="50">
        <v>25.056773</v>
      </c>
      <c r="AJ155" s="50">
        <v>25.056773</v>
      </c>
      <c r="AK155" s="50">
        <v>25.056773</v>
      </c>
      <c r="AL155" s="50">
        <v>25.056773</v>
      </c>
      <c r="AM155" s="50">
        <v>25.056773</v>
      </c>
      <c r="AN155" s="50">
        <v>25.056773</v>
      </c>
      <c r="AO155" s="50">
        <v>25.056773</v>
      </c>
      <c r="AP155" s="50">
        <v>25.056773</v>
      </c>
      <c r="AQ155" s="50">
        <v>25.056773</v>
      </c>
      <c r="AR155" s="50">
        <v>25.056773</v>
      </c>
      <c r="AS155" s="50">
        <v>25.056773</v>
      </c>
      <c r="AT155" s="50">
        <v>25.056773</v>
      </c>
      <c r="AU155" s="50">
        <v>25.056773</v>
      </c>
      <c r="AV155" s="50">
        <v>25.056773</v>
      </c>
      <c r="AW155" s="50">
        <v>25.056773</v>
      </c>
      <c r="AX155" s="50">
        <v>25.056773</v>
      </c>
      <c r="AY155" s="50">
        <v>25.056773</v>
      </c>
      <c r="AZ155" s="50">
        <v>25.056773</v>
      </c>
      <c r="BA155" s="50">
        <v>25.056773</v>
      </c>
      <c r="BB155" s="50">
        <v>25.056773</v>
      </c>
      <c r="BC155" s="50">
        <v>25.056773</v>
      </c>
      <c r="BD155" s="50">
        <v>25.056773</v>
      </c>
      <c r="BE155" s="50">
        <v>25.056773</v>
      </c>
      <c r="BF155" s="50">
        <v>25.056773</v>
      </c>
      <c r="BG155" s="50">
        <v>25.056773</v>
      </c>
      <c r="BH155" s="50">
        <v>25.056773</v>
      </c>
      <c r="BI155" s="51"/>
      <c r="BJ155" s="51"/>
    </row>
    <row r="156" spans="1:62" ht="20.100000000000001" hidden="1" customHeight="1" outlineLevel="1" x14ac:dyDescent="0.25">
      <c r="A156" s="59" t="s">
        <v>294</v>
      </c>
      <c r="B156" s="50">
        <v>49.315067999999997</v>
      </c>
      <c r="C156" s="50">
        <v>49.315067999999997</v>
      </c>
      <c r="D156" s="50">
        <v>49.315067999999997</v>
      </c>
      <c r="E156" s="50">
        <v>49.315067999999997</v>
      </c>
      <c r="F156" s="50">
        <v>49.315067999999997</v>
      </c>
      <c r="G156" s="50">
        <v>49.315067999999997</v>
      </c>
      <c r="H156" s="50">
        <v>49.315067999999997</v>
      </c>
      <c r="I156" s="50">
        <v>49.315067999999997</v>
      </c>
      <c r="J156" s="50">
        <v>49.315067999999997</v>
      </c>
      <c r="K156" s="50">
        <v>49.315067999999997</v>
      </c>
      <c r="L156" s="50">
        <v>49.315067999999997</v>
      </c>
      <c r="M156" s="50">
        <v>49.315067999999997</v>
      </c>
      <c r="N156" s="50">
        <v>49.315067999999997</v>
      </c>
      <c r="O156" s="50">
        <v>49.315067999999997</v>
      </c>
      <c r="P156" s="50">
        <v>49.315067999999997</v>
      </c>
      <c r="Q156" s="50">
        <v>49.315067999999997</v>
      </c>
      <c r="R156" s="50">
        <v>49.315067999999997</v>
      </c>
      <c r="S156" s="50">
        <v>49.315067999999997</v>
      </c>
      <c r="T156" s="50">
        <v>49.315067999999997</v>
      </c>
      <c r="U156" s="50">
        <v>49.315067999999997</v>
      </c>
      <c r="V156" s="50">
        <v>49.315067999999997</v>
      </c>
      <c r="W156" s="50">
        <v>49.315067999999997</v>
      </c>
      <c r="X156" s="50">
        <v>49.315067999999997</v>
      </c>
      <c r="Y156" s="50">
        <v>49.315067999999997</v>
      </c>
      <c r="Z156" s="50">
        <v>49.315067999999997</v>
      </c>
      <c r="AA156" s="50">
        <v>49.315067999999997</v>
      </c>
      <c r="AB156" s="50">
        <v>49.315067999999997</v>
      </c>
      <c r="AC156" s="50">
        <v>49.315067999999997</v>
      </c>
      <c r="AD156" s="50">
        <v>49.315067999999997</v>
      </c>
      <c r="AE156" s="50">
        <v>49.315067999999997</v>
      </c>
      <c r="AF156" s="50">
        <v>49.315067999999997</v>
      </c>
      <c r="AG156" s="50">
        <v>49.315067999999997</v>
      </c>
      <c r="AH156" s="50">
        <v>49.315067999999997</v>
      </c>
      <c r="AI156" s="50">
        <v>49.315067999999997</v>
      </c>
      <c r="AJ156" s="50">
        <v>49.315067999999997</v>
      </c>
      <c r="AK156" s="50">
        <v>49.315067999999997</v>
      </c>
      <c r="AL156" s="50">
        <v>49.315067999999997</v>
      </c>
      <c r="AM156" s="50">
        <v>49.315067999999997</v>
      </c>
      <c r="AN156" s="50">
        <v>49.315067999999997</v>
      </c>
      <c r="AO156" s="50">
        <v>49.315067999999997</v>
      </c>
      <c r="AP156" s="50">
        <v>49.315067999999997</v>
      </c>
      <c r="AQ156" s="50">
        <v>49.315067999999997</v>
      </c>
      <c r="AR156" s="50">
        <v>49.315067999999997</v>
      </c>
      <c r="AS156" s="50">
        <v>49.315067999999997</v>
      </c>
      <c r="AT156" s="50">
        <v>49.315067999999997</v>
      </c>
      <c r="AU156" s="50">
        <v>49.315067999999997</v>
      </c>
      <c r="AV156" s="50">
        <v>49.315067999999997</v>
      </c>
      <c r="AW156" s="50">
        <v>49.315067999999997</v>
      </c>
      <c r="AX156" s="50">
        <v>49.315067999999997</v>
      </c>
      <c r="AY156" s="50">
        <v>49.315067999999997</v>
      </c>
      <c r="AZ156" s="50">
        <v>49.315067999999997</v>
      </c>
      <c r="BA156" s="50">
        <v>49.315067999999997</v>
      </c>
      <c r="BB156" s="50">
        <v>49.315067999999997</v>
      </c>
      <c r="BC156" s="50">
        <v>49.315067999999997</v>
      </c>
      <c r="BD156" s="50">
        <v>49.315067999999997</v>
      </c>
      <c r="BE156" s="50">
        <v>49.315067999999997</v>
      </c>
      <c r="BF156" s="50">
        <v>49.315067999999997</v>
      </c>
      <c r="BG156" s="50">
        <v>49.315067999999997</v>
      </c>
      <c r="BH156" s="50">
        <v>49.315067999999997</v>
      </c>
      <c r="BI156" s="51"/>
      <c r="BJ156" s="51"/>
    </row>
    <row r="157" spans="1:62" ht="20.100000000000001" hidden="1" customHeight="1" outlineLevel="1" x14ac:dyDescent="0.25">
      <c r="A157" s="59" t="s">
        <v>186</v>
      </c>
      <c r="B157" s="50">
        <v>54.794521000000003</v>
      </c>
      <c r="C157" s="50">
        <v>54.794521000000003</v>
      </c>
      <c r="D157" s="50">
        <v>54.794521000000003</v>
      </c>
      <c r="E157" s="50">
        <v>54.794521000000003</v>
      </c>
      <c r="F157" s="50">
        <v>54.794521000000003</v>
      </c>
      <c r="G157" s="50">
        <v>54.794521000000003</v>
      </c>
      <c r="H157" s="50">
        <v>54.794521000000003</v>
      </c>
      <c r="I157" s="50">
        <v>54.794521000000003</v>
      </c>
      <c r="J157" s="50">
        <v>54.794521000000003</v>
      </c>
      <c r="K157" s="50">
        <v>54.794521000000003</v>
      </c>
      <c r="L157" s="50">
        <v>54.794521000000003</v>
      </c>
      <c r="M157" s="50">
        <v>54.794521000000003</v>
      </c>
      <c r="N157" s="50">
        <v>54.794521000000003</v>
      </c>
      <c r="O157" s="50">
        <v>54.794521000000003</v>
      </c>
      <c r="P157" s="50">
        <v>54.794521000000003</v>
      </c>
      <c r="Q157" s="50">
        <v>54.794521000000003</v>
      </c>
      <c r="R157" s="50">
        <v>54.794521000000003</v>
      </c>
      <c r="S157" s="50">
        <v>54.794521000000003</v>
      </c>
      <c r="T157" s="50">
        <v>54.794521000000003</v>
      </c>
      <c r="U157" s="50">
        <v>54.794521000000003</v>
      </c>
      <c r="V157" s="50">
        <v>54.794521000000003</v>
      </c>
      <c r="W157" s="50">
        <v>54.794521000000003</v>
      </c>
      <c r="X157" s="50">
        <v>54.794521000000003</v>
      </c>
      <c r="Y157" s="50">
        <v>54.794521000000003</v>
      </c>
      <c r="Z157" s="50">
        <v>54.794521000000003</v>
      </c>
      <c r="AA157" s="50">
        <v>54.794521000000003</v>
      </c>
      <c r="AB157" s="50">
        <v>54.794521000000003</v>
      </c>
      <c r="AC157" s="50">
        <v>54.794521000000003</v>
      </c>
      <c r="AD157" s="50">
        <v>54.794521000000003</v>
      </c>
      <c r="AE157" s="50">
        <v>54.794521000000003</v>
      </c>
      <c r="AF157" s="50">
        <v>54.794521000000003</v>
      </c>
      <c r="AG157" s="50">
        <v>54.794521000000003</v>
      </c>
      <c r="AH157" s="50">
        <v>54.794521000000003</v>
      </c>
      <c r="AI157" s="50">
        <v>54.794521000000003</v>
      </c>
      <c r="AJ157" s="50">
        <v>54.794521000000003</v>
      </c>
      <c r="AK157" s="50">
        <v>54.794521000000003</v>
      </c>
      <c r="AL157" s="50">
        <v>54.794521000000003</v>
      </c>
      <c r="AM157" s="50">
        <v>54.794521000000003</v>
      </c>
      <c r="AN157" s="50">
        <v>54.794521000000003</v>
      </c>
      <c r="AO157" s="50">
        <v>54.794521000000003</v>
      </c>
      <c r="AP157" s="50">
        <v>54.794521000000003</v>
      </c>
      <c r="AQ157" s="50">
        <v>54.794521000000003</v>
      </c>
      <c r="AR157" s="50">
        <v>54.794521000000003</v>
      </c>
      <c r="AS157" s="50">
        <v>54.794521000000003</v>
      </c>
      <c r="AT157" s="50">
        <v>54.794521000000003</v>
      </c>
      <c r="AU157" s="50">
        <v>54.794521000000003</v>
      </c>
      <c r="AV157" s="50">
        <v>54.794521000000003</v>
      </c>
      <c r="AW157" s="50">
        <v>54.794521000000003</v>
      </c>
      <c r="AX157" s="50">
        <v>54.794521000000003</v>
      </c>
      <c r="AY157" s="50">
        <v>54.794521000000003</v>
      </c>
      <c r="AZ157" s="50">
        <v>54.794521000000003</v>
      </c>
      <c r="BA157" s="50">
        <v>54.794521000000003</v>
      </c>
      <c r="BB157" s="50">
        <v>54.794521000000003</v>
      </c>
      <c r="BC157" s="50">
        <v>54.794521000000003</v>
      </c>
      <c r="BD157" s="50">
        <v>54.794521000000003</v>
      </c>
      <c r="BE157" s="50">
        <v>54.794521000000003</v>
      </c>
      <c r="BF157" s="50">
        <v>54.794521000000003</v>
      </c>
      <c r="BG157" s="50">
        <v>54.794521000000003</v>
      </c>
      <c r="BH157" s="50">
        <v>54.794521000000003</v>
      </c>
      <c r="BI157" s="51"/>
      <c r="BJ157" s="51"/>
    </row>
    <row r="158" spans="1:62" ht="20.100000000000001" hidden="1" customHeight="1" outlineLevel="1" x14ac:dyDescent="0.25">
      <c r="A158" s="59" t="s">
        <v>188</v>
      </c>
      <c r="B158" s="50">
        <v>66.683704000000006</v>
      </c>
      <c r="C158" s="50">
        <v>66.683704000000006</v>
      </c>
      <c r="D158" s="50">
        <v>66.683704000000006</v>
      </c>
      <c r="E158" s="50">
        <v>66.683704000000006</v>
      </c>
      <c r="F158" s="50">
        <v>66.683704000000006</v>
      </c>
      <c r="G158" s="50">
        <v>66.683704000000006</v>
      </c>
      <c r="H158" s="50">
        <v>66.683704000000006</v>
      </c>
      <c r="I158" s="50">
        <v>66.683704000000006</v>
      </c>
      <c r="J158" s="50">
        <v>66.683704000000006</v>
      </c>
      <c r="K158" s="50">
        <v>66.683704000000006</v>
      </c>
      <c r="L158" s="50">
        <v>66.683704000000006</v>
      </c>
      <c r="M158" s="50">
        <v>66.683704000000006</v>
      </c>
      <c r="N158" s="50">
        <v>66.683704000000006</v>
      </c>
      <c r="O158" s="50">
        <v>66.683704000000006</v>
      </c>
      <c r="P158" s="50">
        <v>66.683704000000006</v>
      </c>
      <c r="Q158" s="50">
        <v>66.683704000000006</v>
      </c>
      <c r="R158" s="50">
        <v>66.683704000000006</v>
      </c>
      <c r="S158" s="50">
        <v>66.683704000000006</v>
      </c>
      <c r="T158" s="50">
        <v>66.683704000000006</v>
      </c>
      <c r="U158" s="50">
        <v>66.683704000000006</v>
      </c>
      <c r="V158" s="50">
        <v>66.683704000000006</v>
      </c>
      <c r="W158" s="50">
        <v>66.683704000000006</v>
      </c>
      <c r="X158" s="50">
        <v>66.683704000000006</v>
      </c>
      <c r="Y158" s="50">
        <v>66.683704000000006</v>
      </c>
      <c r="Z158" s="50">
        <v>66.683704000000006</v>
      </c>
      <c r="AA158" s="50">
        <v>66.683704000000006</v>
      </c>
      <c r="AB158" s="50">
        <v>66.683704000000006</v>
      </c>
      <c r="AC158" s="50">
        <v>66.683704000000006</v>
      </c>
      <c r="AD158" s="50">
        <v>66.683704000000006</v>
      </c>
      <c r="AE158" s="50">
        <v>66.683704000000006</v>
      </c>
      <c r="AF158" s="50">
        <v>66.683704000000006</v>
      </c>
      <c r="AG158" s="50">
        <v>66.683704000000006</v>
      </c>
      <c r="AH158" s="50">
        <v>66.683704000000006</v>
      </c>
      <c r="AI158" s="50">
        <v>66.683704000000006</v>
      </c>
      <c r="AJ158" s="50">
        <v>66.683704000000006</v>
      </c>
      <c r="AK158" s="50">
        <v>66.683704000000006</v>
      </c>
      <c r="AL158" s="50">
        <v>66.683704000000006</v>
      </c>
      <c r="AM158" s="50">
        <v>66.683704000000006</v>
      </c>
      <c r="AN158" s="50">
        <v>66.683704000000006</v>
      </c>
      <c r="AO158" s="50">
        <v>66.683704000000006</v>
      </c>
      <c r="AP158" s="50">
        <v>66.683704000000006</v>
      </c>
      <c r="AQ158" s="50">
        <v>66.683704000000006</v>
      </c>
      <c r="AR158" s="50">
        <v>66.683704000000006</v>
      </c>
      <c r="AS158" s="50">
        <v>66.683704000000006</v>
      </c>
      <c r="AT158" s="50">
        <v>66.683704000000006</v>
      </c>
      <c r="AU158" s="50">
        <v>66.683704000000006</v>
      </c>
      <c r="AV158" s="50">
        <v>66.683704000000006</v>
      </c>
      <c r="AW158" s="50">
        <v>66.683704000000006</v>
      </c>
      <c r="AX158" s="50">
        <v>66.683704000000006</v>
      </c>
      <c r="AY158" s="50">
        <v>66.683704000000006</v>
      </c>
      <c r="AZ158" s="50">
        <v>66.683704000000006</v>
      </c>
      <c r="BA158" s="50">
        <v>66.683704000000006</v>
      </c>
      <c r="BB158" s="50">
        <v>66.683704000000006</v>
      </c>
      <c r="BC158" s="50">
        <v>66.683704000000006</v>
      </c>
      <c r="BD158" s="50">
        <v>66.683704000000006</v>
      </c>
      <c r="BE158" s="50">
        <v>66.683704000000006</v>
      </c>
      <c r="BF158" s="50">
        <v>66.683704000000006</v>
      </c>
      <c r="BG158" s="50">
        <v>66.683704000000006</v>
      </c>
      <c r="BH158" s="50">
        <v>66.683704000000006</v>
      </c>
      <c r="BI158" s="51"/>
      <c r="BJ158" s="51"/>
    </row>
    <row r="159" spans="1:62" ht="20.100000000000001" hidden="1" customHeight="1" outlineLevel="1" x14ac:dyDescent="0.25">
      <c r="A159" s="59" t="s">
        <v>189</v>
      </c>
      <c r="B159" s="50">
        <v>13.273973</v>
      </c>
      <c r="C159" s="50">
        <v>13.273973</v>
      </c>
      <c r="D159" s="50">
        <v>13.273973</v>
      </c>
      <c r="E159" s="50">
        <v>13.273973</v>
      </c>
      <c r="F159" s="50">
        <v>13.273973</v>
      </c>
      <c r="G159" s="50">
        <v>13.273973</v>
      </c>
      <c r="H159" s="50">
        <v>13.273973</v>
      </c>
      <c r="I159" s="50">
        <v>13.273973</v>
      </c>
      <c r="J159" s="50">
        <v>13.273973</v>
      </c>
      <c r="K159" s="50">
        <v>13.273973</v>
      </c>
      <c r="L159" s="50">
        <v>13.273973</v>
      </c>
      <c r="M159" s="50">
        <v>13.273973</v>
      </c>
      <c r="N159" s="50">
        <v>13.273973</v>
      </c>
      <c r="O159" s="50">
        <v>13.273973</v>
      </c>
      <c r="P159" s="50">
        <v>13.273973</v>
      </c>
      <c r="Q159" s="50">
        <v>13.273973</v>
      </c>
      <c r="R159" s="50">
        <v>13.273973</v>
      </c>
      <c r="S159" s="50">
        <v>13.273973</v>
      </c>
      <c r="T159" s="50">
        <v>13.273973</v>
      </c>
      <c r="U159" s="50">
        <v>13.273973</v>
      </c>
      <c r="V159" s="50">
        <v>13.273973</v>
      </c>
      <c r="W159" s="50">
        <v>13.273973</v>
      </c>
      <c r="X159" s="50">
        <v>13.273973</v>
      </c>
      <c r="Y159" s="50">
        <v>13.273973</v>
      </c>
      <c r="Z159" s="50">
        <v>13.273973</v>
      </c>
      <c r="AA159" s="50">
        <v>13.273973</v>
      </c>
      <c r="AB159" s="50">
        <v>13.273973</v>
      </c>
      <c r="AC159" s="50">
        <v>13.273973</v>
      </c>
      <c r="AD159" s="50">
        <v>13.273973</v>
      </c>
      <c r="AE159" s="50">
        <v>13.273973</v>
      </c>
      <c r="AF159" s="50">
        <v>13.273973</v>
      </c>
      <c r="AG159" s="50">
        <v>13.273973</v>
      </c>
      <c r="AH159" s="50">
        <v>13.273973</v>
      </c>
      <c r="AI159" s="50">
        <v>13.273973</v>
      </c>
      <c r="AJ159" s="50">
        <v>13.273973</v>
      </c>
      <c r="AK159" s="50">
        <v>13.273973</v>
      </c>
      <c r="AL159" s="50">
        <v>13.273973</v>
      </c>
      <c r="AM159" s="50">
        <v>13.273973</v>
      </c>
      <c r="AN159" s="50">
        <v>13.273973</v>
      </c>
      <c r="AO159" s="50">
        <v>13.273973</v>
      </c>
      <c r="AP159" s="50">
        <v>13.273973</v>
      </c>
      <c r="AQ159" s="50">
        <v>13.273973</v>
      </c>
      <c r="AR159" s="50">
        <v>13.273973</v>
      </c>
      <c r="AS159" s="50">
        <v>13.273973</v>
      </c>
      <c r="AT159" s="50">
        <v>13.273973</v>
      </c>
      <c r="AU159" s="50">
        <v>13.273973</v>
      </c>
      <c r="AV159" s="50">
        <v>13.273973</v>
      </c>
      <c r="AW159" s="50">
        <v>13.273973</v>
      </c>
      <c r="AX159" s="50">
        <v>13.273973</v>
      </c>
      <c r="AY159" s="50">
        <v>13.273973</v>
      </c>
      <c r="AZ159" s="50">
        <v>13.273973</v>
      </c>
      <c r="BA159" s="50">
        <v>13.273973</v>
      </c>
      <c r="BB159" s="50">
        <v>13.273973</v>
      </c>
      <c r="BC159" s="50">
        <v>13.273973</v>
      </c>
      <c r="BD159" s="50">
        <v>13.273973</v>
      </c>
      <c r="BE159" s="50">
        <v>13.273973</v>
      </c>
      <c r="BF159" s="50">
        <v>13.273973</v>
      </c>
      <c r="BG159" s="50">
        <v>13.273973</v>
      </c>
      <c r="BH159" s="50">
        <v>13.273973</v>
      </c>
      <c r="BI159" s="51"/>
      <c r="BJ159" s="51"/>
    </row>
    <row r="160" spans="1:62" ht="20.100000000000001" hidden="1" customHeight="1" outlineLevel="1" x14ac:dyDescent="0.25">
      <c r="A160" s="59" t="s">
        <v>190</v>
      </c>
      <c r="B160" s="50">
        <v>77.685635000000005</v>
      </c>
      <c r="C160" s="50">
        <v>77.685635000000005</v>
      </c>
      <c r="D160" s="50">
        <v>77.685635000000005</v>
      </c>
      <c r="E160" s="50">
        <v>77.685635000000005</v>
      </c>
      <c r="F160" s="50">
        <v>77.685635000000005</v>
      </c>
      <c r="G160" s="50">
        <v>77.685635000000005</v>
      </c>
      <c r="H160" s="50">
        <v>77.685635000000005</v>
      </c>
      <c r="I160" s="50">
        <v>77.685635000000005</v>
      </c>
      <c r="J160" s="50">
        <v>77.685635000000005</v>
      </c>
      <c r="K160" s="50">
        <v>77.685635000000005</v>
      </c>
      <c r="L160" s="50">
        <v>77.685635000000005</v>
      </c>
      <c r="M160" s="50">
        <v>77.685635000000005</v>
      </c>
      <c r="N160" s="50">
        <v>77.685635000000005</v>
      </c>
      <c r="O160" s="50">
        <v>77.685635000000005</v>
      </c>
      <c r="P160" s="50">
        <v>77.685635000000005</v>
      </c>
      <c r="Q160" s="50">
        <v>77.685635000000005</v>
      </c>
      <c r="R160" s="50">
        <v>77.685635000000005</v>
      </c>
      <c r="S160" s="50">
        <v>77.685635000000005</v>
      </c>
      <c r="T160" s="50">
        <v>77.685635000000005</v>
      </c>
      <c r="U160" s="50">
        <v>77.685635000000005</v>
      </c>
      <c r="V160" s="50">
        <v>77.685635000000005</v>
      </c>
      <c r="W160" s="50">
        <v>77.685635000000005</v>
      </c>
      <c r="X160" s="50">
        <v>77.685635000000005</v>
      </c>
      <c r="Y160" s="50">
        <v>77.685635000000005</v>
      </c>
      <c r="Z160" s="50">
        <v>77.685635000000005</v>
      </c>
      <c r="AA160" s="50">
        <v>77.685635000000005</v>
      </c>
      <c r="AB160" s="50">
        <v>77.685635000000005</v>
      </c>
      <c r="AC160" s="50">
        <v>77.685635000000005</v>
      </c>
      <c r="AD160" s="50">
        <v>77.685635000000005</v>
      </c>
      <c r="AE160" s="50">
        <v>77.685635000000005</v>
      </c>
      <c r="AF160" s="50">
        <v>77.685635000000005</v>
      </c>
      <c r="AG160" s="50">
        <v>77.685635000000005</v>
      </c>
      <c r="AH160" s="50">
        <v>77.685635000000005</v>
      </c>
      <c r="AI160" s="50">
        <v>77.685635000000005</v>
      </c>
      <c r="AJ160" s="50">
        <v>77.685635000000005</v>
      </c>
      <c r="AK160" s="50">
        <v>77.685635000000005</v>
      </c>
      <c r="AL160" s="50">
        <v>77.685635000000005</v>
      </c>
      <c r="AM160" s="50">
        <v>77.685635000000005</v>
      </c>
      <c r="AN160" s="50">
        <v>77.685635000000005</v>
      </c>
      <c r="AO160" s="50">
        <v>77.685635000000005</v>
      </c>
      <c r="AP160" s="50">
        <v>77.685635000000005</v>
      </c>
      <c r="AQ160" s="50">
        <v>77.685635000000005</v>
      </c>
      <c r="AR160" s="50">
        <v>77.685635000000005</v>
      </c>
      <c r="AS160" s="50">
        <v>77.685635000000005</v>
      </c>
      <c r="AT160" s="50">
        <v>77.685635000000005</v>
      </c>
      <c r="AU160" s="50">
        <v>77.685635000000005</v>
      </c>
      <c r="AV160" s="50">
        <v>77.685635000000005</v>
      </c>
      <c r="AW160" s="50">
        <v>77.685635000000005</v>
      </c>
      <c r="AX160" s="50">
        <v>77.685635000000005</v>
      </c>
      <c r="AY160" s="50">
        <v>77.685635000000005</v>
      </c>
      <c r="AZ160" s="50">
        <v>77.685635000000005</v>
      </c>
      <c r="BA160" s="50">
        <v>77.685635000000005</v>
      </c>
      <c r="BB160" s="50">
        <v>77.685635000000005</v>
      </c>
      <c r="BC160" s="50">
        <v>77.685635000000005</v>
      </c>
      <c r="BD160" s="50">
        <v>77.685635000000005</v>
      </c>
      <c r="BE160" s="50">
        <v>77.685635000000005</v>
      </c>
      <c r="BF160" s="50">
        <v>77.685635000000005</v>
      </c>
      <c r="BG160" s="50">
        <v>77.685635000000005</v>
      </c>
      <c r="BH160" s="50">
        <v>77.685635000000005</v>
      </c>
      <c r="BI160" s="51"/>
      <c r="BJ160" s="51"/>
    </row>
    <row r="161" spans="1:62" ht="20.100000000000001" hidden="1" customHeight="1" outlineLevel="1" x14ac:dyDescent="0.25">
      <c r="A161" s="59" t="s">
        <v>191</v>
      </c>
      <c r="B161" s="50">
        <v>19.242927000000002</v>
      </c>
      <c r="C161" s="50">
        <v>19.242927000000002</v>
      </c>
      <c r="D161" s="50">
        <v>19.242927000000002</v>
      </c>
      <c r="E161" s="50">
        <v>19.242927000000002</v>
      </c>
      <c r="F161" s="50">
        <v>19.242927000000002</v>
      </c>
      <c r="G161" s="50">
        <v>19.242927000000002</v>
      </c>
      <c r="H161" s="50">
        <v>19.242927000000002</v>
      </c>
      <c r="I161" s="50">
        <v>19.242927000000002</v>
      </c>
      <c r="J161" s="50">
        <v>19.242927000000002</v>
      </c>
      <c r="K161" s="50">
        <v>19.242927000000002</v>
      </c>
      <c r="L161" s="50">
        <v>19.242927000000002</v>
      </c>
      <c r="M161" s="50">
        <v>19.242927000000002</v>
      </c>
      <c r="N161" s="50">
        <v>19.242927000000002</v>
      </c>
      <c r="O161" s="50">
        <v>19.242927000000002</v>
      </c>
      <c r="P161" s="50">
        <v>19.242927000000002</v>
      </c>
      <c r="Q161" s="50">
        <v>19.242927000000002</v>
      </c>
      <c r="R161" s="50">
        <v>19.242927000000002</v>
      </c>
      <c r="S161" s="50">
        <v>19.242927000000002</v>
      </c>
      <c r="T161" s="50">
        <v>19.242927000000002</v>
      </c>
      <c r="U161" s="50">
        <v>19.242927000000002</v>
      </c>
      <c r="V161" s="50">
        <v>19.242927000000002</v>
      </c>
      <c r="W161" s="50">
        <v>19.242927000000002</v>
      </c>
      <c r="X161" s="50">
        <v>19.242927000000002</v>
      </c>
      <c r="Y161" s="50">
        <v>19.242927000000002</v>
      </c>
      <c r="Z161" s="50">
        <v>19.242927000000002</v>
      </c>
      <c r="AA161" s="50">
        <v>19.242927000000002</v>
      </c>
      <c r="AB161" s="50">
        <v>19.242927000000002</v>
      </c>
      <c r="AC161" s="50">
        <v>19.242927000000002</v>
      </c>
      <c r="AD161" s="50">
        <v>19.242927000000002</v>
      </c>
      <c r="AE161" s="50">
        <v>19.242927000000002</v>
      </c>
      <c r="AF161" s="50">
        <v>19.242927000000002</v>
      </c>
      <c r="AG161" s="50">
        <v>19.242927000000002</v>
      </c>
      <c r="AH161" s="50">
        <v>19.242927000000002</v>
      </c>
      <c r="AI161" s="50">
        <v>19.242927000000002</v>
      </c>
      <c r="AJ161" s="50">
        <v>19.242927000000002</v>
      </c>
      <c r="AK161" s="50">
        <v>19.242927000000002</v>
      </c>
      <c r="AL161" s="50">
        <v>19.242927000000002</v>
      </c>
      <c r="AM161" s="50">
        <v>19.242927000000002</v>
      </c>
      <c r="AN161" s="50">
        <v>19.242927000000002</v>
      </c>
      <c r="AO161" s="50">
        <v>19.242927000000002</v>
      </c>
      <c r="AP161" s="50">
        <v>19.242927000000002</v>
      </c>
      <c r="AQ161" s="50">
        <v>19.242927000000002</v>
      </c>
      <c r="AR161" s="50">
        <v>19.242927000000002</v>
      </c>
      <c r="AS161" s="50">
        <v>19.242927000000002</v>
      </c>
      <c r="AT161" s="50">
        <v>19.242927000000002</v>
      </c>
      <c r="AU161" s="50">
        <v>19.242927000000002</v>
      </c>
      <c r="AV161" s="50">
        <v>19.242927000000002</v>
      </c>
      <c r="AW161" s="50">
        <v>19.242927000000002</v>
      </c>
      <c r="AX161" s="50">
        <v>19.242927000000002</v>
      </c>
      <c r="AY161" s="50">
        <v>19.242927000000002</v>
      </c>
      <c r="AZ161" s="50">
        <v>19.242927000000002</v>
      </c>
      <c r="BA161" s="50">
        <v>19.242927000000002</v>
      </c>
      <c r="BB161" s="50">
        <v>19.242927000000002</v>
      </c>
      <c r="BC161" s="50">
        <v>19.242927000000002</v>
      </c>
      <c r="BD161" s="50">
        <v>19.242927000000002</v>
      </c>
      <c r="BE161" s="50">
        <v>19.242927000000002</v>
      </c>
      <c r="BF161" s="50">
        <v>19.242927000000002</v>
      </c>
      <c r="BG161" s="50">
        <v>19.242927000000002</v>
      </c>
      <c r="BH161" s="50">
        <v>19.242927000000002</v>
      </c>
      <c r="BI161" s="51"/>
      <c r="BJ161" s="51"/>
    </row>
    <row r="162" spans="1:62" ht="20.100000000000001" hidden="1" customHeight="1" outlineLevel="1" x14ac:dyDescent="0.25">
      <c r="A162" s="59" t="s">
        <v>192</v>
      </c>
      <c r="B162" s="50">
        <v>10.064874</v>
      </c>
      <c r="C162" s="50">
        <v>10.064874</v>
      </c>
      <c r="D162" s="50">
        <v>10.064874</v>
      </c>
      <c r="E162" s="50">
        <v>10.064874</v>
      </c>
      <c r="F162" s="50">
        <v>10.064874</v>
      </c>
      <c r="G162" s="50">
        <v>10.064874</v>
      </c>
      <c r="H162" s="50">
        <v>10.064874</v>
      </c>
      <c r="I162" s="50">
        <v>10.064874</v>
      </c>
      <c r="J162" s="50">
        <v>10.064874</v>
      </c>
      <c r="K162" s="50">
        <v>10.064874</v>
      </c>
      <c r="L162" s="50">
        <v>10.064874</v>
      </c>
      <c r="M162" s="50">
        <v>10.064874</v>
      </c>
      <c r="N162" s="50">
        <v>10.064874</v>
      </c>
      <c r="O162" s="50">
        <v>10.064874</v>
      </c>
      <c r="P162" s="50">
        <v>10.064874</v>
      </c>
      <c r="Q162" s="50">
        <v>10.064874</v>
      </c>
      <c r="R162" s="50">
        <v>10.064874</v>
      </c>
      <c r="S162" s="50">
        <v>10.064874</v>
      </c>
      <c r="T162" s="50">
        <v>10.064874</v>
      </c>
      <c r="U162" s="50">
        <v>10.064874</v>
      </c>
      <c r="V162" s="50">
        <v>10.064874</v>
      </c>
      <c r="W162" s="50">
        <v>10.064874</v>
      </c>
      <c r="X162" s="50">
        <v>10.064874</v>
      </c>
      <c r="Y162" s="50">
        <v>10.064874</v>
      </c>
      <c r="Z162" s="50">
        <v>10.064874</v>
      </c>
      <c r="AA162" s="50">
        <v>10.064874</v>
      </c>
      <c r="AB162" s="50">
        <v>10.064874</v>
      </c>
      <c r="AC162" s="50">
        <v>10.064874</v>
      </c>
      <c r="AD162" s="50">
        <v>10.064874</v>
      </c>
      <c r="AE162" s="50">
        <v>10.064874</v>
      </c>
      <c r="AF162" s="50">
        <v>10.064874</v>
      </c>
      <c r="AG162" s="50">
        <v>10.064874</v>
      </c>
      <c r="AH162" s="50">
        <v>10.064874</v>
      </c>
      <c r="AI162" s="50">
        <v>10.064874</v>
      </c>
      <c r="AJ162" s="50">
        <v>10.064874</v>
      </c>
      <c r="AK162" s="50">
        <v>10.064874</v>
      </c>
      <c r="AL162" s="50">
        <v>10.064874</v>
      </c>
      <c r="AM162" s="50">
        <v>10.064874</v>
      </c>
      <c r="AN162" s="50">
        <v>10.064874</v>
      </c>
      <c r="AO162" s="50">
        <v>10.064874</v>
      </c>
      <c r="AP162" s="50">
        <v>10.064874</v>
      </c>
      <c r="AQ162" s="50">
        <v>10.064874</v>
      </c>
      <c r="AR162" s="50">
        <v>10.064874</v>
      </c>
      <c r="AS162" s="50">
        <v>10.064874</v>
      </c>
      <c r="AT162" s="50">
        <v>10.064874</v>
      </c>
      <c r="AU162" s="50">
        <v>10.064874</v>
      </c>
      <c r="AV162" s="50">
        <v>10.064874</v>
      </c>
      <c r="AW162" s="50">
        <v>10.064874</v>
      </c>
      <c r="AX162" s="50">
        <v>10.064874</v>
      </c>
      <c r="AY162" s="50">
        <v>10.064874</v>
      </c>
      <c r="AZ162" s="50">
        <v>10.064874</v>
      </c>
      <c r="BA162" s="50">
        <v>10.064874</v>
      </c>
      <c r="BB162" s="50">
        <v>10.064874</v>
      </c>
      <c r="BC162" s="50">
        <v>10.064874</v>
      </c>
      <c r="BD162" s="50">
        <v>10.064874</v>
      </c>
      <c r="BE162" s="50">
        <v>10.064874</v>
      </c>
      <c r="BF162" s="50">
        <v>10.064874</v>
      </c>
      <c r="BG162" s="50">
        <v>10.064874</v>
      </c>
      <c r="BH162" s="50">
        <v>10.064874</v>
      </c>
      <c r="BI162" s="51"/>
      <c r="BJ162" s="51"/>
    </row>
    <row r="163" spans="1:62" ht="20.100000000000001" hidden="1" customHeight="1" outlineLevel="1" x14ac:dyDescent="0.25">
      <c r="A163" s="59" t="s">
        <v>193</v>
      </c>
      <c r="B163" s="50">
        <v>17.260273999999999</v>
      </c>
      <c r="C163" s="50">
        <v>17.260273999999999</v>
      </c>
      <c r="D163" s="50">
        <v>17.260273999999999</v>
      </c>
      <c r="E163" s="50">
        <v>17.260273999999999</v>
      </c>
      <c r="F163" s="50">
        <v>17.260273999999999</v>
      </c>
      <c r="G163" s="50">
        <v>17.260273999999999</v>
      </c>
      <c r="H163" s="50">
        <v>17.260273999999999</v>
      </c>
      <c r="I163" s="50">
        <v>17.260273999999999</v>
      </c>
      <c r="J163" s="50">
        <v>17.260273999999999</v>
      </c>
      <c r="K163" s="50">
        <v>17.260273999999999</v>
      </c>
      <c r="L163" s="50">
        <v>17.260273999999999</v>
      </c>
      <c r="M163" s="50">
        <v>17.260273999999999</v>
      </c>
      <c r="N163" s="50">
        <v>17.260273999999999</v>
      </c>
      <c r="O163" s="50">
        <v>17.260273999999999</v>
      </c>
      <c r="P163" s="50">
        <v>17.260273999999999</v>
      </c>
      <c r="Q163" s="50">
        <v>17.260273999999999</v>
      </c>
      <c r="R163" s="50">
        <v>17.260273999999999</v>
      </c>
      <c r="S163" s="50">
        <v>17.260273999999999</v>
      </c>
      <c r="T163" s="50">
        <v>17.260273999999999</v>
      </c>
      <c r="U163" s="50">
        <v>17.260273999999999</v>
      </c>
      <c r="V163" s="50">
        <v>17.260273999999999</v>
      </c>
      <c r="W163" s="50">
        <v>17.260273999999999</v>
      </c>
      <c r="X163" s="50">
        <v>17.260273999999999</v>
      </c>
      <c r="Y163" s="50">
        <v>17.260273999999999</v>
      </c>
      <c r="Z163" s="50">
        <v>17.260273999999999</v>
      </c>
      <c r="AA163" s="50">
        <v>17.260273999999999</v>
      </c>
      <c r="AB163" s="50">
        <v>17.260273999999999</v>
      </c>
      <c r="AC163" s="50">
        <v>17.260273999999999</v>
      </c>
      <c r="AD163" s="50">
        <v>17.260273999999999</v>
      </c>
      <c r="AE163" s="50">
        <v>17.260273999999999</v>
      </c>
      <c r="AF163" s="50">
        <v>17.260273999999999</v>
      </c>
      <c r="AG163" s="50">
        <v>17.260273999999999</v>
      </c>
      <c r="AH163" s="50">
        <v>17.260273999999999</v>
      </c>
      <c r="AI163" s="50">
        <v>17.260273999999999</v>
      </c>
      <c r="AJ163" s="50">
        <v>17.260273999999999</v>
      </c>
      <c r="AK163" s="50">
        <v>17.260273999999999</v>
      </c>
      <c r="AL163" s="50">
        <v>17.260273999999999</v>
      </c>
      <c r="AM163" s="50">
        <v>17.260273999999999</v>
      </c>
      <c r="AN163" s="50">
        <v>17.260273999999999</v>
      </c>
      <c r="AO163" s="50">
        <v>17.260273999999999</v>
      </c>
      <c r="AP163" s="50">
        <v>17.260273999999999</v>
      </c>
      <c r="AQ163" s="50">
        <v>17.260273999999999</v>
      </c>
      <c r="AR163" s="50">
        <v>17.260273999999999</v>
      </c>
      <c r="AS163" s="50">
        <v>17.260273999999999</v>
      </c>
      <c r="AT163" s="50">
        <v>17.260273999999999</v>
      </c>
      <c r="AU163" s="50">
        <v>17.260273999999999</v>
      </c>
      <c r="AV163" s="50">
        <v>17.260273999999999</v>
      </c>
      <c r="AW163" s="50">
        <v>17.260273999999999</v>
      </c>
      <c r="AX163" s="50">
        <v>17.260273999999999</v>
      </c>
      <c r="AY163" s="50">
        <v>17.260273999999999</v>
      </c>
      <c r="AZ163" s="50">
        <v>17.260273999999999</v>
      </c>
      <c r="BA163" s="50">
        <v>17.260273999999999</v>
      </c>
      <c r="BB163" s="50">
        <v>17.260273999999999</v>
      </c>
      <c r="BC163" s="50">
        <v>17.260273999999999</v>
      </c>
      <c r="BD163" s="50">
        <v>17.260273999999999</v>
      </c>
      <c r="BE163" s="50">
        <v>17.260273999999999</v>
      </c>
      <c r="BF163" s="50">
        <v>17.260273999999999</v>
      </c>
      <c r="BG163" s="50">
        <v>17.260273999999999</v>
      </c>
      <c r="BH163" s="50">
        <v>17.260273999999999</v>
      </c>
      <c r="BI163" s="51"/>
      <c r="BJ163" s="51"/>
    </row>
    <row r="164" spans="1:62" ht="20.100000000000001" hidden="1" customHeight="1" outlineLevel="1" x14ac:dyDescent="0.25">
      <c r="A164" s="59" t="s">
        <v>194</v>
      </c>
      <c r="B164" s="50">
        <v>91.095889999999997</v>
      </c>
      <c r="C164" s="50">
        <v>91.095889999999997</v>
      </c>
      <c r="D164" s="50">
        <v>91.095889999999997</v>
      </c>
      <c r="E164" s="50">
        <v>91.095889999999997</v>
      </c>
      <c r="F164" s="50">
        <v>91.095889999999997</v>
      </c>
      <c r="G164" s="50">
        <v>91.095889999999997</v>
      </c>
      <c r="H164" s="50">
        <v>91.095889999999997</v>
      </c>
      <c r="I164" s="50">
        <v>91.095889999999997</v>
      </c>
      <c r="J164" s="50">
        <v>91.095889999999997</v>
      </c>
      <c r="K164" s="50">
        <v>91.095889999999997</v>
      </c>
      <c r="L164" s="50">
        <v>91.095889999999997</v>
      </c>
      <c r="M164" s="50">
        <v>91.095889999999997</v>
      </c>
      <c r="N164" s="50">
        <v>91.095889999999997</v>
      </c>
      <c r="O164" s="50">
        <v>91.095889999999997</v>
      </c>
      <c r="P164" s="50">
        <v>91.095889999999997</v>
      </c>
      <c r="Q164" s="50">
        <v>91.095889999999997</v>
      </c>
      <c r="R164" s="50">
        <v>91.095889999999997</v>
      </c>
      <c r="S164" s="50">
        <v>91.095889999999997</v>
      </c>
      <c r="T164" s="50">
        <v>91.095889999999997</v>
      </c>
      <c r="U164" s="50">
        <v>91.095889999999997</v>
      </c>
      <c r="V164" s="50">
        <v>91.095889999999997</v>
      </c>
      <c r="W164" s="50">
        <v>91.095889999999997</v>
      </c>
      <c r="X164" s="50">
        <v>91.095889999999997</v>
      </c>
      <c r="Y164" s="50">
        <v>91.095889999999997</v>
      </c>
      <c r="Z164" s="50">
        <v>91.095889999999997</v>
      </c>
      <c r="AA164" s="50">
        <v>91.095889999999997</v>
      </c>
      <c r="AB164" s="50">
        <v>91.095889999999997</v>
      </c>
      <c r="AC164" s="50">
        <v>91.095889999999997</v>
      </c>
      <c r="AD164" s="50">
        <v>91.095889999999997</v>
      </c>
      <c r="AE164" s="50">
        <v>91.095889999999997</v>
      </c>
      <c r="AF164" s="50">
        <v>91.095889999999997</v>
      </c>
      <c r="AG164" s="50">
        <v>91.095889999999997</v>
      </c>
      <c r="AH164" s="50">
        <v>91.095889999999997</v>
      </c>
      <c r="AI164" s="50">
        <v>91.095889999999997</v>
      </c>
      <c r="AJ164" s="50">
        <v>91.095889999999997</v>
      </c>
      <c r="AK164" s="50">
        <v>91.095889999999997</v>
      </c>
      <c r="AL164" s="50">
        <v>91.095889999999997</v>
      </c>
      <c r="AM164" s="50">
        <v>91.095889999999997</v>
      </c>
      <c r="AN164" s="50">
        <v>91.095889999999997</v>
      </c>
      <c r="AO164" s="50">
        <v>91.095889999999997</v>
      </c>
      <c r="AP164" s="50">
        <v>91.095889999999997</v>
      </c>
      <c r="AQ164" s="50">
        <v>91.095889999999997</v>
      </c>
      <c r="AR164" s="50">
        <v>91.095889999999997</v>
      </c>
      <c r="AS164" s="50">
        <v>91.095889999999997</v>
      </c>
      <c r="AT164" s="50">
        <v>91.095889999999997</v>
      </c>
      <c r="AU164" s="50">
        <v>91.095889999999997</v>
      </c>
      <c r="AV164" s="50">
        <v>91.095889999999997</v>
      </c>
      <c r="AW164" s="50">
        <v>91.095889999999997</v>
      </c>
      <c r="AX164" s="50">
        <v>91.095889999999997</v>
      </c>
      <c r="AY164" s="50">
        <v>91.095889999999997</v>
      </c>
      <c r="AZ164" s="50">
        <v>91.095889999999997</v>
      </c>
      <c r="BA164" s="50">
        <v>91.095889999999997</v>
      </c>
      <c r="BB164" s="50">
        <v>91.095889999999997</v>
      </c>
      <c r="BC164" s="50">
        <v>91.095889999999997</v>
      </c>
      <c r="BD164" s="50">
        <v>91.095889999999997</v>
      </c>
      <c r="BE164" s="50">
        <v>91.095889999999997</v>
      </c>
      <c r="BF164" s="50">
        <v>91.095889999999997</v>
      </c>
      <c r="BG164" s="50">
        <v>91.095889999999997</v>
      </c>
      <c r="BH164" s="50">
        <v>91.095889999999997</v>
      </c>
      <c r="BI164" s="51"/>
      <c r="BJ164" s="51"/>
    </row>
    <row r="165" spans="1:62" ht="20.100000000000001" hidden="1" customHeight="1" outlineLevel="1" x14ac:dyDescent="0.25">
      <c r="A165" s="59" t="s">
        <v>195</v>
      </c>
      <c r="B165" s="50">
        <v>18.219177999999999</v>
      </c>
      <c r="C165" s="50">
        <v>18.219177999999999</v>
      </c>
      <c r="D165" s="50">
        <v>18.219177999999999</v>
      </c>
      <c r="E165" s="50">
        <v>18.219177999999999</v>
      </c>
      <c r="F165" s="50">
        <v>18.219177999999999</v>
      </c>
      <c r="G165" s="50">
        <v>18.219177999999999</v>
      </c>
      <c r="H165" s="50">
        <v>18.219177999999999</v>
      </c>
      <c r="I165" s="50">
        <v>18.219177999999999</v>
      </c>
      <c r="J165" s="50">
        <v>18.219177999999999</v>
      </c>
      <c r="K165" s="50">
        <v>18.219177999999999</v>
      </c>
      <c r="L165" s="50">
        <v>18.219177999999999</v>
      </c>
      <c r="M165" s="50">
        <v>18.219177999999999</v>
      </c>
      <c r="N165" s="50">
        <v>18.219177999999999</v>
      </c>
      <c r="O165" s="50">
        <v>18.219177999999999</v>
      </c>
      <c r="P165" s="50">
        <v>18.219177999999999</v>
      </c>
      <c r="Q165" s="50">
        <v>18.219177999999999</v>
      </c>
      <c r="R165" s="50">
        <v>18.219177999999999</v>
      </c>
      <c r="S165" s="50">
        <v>18.219177999999999</v>
      </c>
      <c r="T165" s="50">
        <v>18.219177999999999</v>
      </c>
      <c r="U165" s="50">
        <v>18.219177999999999</v>
      </c>
      <c r="V165" s="50">
        <v>18.219177999999999</v>
      </c>
      <c r="W165" s="50">
        <v>18.219177999999999</v>
      </c>
      <c r="X165" s="50">
        <v>18.219177999999999</v>
      </c>
      <c r="Y165" s="50">
        <v>18.219177999999999</v>
      </c>
      <c r="Z165" s="50">
        <v>18.219177999999999</v>
      </c>
      <c r="AA165" s="50">
        <v>18.219177999999999</v>
      </c>
      <c r="AB165" s="50">
        <v>18.219177999999999</v>
      </c>
      <c r="AC165" s="50">
        <v>18.219177999999999</v>
      </c>
      <c r="AD165" s="50">
        <v>18.219177999999999</v>
      </c>
      <c r="AE165" s="50">
        <v>18.219177999999999</v>
      </c>
      <c r="AF165" s="50">
        <v>18.219177999999999</v>
      </c>
      <c r="AG165" s="50">
        <v>18.219177999999999</v>
      </c>
      <c r="AH165" s="50">
        <v>18.219177999999999</v>
      </c>
      <c r="AI165" s="50">
        <v>18.219177999999999</v>
      </c>
      <c r="AJ165" s="50">
        <v>18.219177999999999</v>
      </c>
      <c r="AK165" s="50">
        <v>18.219177999999999</v>
      </c>
      <c r="AL165" s="50">
        <v>18.219177999999999</v>
      </c>
      <c r="AM165" s="50">
        <v>18.219177999999999</v>
      </c>
      <c r="AN165" s="50">
        <v>18.219177999999999</v>
      </c>
      <c r="AO165" s="50">
        <v>18.219177999999999</v>
      </c>
      <c r="AP165" s="50">
        <v>18.219177999999999</v>
      </c>
      <c r="AQ165" s="50">
        <v>18.219177999999999</v>
      </c>
      <c r="AR165" s="50">
        <v>18.219177999999999</v>
      </c>
      <c r="AS165" s="50">
        <v>18.219177999999999</v>
      </c>
      <c r="AT165" s="50">
        <v>18.219177999999999</v>
      </c>
      <c r="AU165" s="50">
        <v>18.219177999999999</v>
      </c>
      <c r="AV165" s="50">
        <v>18.219177999999999</v>
      </c>
      <c r="AW165" s="50">
        <v>18.219177999999999</v>
      </c>
      <c r="AX165" s="50">
        <v>18.219177999999999</v>
      </c>
      <c r="AY165" s="50">
        <v>18.219177999999999</v>
      </c>
      <c r="AZ165" s="50">
        <v>18.219177999999999</v>
      </c>
      <c r="BA165" s="50">
        <v>18.219177999999999</v>
      </c>
      <c r="BB165" s="50">
        <v>18.219177999999999</v>
      </c>
      <c r="BC165" s="50">
        <v>18.219177999999999</v>
      </c>
      <c r="BD165" s="50">
        <v>18.219177999999999</v>
      </c>
      <c r="BE165" s="50">
        <v>18.219177999999999</v>
      </c>
      <c r="BF165" s="50">
        <v>18.219177999999999</v>
      </c>
      <c r="BG165" s="50">
        <v>18.219177999999999</v>
      </c>
      <c r="BH165" s="50">
        <v>18.219177999999999</v>
      </c>
      <c r="BI165" s="51"/>
      <c r="BJ165" s="51"/>
    </row>
    <row r="166" spans="1:62" ht="20.100000000000001" hidden="1" customHeight="1" outlineLevel="1" x14ac:dyDescent="0.25">
      <c r="A166" s="59" t="s">
        <v>295</v>
      </c>
      <c r="B166" s="50">
        <v>44.246575</v>
      </c>
      <c r="C166" s="50">
        <v>44.246575</v>
      </c>
      <c r="D166" s="50">
        <v>44.246575</v>
      </c>
      <c r="E166" s="50">
        <v>44.246575</v>
      </c>
      <c r="F166" s="50">
        <v>44.246575</v>
      </c>
      <c r="G166" s="50">
        <v>44.246575</v>
      </c>
      <c r="H166" s="50">
        <v>44.246575</v>
      </c>
      <c r="I166" s="50">
        <v>44.246575</v>
      </c>
      <c r="J166" s="50">
        <v>44.246575</v>
      </c>
      <c r="K166" s="50">
        <v>44.246575</v>
      </c>
      <c r="L166" s="50">
        <v>44.246575</v>
      </c>
      <c r="M166" s="50">
        <v>44.246575</v>
      </c>
      <c r="N166" s="50">
        <v>44.246575</v>
      </c>
      <c r="O166" s="50">
        <v>44.246575</v>
      </c>
      <c r="P166" s="50">
        <v>44.246575</v>
      </c>
      <c r="Q166" s="50">
        <v>44.246575</v>
      </c>
      <c r="R166" s="50">
        <v>44.246575</v>
      </c>
      <c r="S166" s="50">
        <v>44.246575</v>
      </c>
      <c r="T166" s="50">
        <v>44.246575</v>
      </c>
      <c r="U166" s="50">
        <v>44.246575</v>
      </c>
      <c r="V166" s="50">
        <v>44.246575</v>
      </c>
      <c r="W166" s="50">
        <v>44.246575</v>
      </c>
      <c r="X166" s="50">
        <v>44.246575</v>
      </c>
      <c r="Y166" s="50">
        <v>44.246575</v>
      </c>
      <c r="Z166" s="50">
        <v>44.246575</v>
      </c>
      <c r="AA166" s="50">
        <v>44.246575</v>
      </c>
      <c r="AB166" s="50">
        <v>44.246575</v>
      </c>
      <c r="AC166" s="50">
        <v>44.246575</v>
      </c>
      <c r="AD166" s="50">
        <v>44.246575</v>
      </c>
      <c r="AE166" s="50">
        <v>44.246575</v>
      </c>
      <c r="AF166" s="50">
        <v>44.246575</v>
      </c>
      <c r="AG166" s="50">
        <v>44.246575</v>
      </c>
      <c r="AH166" s="50">
        <v>44.246575</v>
      </c>
      <c r="AI166" s="50">
        <v>44.246575</v>
      </c>
      <c r="AJ166" s="50">
        <v>44.246575</v>
      </c>
      <c r="AK166" s="50">
        <v>44.246575</v>
      </c>
      <c r="AL166" s="50">
        <v>44.246575</v>
      </c>
      <c r="AM166" s="50">
        <v>44.246575</v>
      </c>
      <c r="AN166" s="50">
        <v>44.246575</v>
      </c>
      <c r="AO166" s="50">
        <v>44.246575</v>
      </c>
      <c r="AP166" s="50">
        <v>44.246575</v>
      </c>
      <c r="AQ166" s="50">
        <v>44.246575</v>
      </c>
      <c r="AR166" s="50">
        <v>44.246575</v>
      </c>
      <c r="AS166" s="50">
        <v>44.246575</v>
      </c>
      <c r="AT166" s="50">
        <v>44.246575</v>
      </c>
      <c r="AU166" s="50">
        <v>44.246575</v>
      </c>
      <c r="AV166" s="50">
        <v>44.246575</v>
      </c>
      <c r="AW166" s="50">
        <v>44.246575</v>
      </c>
      <c r="AX166" s="50">
        <v>44.246575</v>
      </c>
      <c r="AY166" s="50">
        <v>44.246575</v>
      </c>
      <c r="AZ166" s="50">
        <v>44.246575</v>
      </c>
      <c r="BA166" s="50">
        <v>44.246575</v>
      </c>
      <c r="BB166" s="50">
        <v>44.246575</v>
      </c>
      <c r="BC166" s="50">
        <v>44.246575</v>
      </c>
      <c r="BD166" s="50">
        <v>44.246575</v>
      </c>
      <c r="BE166" s="50">
        <v>44.246575</v>
      </c>
      <c r="BF166" s="50">
        <v>44.246575</v>
      </c>
      <c r="BG166" s="50">
        <v>44.246575</v>
      </c>
      <c r="BH166" s="50">
        <v>44.246575</v>
      </c>
      <c r="BI166" s="51"/>
      <c r="BJ166" s="51"/>
    </row>
    <row r="167" spans="1:62" ht="20.100000000000001" hidden="1" customHeight="1" outlineLevel="1" x14ac:dyDescent="0.25">
      <c r="A167" s="59" t="s">
        <v>196</v>
      </c>
      <c r="B167" s="50">
        <v>39.041096000000003</v>
      </c>
      <c r="C167" s="50">
        <v>39.041096000000003</v>
      </c>
      <c r="D167" s="50">
        <v>39.041096000000003</v>
      </c>
      <c r="E167" s="50">
        <v>39.041096000000003</v>
      </c>
      <c r="F167" s="50">
        <v>39.041096000000003</v>
      </c>
      <c r="G167" s="50">
        <v>39.041096000000003</v>
      </c>
      <c r="H167" s="50">
        <v>39.041096000000003</v>
      </c>
      <c r="I167" s="50">
        <v>39.041096000000003</v>
      </c>
      <c r="J167" s="50">
        <v>39.041096000000003</v>
      </c>
      <c r="K167" s="50">
        <v>39.041096000000003</v>
      </c>
      <c r="L167" s="50">
        <v>39.041096000000003</v>
      </c>
      <c r="M167" s="50">
        <v>39.041096000000003</v>
      </c>
      <c r="N167" s="50">
        <v>39.041096000000003</v>
      </c>
      <c r="O167" s="50">
        <v>39.041096000000003</v>
      </c>
      <c r="P167" s="50">
        <v>39.041096000000003</v>
      </c>
      <c r="Q167" s="50">
        <v>39.041096000000003</v>
      </c>
      <c r="R167" s="50">
        <v>39.041096000000003</v>
      </c>
      <c r="S167" s="50">
        <v>39.041096000000003</v>
      </c>
      <c r="T167" s="50">
        <v>39.041096000000003</v>
      </c>
      <c r="U167" s="50">
        <v>39.041096000000003</v>
      </c>
      <c r="V167" s="50">
        <v>39.041096000000003</v>
      </c>
      <c r="W167" s="50">
        <v>39.041096000000003</v>
      </c>
      <c r="X167" s="50">
        <v>39.041096000000003</v>
      </c>
      <c r="Y167" s="50">
        <v>39.041096000000003</v>
      </c>
      <c r="Z167" s="50">
        <v>39.041096000000003</v>
      </c>
      <c r="AA167" s="50">
        <v>39.041096000000003</v>
      </c>
      <c r="AB167" s="50">
        <v>39.041096000000003</v>
      </c>
      <c r="AC167" s="50">
        <v>39.041096000000003</v>
      </c>
      <c r="AD167" s="50">
        <v>39.041096000000003</v>
      </c>
      <c r="AE167" s="50">
        <v>39.041096000000003</v>
      </c>
      <c r="AF167" s="50">
        <v>39.041096000000003</v>
      </c>
      <c r="AG167" s="50">
        <v>39.041096000000003</v>
      </c>
      <c r="AH167" s="50">
        <v>39.041096000000003</v>
      </c>
      <c r="AI167" s="50">
        <v>39.041096000000003</v>
      </c>
      <c r="AJ167" s="50">
        <v>39.041096000000003</v>
      </c>
      <c r="AK167" s="50">
        <v>39.041096000000003</v>
      </c>
      <c r="AL167" s="50">
        <v>39.041096000000003</v>
      </c>
      <c r="AM167" s="50">
        <v>39.041096000000003</v>
      </c>
      <c r="AN167" s="50">
        <v>39.041096000000003</v>
      </c>
      <c r="AO167" s="50">
        <v>39.041096000000003</v>
      </c>
      <c r="AP167" s="50">
        <v>39.041096000000003</v>
      </c>
      <c r="AQ167" s="50">
        <v>39.041096000000003</v>
      </c>
      <c r="AR167" s="50">
        <v>39.041096000000003</v>
      </c>
      <c r="AS167" s="50">
        <v>39.041096000000003</v>
      </c>
      <c r="AT167" s="50">
        <v>39.041096000000003</v>
      </c>
      <c r="AU167" s="50">
        <v>39.041096000000003</v>
      </c>
      <c r="AV167" s="50">
        <v>39.041096000000003</v>
      </c>
      <c r="AW167" s="50">
        <v>39.041096000000003</v>
      </c>
      <c r="AX167" s="50">
        <v>39.041096000000003</v>
      </c>
      <c r="AY167" s="50">
        <v>39.041096000000003</v>
      </c>
      <c r="AZ167" s="50">
        <v>39.041096000000003</v>
      </c>
      <c r="BA167" s="50">
        <v>39.041096000000003</v>
      </c>
      <c r="BB167" s="50">
        <v>39.041096000000003</v>
      </c>
      <c r="BC167" s="50">
        <v>39.041096000000003</v>
      </c>
      <c r="BD167" s="50">
        <v>39.041096000000003</v>
      </c>
      <c r="BE167" s="50">
        <v>39.041096000000003</v>
      </c>
      <c r="BF167" s="50">
        <v>39.041096000000003</v>
      </c>
      <c r="BG167" s="50">
        <v>39.041096000000003</v>
      </c>
      <c r="BH167" s="50">
        <v>39.041096000000003</v>
      </c>
      <c r="BI167" s="51"/>
      <c r="BJ167" s="51"/>
    </row>
    <row r="168" spans="1:62" ht="20.100000000000001" hidden="1" customHeight="1" outlineLevel="1" x14ac:dyDescent="0.25">
      <c r="A168" s="59" t="s">
        <v>197</v>
      </c>
      <c r="B168" s="50">
        <v>23.287671</v>
      </c>
      <c r="C168" s="50">
        <v>23.287671</v>
      </c>
      <c r="D168" s="50">
        <v>23.287671</v>
      </c>
      <c r="E168" s="50">
        <v>23.287671</v>
      </c>
      <c r="F168" s="50">
        <v>23.287671</v>
      </c>
      <c r="G168" s="50">
        <v>23.287671</v>
      </c>
      <c r="H168" s="50">
        <v>23.287671</v>
      </c>
      <c r="I168" s="50">
        <v>23.287671</v>
      </c>
      <c r="J168" s="50">
        <v>23.287671</v>
      </c>
      <c r="K168" s="50">
        <v>23.287671</v>
      </c>
      <c r="L168" s="50">
        <v>23.287671</v>
      </c>
      <c r="M168" s="50">
        <v>23.287671</v>
      </c>
      <c r="N168" s="50">
        <v>23.287671</v>
      </c>
      <c r="O168" s="50">
        <v>23.287671</v>
      </c>
      <c r="P168" s="50">
        <v>23.287671</v>
      </c>
      <c r="Q168" s="50">
        <v>23.287671</v>
      </c>
      <c r="R168" s="50">
        <v>23.287671</v>
      </c>
      <c r="S168" s="50">
        <v>23.287671</v>
      </c>
      <c r="T168" s="50">
        <v>23.287671</v>
      </c>
      <c r="U168" s="50">
        <v>23.287671</v>
      </c>
      <c r="V168" s="50">
        <v>23.287671</v>
      </c>
      <c r="W168" s="50">
        <v>23.287671</v>
      </c>
      <c r="X168" s="50">
        <v>23.287671</v>
      </c>
      <c r="Y168" s="50">
        <v>23.287671</v>
      </c>
      <c r="Z168" s="50">
        <v>23.287671</v>
      </c>
      <c r="AA168" s="50">
        <v>23.287671</v>
      </c>
      <c r="AB168" s="50">
        <v>23.287671</v>
      </c>
      <c r="AC168" s="50">
        <v>23.287671</v>
      </c>
      <c r="AD168" s="50">
        <v>23.287671</v>
      </c>
      <c r="AE168" s="50">
        <v>23.287671</v>
      </c>
      <c r="AF168" s="50">
        <v>23.287671</v>
      </c>
      <c r="AG168" s="50">
        <v>23.287671</v>
      </c>
      <c r="AH168" s="50">
        <v>23.287671</v>
      </c>
      <c r="AI168" s="50">
        <v>23.287671</v>
      </c>
      <c r="AJ168" s="50">
        <v>23.287671</v>
      </c>
      <c r="AK168" s="50">
        <v>23.287671</v>
      </c>
      <c r="AL168" s="50">
        <v>23.287671</v>
      </c>
      <c r="AM168" s="50">
        <v>23.287671</v>
      </c>
      <c r="AN168" s="50">
        <v>23.287671</v>
      </c>
      <c r="AO168" s="50">
        <v>23.287671</v>
      </c>
      <c r="AP168" s="50">
        <v>23.287671</v>
      </c>
      <c r="AQ168" s="50">
        <v>23.287671</v>
      </c>
      <c r="AR168" s="50">
        <v>23.287671</v>
      </c>
      <c r="AS168" s="50">
        <v>23.287671</v>
      </c>
      <c r="AT168" s="50">
        <v>23.287671</v>
      </c>
      <c r="AU168" s="50">
        <v>23.287671</v>
      </c>
      <c r="AV168" s="50">
        <v>23.287671</v>
      </c>
      <c r="AW168" s="50">
        <v>23.287671</v>
      </c>
      <c r="AX168" s="50">
        <v>23.287671</v>
      </c>
      <c r="AY168" s="50">
        <v>23.287671</v>
      </c>
      <c r="AZ168" s="50">
        <v>23.287671</v>
      </c>
      <c r="BA168" s="50">
        <v>23.287671</v>
      </c>
      <c r="BB168" s="50">
        <v>23.287671</v>
      </c>
      <c r="BC168" s="50">
        <v>23.287671</v>
      </c>
      <c r="BD168" s="50">
        <v>23.287671</v>
      </c>
      <c r="BE168" s="50">
        <v>23.287671</v>
      </c>
      <c r="BF168" s="50">
        <v>23.287671</v>
      </c>
      <c r="BG168" s="50">
        <v>23.287671</v>
      </c>
      <c r="BH168" s="50">
        <v>23.287671</v>
      </c>
      <c r="BI168" s="51"/>
      <c r="BJ168" s="51"/>
    </row>
    <row r="169" spans="1:62" ht="20.100000000000001" hidden="1" customHeight="1" outlineLevel="1" x14ac:dyDescent="0.25">
      <c r="A169" s="59" t="s">
        <v>198</v>
      </c>
      <c r="B169" s="50">
        <v>66.178408000000005</v>
      </c>
      <c r="C169" s="50">
        <v>66.178408000000005</v>
      </c>
      <c r="D169" s="50">
        <v>66.178408000000005</v>
      </c>
      <c r="E169" s="50">
        <v>66.178408000000005</v>
      </c>
      <c r="F169" s="50">
        <v>66.178408000000005</v>
      </c>
      <c r="G169" s="50">
        <v>66.178408000000005</v>
      </c>
      <c r="H169" s="50">
        <v>66.178408000000005</v>
      </c>
      <c r="I169" s="50">
        <v>66.178408000000005</v>
      </c>
      <c r="J169" s="50">
        <v>66.178408000000005</v>
      </c>
      <c r="K169" s="50">
        <v>66.178408000000005</v>
      </c>
      <c r="L169" s="50">
        <v>66.178408000000005</v>
      </c>
      <c r="M169" s="50">
        <v>66.178408000000005</v>
      </c>
      <c r="N169" s="50">
        <v>66.178408000000005</v>
      </c>
      <c r="O169" s="50">
        <v>66.178408000000005</v>
      </c>
      <c r="P169" s="50">
        <v>66.178408000000005</v>
      </c>
      <c r="Q169" s="50">
        <v>66.178408000000005</v>
      </c>
      <c r="R169" s="50">
        <v>66.178408000000005</v>
      </c>
      <c r="S169" s="50">
        <v>66.178408000000005</v>
      </c>
      <c r="T169" s="50">
        <v>66.178408000000005</v>
      </c>
      <c r="U169" s="50">
        <v>66.178408000000005</v>
      </c>
      <c r="V169" s="50">
        <v>66.178408000000005</v>
      </c>
      <c r="W169" s="50">
        <v>66.178408000000005</v>
      </c>
      <c r="X169" s="50">
        <v>66.178408000000005</v>
      </c>
      <c r="Y169" s="50">
        <v>66.178408000000005</v>
      </c>
      <c r="Z169" s="50">
        <v>66.178408000000005</v>
      </c>
      <c r="AA169" s="50">
        <v>66.178408000000005</v>
      </c>
      <c r="AB169" s="50">
        <v>66.178408000000005</v>
      </c>
      <c r="AC169" s="50">
        <v>66.178408000000005</v>
      </c>
      <c r="AD169" s="50">
        <v>66.178408000000005</v>
      </c>
      <c r="AE169" s="50">
        <v>66.178408000000005</v>
      </c>
      <c r="AF169" s="50">
        <v>66.178408000000005</v>
      </c>
      <c r="AG169" s="50">
        <v>66.178408000000005</v>
      </c>
      <c r="AH169" s="50">
        <v>66.178408000000005</v>
      </c>
      <c r="AI169" s="50">
        <v>66.178408000000005</v>
      </c>
      <c r="AJ169" s="50">
        <v>66.178408000000005</v>
      </c>
      <c r="AK169" s="50">
        <v>66.178408000000005</v>
      </c>
      <c r="AL169" s="50">
        <v>66.178408000000005</v>
      </c>
      <c r="AM169" s="50">
        <v>66.178408000000005</v>
      </c>
      <c r="AN169" s="50">
        <v>66.178408000000005</v>
      </c>
      <c r="AO169" s="50">
        <v>66.178408000000005</v>
      </c>
      <c r="AP169" s="50">
        <v>66.178408000000005</v>
      </c>
      <c r="AQ169" s="50">
        <v>66.178408000000005</v>
      </c>
      <c r="AR169" s="50">
        <v>66.178408000000005</v>
      </c>
      <c r="AS169" s="50">
        <v>66.178408000000005</v>
      </c>
      <c r="AT169" s="50">
        <v>66.178408000000005</v>
      </c>
      <c r="AU169" s="50">
        <v>66.178408000000005</v>
      </c>
      <c r="AV169" s="50">
        <v>66.178408000000005</v>
      </c>
      <c r="AW169" s="50">
        <v>66.178408000000005</v>
      </c>
      <c r="AX169" s="50">
        <v>66.178408000000005</v>
      </c>
      <c r="AY169" s="50">
        <v>66.178408000000005</v>
      </c>
      <c r="AZ169" s="50">
        <v>66.178408000000005</v>
      </c>
      <c r="BA169" s="50">
        <v>66.178408000000005</v>
      </c>
      <c r="BB169" s="50">
        <v>66.178408000000005</v>
      </c>
      <c r="BC169" s="50">
        <v>66.178408000000005</v>
      </c>
      <c r="BD169" s="50">
        <v>66.178408000000005</v>
      </c>
      <c r="BE169" s="50">
        <v>66.178408000000005</v>
      </c>
      <c r="BF169" s="50">
        <v>66.178408000000005</v>
      </c>
      <c r="BG169" s="50">
        <v>66.178408000000005</v>
      </c>
      <c r="BH169" s="50">
        <v>66.178408000000005</v>
      </c>
      <c r="BI169" s="51"/>
      <c r="BJ169" s="51"/>
    </row>
    <row r="170" spans="1:62" ht="20.100000000000001" hidden="1" customHeight="1" outlineLevel="1" x14ac:dyDescent="0.25">
      <c r="A170" s="59" t="s">
        <v>199</v>
      </c>
      <c r="B170" s="50">
        <v>24.726026999999998</v>
      </c>
      <c r="C170" s="50">
        <v>24.726026999999998</v>
      </c>
      <c r="D170" s="50">
        <v>24.726026999999998</v>
      </c>
      <c r="E170" s="50">
        <v>24.726026999999998</v>
      </c>
      <c r="F170" s="50">
        <v>24.726026999999998</v>
      </c>
      <c r="G170" s="50">
        <v>24.726026999999998</v>
      </c>
      <c r="H170" s="50">
        <v>24.726026999999998</v>
      </c>
      <c r="I170" s="50">
        <v>24.726026999999998</v>
      </c>
      <c r="J170" s="50">
        <v>24.726026999999998</v>
      </c>
      <c r="K170" s="50">
        <v>24.726026999999998</v>
      </c>
      <c r="L170" s="50">
        <v>24.726026999999998</v>
      </c>
      <c r="M170" s="50">
        <v>24.726026999999998</v>
      </c>
      <c r="N170" s="50">
        <v>24.726026999999998</v>
      </c>
      <c r="O170" s="50">
        <v>24.726026999999998</v>
      </c>
      <c r="P170" s="50">
        <v>24.726026999999998</v>
      </c>
      <c r="Q170" s="50">
        <v>24.726026999999998</v>
      </c>
      <c r="R170" s="50">
        <v>24.726026999999998</v>
      </c>
      <c r="S170" s="50">
        <v>24.726026999999998</v>
      </c>
      <c r="T170" s="50">
        <v>24.726026999999998</v>
      </c>
      <c r="U170" s="50">
        <v>24.726026999999998</v>
      </c>
      <c r="V170" s="50">
        <v>24.726026999999998</v>
      </c>
      <c r="W170" s="50">
        <v>24.726026999999998</v>
      </c>
      <c r="X170" s="50">
        <v>24.726026999999998</v>
      </c>
      <c r="Y170" s="50">
        <v>24.726026999999998</v>
      </c>
      <c r="Z170" s="50">
        <v>24.726026999999998</v>
      </c>
      <c r="AA170" s="50">
        <v>24.726026999999998</v>
      </c>
      <c r="AB170" s="50">
        <v>24.726026999999998</v>
      </c>
      <c r="AC170" s="50">
        <v>24.726026999999998</v>
      </c>
      <c r="AD170" s="50">
        <v>24.726026999999998</v>
      </c>
      <c r="AE170" s="50">
        <v>24.726026999999998</v>
      </c>
      <c r="AF170" s="50">
        <v>24.726026999999998</v>
      </c>
      <c r="AG170" s="50">
        <v>24.726026999999998</v>
      </c>
      <c r="AH170" s="50">
        <v>24.726026999999998</v>
      </c>
      <c r="AI170" s="50">
        <v>24.726026999999998</v>
      </c>
      <c r="AJ170" s="50">
        <v>24.726026999999998</v>
      </c>
      <c r="AK170" s="50">
        <v>24.726026999999998</v>
      </c>
      <c r="AL170" s="50">
        <v>24.726026999999998</v>
      </c>
      <c r="AM170" s="50">
        <v>24.726026999999998</v>
      </c>
      <c r="AN170" s="50">
        <v>24.726026999999998</v>
      </c>
      <c r="AO170" s="50">
        <v>24.726026999999998</v>
      </c>
      <c r="AP170" s="50">
        <v>24.726026999999998</v>
      </c>
      <c r="AQ170" s="50">
        <v>24.726026999999998</v>
      </c>
      <c r="AR170" s="50">
        <v>24.726026999999998</v>
      </c>
      <c r="AS170" s="50">
        <v>24.726026999999998</v>
      </c>
      <c r="AT170" s="50">
        <v>24.726026999999998</v>
      </c>
      <c r="AU170" s="50">
        <v>24.726026999999998</v>
      </c>
      <c r="AV170" s="50">
        <v>24.726026999999998</v>
      </c>
      <c r="AW170" s="50">
        <v>24.726026999999998</v>
      </c>
      <c r="AX170" s="50">
        <v>24.726026999999998</v>
      </c>
      <c r="AY170" s="50">
        <v>24.726026999999998</v>
      </c>
      <c r="AZ170" s="50">
        <v>24.726026999999998</v>
      </c>
      <c r="BA170" s="50">
        <v>24.726026999999998</v>
      </c>
      <c r="BB170" s="50">
        <v>24.726026999999998</v>
      </c>
      <c r="BC170" s="50">
        <v>24.726026999999998</v>
      </c>
      <c r="BD170" s="50">
        <v>24.726026999999998</v>
      </c>
      <c r="BE170" s="50">
        <v>24.726026999999998</v>
      </c>
      <c r="BF170" s="50">
        <v>24.726026999999998</v>
      </c>
      <c r="BG170" s="50">
        <v>24.726026999999998</v>
      </c>
      <c r="BH170" s="50">
        <v>24.726026999999998</v>
      </c>
      <c r="BI170" s="51"/>
      <c r="BJ170" s="51"/>
    </row>
    <row r="171" spans="1:62" ht="20.100000000000001" hidden="1" customHeight="1" outlineLevel="1" x14ac:dyDescent="0.25">
      <c r="A171" s="59" t="s">
        <v>200</v>
      </c>
      <c r="B171" s="50">
        <v>13.013699000000001</v>
      </c>
      <c r="C171" s="50">
        <v>13.013699000000001</v>
      </c>
      <c r="D171" s="50">
        <v>13.013699000000001</v>
      </c>
      <c r="E171" s="50">
        <v>13.013699000000001</v>
      </c>
      <c r="F171" s="50">
        <v>13.013699000000001</v>
      </c>
      <c r="G171" s="50">
        <v>13.013699000000001</v>
      </c>
      <c r="H171" s="50">
        <v>13.013699000000001</v>
      </c>
      <c r="I171" s="50">
        <v>13.013699000000001</v>
      </c>
      <c r="J171" s="50">
        <v>13.013699000000001</v>
      </c>
      <c r="K171" s="50">
        <v>13.013699000000001</v>
      </c>
      <c r="L171" s="50">
        <v>13.013699000000001</v>
      </c>
      <c r="M171" s="50">
        <v>13.013699000000001</v>
      </c>
      <c r="N171" s="50">
        <v>13.013699000000001</v>
      </c>
      <c r="O171" s="50">
        <v>13.013699000000001</v>
      </c>
      <c r="P171" s="50">
        <v>13.013699000000001</v>
      </c>
      <c r="Q171" s="50">
        <v>13.013699000000001</v>
      </c>
      <c r="R171" s="50">
        <v>13.013699000000001</v>
      </c>
      <c r="S171" s="50">
        <v>13.013699000000001</v>
      </c>
      <c r="T171" s="50">
        <v>13.013699000000001</v>
      </c>
      <c r="U171" s="50">
        <v>13.013699000000001</v>
      </c>
      <c r="V171" s="50">
        <v>13.013699000000001</v>
      </c>
      <c r="W171" s="50">
        <v>13.013699000000001</v>
      </c>
      <c r="X171" s="50">
        <v>13.013699000000001</v>
      </c>
      <c r="Y171" s="50">
        <v>13.013699000000001</v>
      </c>
      <c r="Z171" s="50">
        <v>13.013699000000001</v>
      </c>
      <c r="AA171" s="50">
        <v>13.013699000000001</v>
      </c>
      <c r="AB171" s="50">
        <v>13.013699000000001</v>
      </c>
      <c r="AC171" s="50">
        <v>13.013699000000001</v>
      </c>
      <c r="AD171" s="50">
        <v>13.013699000000001</v>
      </c>
      <c r="AE171" s="50">
        <v>13.013699000000001</v>
      </c>
      <c r="AF171" s="50">
        <v>13.013699000000001</v>
      </c>
      <c r="AG171" s="50">
        <v>13.013699000000001</v>
      </c>
      <c r="AH171" s="50">
        <v>13.013699000000001</v>
      </c>
      <c r="AI171" s="50">
        <v>13.013699000000001</v>
      </c>
      <c r="AJ171" s="50">
        <v>13.013699000000001</v>
      </c>
      <c r="AK171" s="50">
        <v>13.013699000000001</v>
      </c>
      <c r="AL171" s="50">
        <v>13.013699000000001</v>
      </c>
      <c r="AM171" s="50">
        <v>13.013699000000001</v>
      </c>
      <c r="AN171" s="50">
        <v>13.013699000000001</v>
      </c>
      <c r="AO171" s="50">
        <v>13.013699000000001</v>
      </c>
      <c r="AP171" s="50">
        <v>13.013699000000001</v>
      </c>
      <c r="AQ171" s="50">
        <v>13.013699000000001</v>
      </c>
      <c r="AR171" s="50">
        <v>13.013699000000001</v>
      </c>
      <c r="AS171" s="50">
        <v>13.013699000000001</v>
      </c>
      <c r="AT171" s="50">
        <v>13.013699000000001</v>
      </c>
      <c r="AU171" s="50">
        <v>13.013699000000001</v>
      </c>
      <c r="AV171" s="50">
        <v>13.013699000000001</v>
      </c>
      <c r="AW171" s="50">
        <v>13.013699000000001</v>
      </c>
      <c r="AX171" s="50">
        <v>13.013699000000001</v>
      </c>
      <c r="AY171" s="50">
        <v>13.013699000000001</v>
      </c>
      <c r="AZ171" s="50">
        <v>13.013699000000001</v>
      </c>
      <c r="BA171" s="50">
        <v>13.013699000000001</v>
      </c>
      <c r="BB171" s="50">
        <v>13.013699000000001</v>
      </c>
      <c r="BC171" s="50">
        <v>13.013699000000001</v>
      </c>
      <c r="BD171" s="50">
        <v>13.013699000000001</v>
      </c>
      <c r="BE171" s="50">
        <v>13.013699000000001</v>
      </c>
      <c r="BF171" s="50">
        <v>13.013699000000001</v>
      </c>
      <c r="BG171" s="50">
        <v>13.013699000000001</v>
      </c>
      <c r="BH171" s="50">
        <v>13.013699000000001</v>
      </c>
      <c r="BI171" s="51"/>
      <c r="BJ171" s="51"/>
    </row>
    <row r="172" spans="1:62" ht="20.100000000000001" hidden="1" customHeight="1" outlineLevel="1" x14ac:dyDescent="0.25">
      <c r="A172" s="59" t="s">
        <v>201</v>
      </c>
      <c r="B172" s="50">
        <v>81.369862999999995</v>
      </c>
      <c r="C172" s="50">
        <v>81.369862999999995</v>
      </c>
      <c r="D172" s="50">
        <v>81.369862999999995</v>
      </c>
      <c r="E172" s="50">
        <v>81.369862999999995</v>
      </c>
      <c r="F172" s="50">
        <v>81.369862999999995</v>
      </c>
      <c r="G172" s="50">
        <v>81.369862999999995</v>
      </c>
      <c r="H172" s="50">
        <v>81.369862999999995</v>
      </c>
      <c r="I172" s="50">
        <v>81.369862999999995</v>
      </c>
      <c r="J172" s="50">
        <v>81.369862999999995</v>
      </c>
      <c r="K172" s="50">
        <v>81.369862999999995</v>
      </c>
      <c r="L172" s="50">
        <v>81.369862999999995</v>
      </c>
      <c r="M172" s="50">
        <v>81.369862999999995</v>
      </c>
      <c r="N172" s="50">
        <v>81.369862999999995</v>
      </c>
      <c r="O172" s="50">
        <v>81.369862999999995</v>
      </c>
      <c r="P172" s="50">
        <v>81.369862999999995</v>
      </c>
      <c r="Q172" s="50">
        <v>81.369862999999995</v>
      </c>
      <c r="R172" s="50">
        <v>81.369862999999995</v>
      </c>
      <c r="S172" s="50">
        <v>81.369862999999995</v>
      </c>
      <c r="T172" s="50">
        <v>81.369862999999995</v>
      </c>
      <c r="U172" s="50">
        <v>81.369862999999995</v>
      </c>
      <c r="V172" s="50">
        <v>81.369862999999995</v>
      </c>
      <c r="W172" s="50">
        <v>81.369862999999995</v>
      </c>
      <c r="X172" s="50">
        <v>81.369862999999995</v>
      </c>
      <c r="Y172" s="50">
        <v>81.369862999999995</v>
      </c>
      <c r="Z172" s="50">
        <v>81.369862999999995</v>
      </c>
      <c r="AA172" s="50">
        <v>81.369862999999995</v>
      </c>
      <c r="AB172" s="50">
        <v>81.369862999999995</v>
      </c>
      <c r="AC172" s="50">
        <v>81.369862999999995</v>
      </c>
      <c r="AD172" s="50">
        <v>81.369862999999995</v>
      </c>
      <c r="AE172" s="50">
        <v>81.369862999999995</v>
      </c>
      <c r="AF172" s="50">
        <v>81.369862999999995</v>
      </c>
      <c r="AG172" s="50">
        <v>81.369862999999995</v>
      </c>
      <c r="AH172" s="50">
        <v>81.369862999999995</v>
      </c>
      <c r="AI172" s="50">
        <v>81.369862999999995</v>
      </c>
      <c r="AJ172" s="50">
        <v>81.369862999999995</v>
      </c>
      <c r="AK172" s="50">
        <v>81.369862999999995</v>
      </c>
      <c r="AL172" s="50">
        <v>81.369862999999995</v>
      </c>
      <c r="AM172" s="50">
        <v>81.369862999999995</v>
      </c>
      <c r="AN172" s="50">
        <v>81.369862999999995</v>
      </c>
      <c r="AO172" s="50">
        <v>81.369862999999995</v>
      </c>
      <c r="AP172" s="50">
        <v>81.369862999999995</v>
      </c>
      <c r="AQ172" s="50">
        <v>81.369862999999995</v>
      </c>
      <c r="AR172" s="50">
        <v>81.369862999999995</v>
      </c>
      <c r="AS172" s="50">
        <v>81.369862999999995</v>
      </c>
      <c r="AT172" s="50">
        <v>81.369862999999995</v>
      </c>
      <c r="AU172" s="50">
        <v>81.369862999999995</v>
      </c>
      <c r="AV172" s="50">
        <v>81.369862999999995</v>
      </c>
      <c r="AW172" s="50">
        <v>81.369862999999995</v>
      </c>
      <c r="AX172" s="50">
        <v>81.369862999999995</v>
      </c>
      <c r="AY172" s="50">
        <v>81.369862999999995</v>
      </c>
      <c r="AZ172" s="50">
        <v>81.369862999999995</v>
      </c>
      <c r="BA172" s="50">
        <v>81.369862999999995</v>
      </c>
      <c r="BB172" s="50">
        <v>81.369862999999995</v>
      </c>
      <c r="BC172" s="50">
        <v>81.369862999999995</v>
      </c>
      <c r="BD172" s="50">
        <v>81.369862999999995</v>
      </c>
      <c r="BE172" s="50">
        <v>81.369862999999995</v>
      </c>
      <c r="BF172" s="50">
        <v>81.369862999999995</v>
      </c>
      <c r="BG172" s="50">
        <v>81.369862999999995</v>
      </c>
      <c r="BH172" s="50">
        <v>81.369862999999995</v>
      </c>
      <c r="BI172" s="51"/>
      <c r="BJ172" s="51"/>
    </row>
    <row r="173" spans="1:62" ht="20.100000000000001" hidden="1" customHeight="1" outlineLevel="1" x14ac:dyDescent="0.25">
      <c r="A173" s="59" t="s">
        <v>202</v>
      </c>
      <c r="B173" s="50">
        <v>39.041096000000003</v>
      </c>
      <c r="C173" s="50">
        <v>39.041096000000003</v>
      </c>
      <c r="D173" s="50">
        <v>39.041096000000003</v>
      </c>
      <c r="E173" s="50">
        <v>39.041096000000003</v>
      </c>
      <c r="F173" s="50">
        <v>39.041096000000003</v>
      </c>
      <c r="G173" s="50">
        <v>39.041096000000003</v>
      </c>
      <c r="H173" s="50">
        <v>39.041096000000003</v>
      </c>
      <c r="I173" s="50">
        <v>39.041096000000003</v>
      </c>
      <c r="J173" s="50">
        <v>39.041096000000003</v>
      </c>
      <c r="K173" s="50">
        <v>39.041096000000003</v>
      </c>
      <c r="L173" s="50">
        <v>39.041096000000003</v>
      </c>
      <c r="M173" s="50">
        <v>39.041096000000003</v>
      </c>
      <c r="N173" s="50">
        <v>39.041096000000003</v>
      </c>
      <c r="O173" s="50">
        <v>39.041096000000003</v>
      </c>
      <c r="P173" s="50">
        <v>39.041096000000003</v>
      </c>
      <c r="Q173" s="50">
        <v>39.041096000000003</v>
      </c>
      <c r="R173" s="50">
        <v>39.041096000000003</v>
      </c>
      <c r="S173" s="50">
        <v>39.041096000000003</v>
      </c>
      <c r="T173" s="50">
        <v>39.041096000000003</v>
      </c>
      <c r="U173" s="50">
        <v>39.041096000000003</v>
      </c>
      <c r="V173" s="50">
        <v>39.041096000000003</v>
      </c>
      <c r="W173" s="50">
        <v>39.041096000000003</v>
      </c>
      <c r="X173" s="50">
        <v>39.041096000000003</v>
      </c>
      <c r="Y173" s="50">
        <v>39.041096000000003</v>
      </c>
      <c r="Z173" s="50">
        <v>39.041096000000003</v>
      </c>
      <c r="AA173" s="50">
        <v>39.041096000000003</v>
      </c>
      <c r="AB173" s="50">
        <v>39.041096000000003</v>
      </c>
      <c r="AC173" s="50">
        <v>39.041096000000003</v>
      </c>
      <c r="AD173" s="50">
        <v>39.041096000000003</v>
      </c>
      <c r="AE173" s="50">
        <v>39.041096000000003</v>
      </c>
      <c r="AF173" s="50">
        <v>39.041096000000003</v>
      </c>
      <c r="AG173" s="50">
        <v>39.041096000000003</v>
      </c>
      <c r="AH173" s="50">
        <v>39.041096000000003</v>
      </c>
      <c r="AI173" s="50">
        <v>39.041096000000003</v>
      </c>
      <c r="AJ173" s="50">
        <v>39.041096000000003</v>
      </c>
      <c r="AK173" s="50">
        <v>39.041096000000003</v>
      </c>
      <c r="AL173" s="50">
        <v>39.041096000000003</v>
      </c>
      <c r="AM173" s="50">
        <v>39.041096000000003</v>
      </c>
      <c r="AN173" s="50">
        <v>39.041096000000003</v>
      </c>
      <c r="AO173" s="50">
        <v>39.041096000000003</v>
      </c>
      <c r="AP173" s="50">
        <v>39.041096000000003</v>
      </c>
      <c r="AQ173" s="50">
        <v>39.041096000000003</v>
      </c>
      <c r="AR173" s="50">
        <v>39.041096000000003</v>
      </c>
      <c r="AS173" s="50">
        <v>39.041096000000003</v>
      </c>
      <c r="AT173" s="50">
        <v>39.041096000000003</v>
      </c>
      <c r="AU173" s="50">
        <v>39.041096000000003</v>
      </c>
      <c r="AV173" s="50">
        <v>39.041096000000003</v>
      </c>
      <c r="AW173" s="50">
        <v>39.041096000000003</v>
      </c>
      <c r="AX173" s="50">
        <v>39.041096000000003</v>
      </c>
      <c r="AY173" s="50">
        <v>39.041096000000003</v>
      </c>
      <c r="AZ173" s="50">
        <v>39.041096000000003</v>
      </c>
      <c r="BA173" s="50">
        <v>39.041096000000003</v>
      </c>
      <c r="BB173" s="50">
        <v>39.041096000000003</v>
      </c>
      <c r="BC173" s="50">
        <v>39.041096000000003</v>
      </c>
      <c r="BD173" s="50">
        <v>39.041096000000003</v>
      </c>
      <c r="BE173" s="50">
        <v>39.041096000000003</v>
      </c>
      <c r="BF173" s="50">
        <v>39.041096000000003</v>
      </c>
      <c r="BG173" s="50">
        <v>39.041096000000003</v>
      </c>
      <c r="BH173" s="50">
        <v>39.041096000000003</v>
      </c>
      <c r="BI173" s="51"/>
      <c r="BJ173" s="51"/>
    </row>
    <row r="174" spans="1:62" ht="20.100000000000001" hidden="1" customHeight="1" outlineLevel="1" x14ac:dyDescent="0.25">
      <c r="A174" s="59" t="s">
        <v>203</v>
      </c>
      <c r="B174" s="50">
        <v>44.127651999999998</v>
      </c>
      <c r="C174" s="50">
        <v>44.127651999999998</v>
      </c>
      <c r="D174" s="50">
        <v>44.127651999999998</v>
      </c>
      <c r="E174" s="50">
        <v>44.127651999999998</v>
      </c>
      <c r="F174" s="50">
        <v>44.127651999999998</v>
      </c>
      <c r="G174" s="50">
        <v>44.127651999999998</v>
      </c>
      <c r="H174" s="50">
        <v>44.127651999999998</v>
      </c>
      <c r="I174" s="50">
        <v>44.127651999999998</v>
      </c>
      <c r="J174" s="50">
        <v>44.127651999999998</v>
      </c>
      <c r="K174" s="50">
        <v>44.127651999999998</v>
      </c>
      <c r="L174" s="50">
        <v>44.127651999999998</v>
      </c>
      <c r="M174" s="50">
        <v>44.127651999999998</v>
      </c>
      <c r="N174" s="50">
        <v>44.127651999999998</v>
      </c>
      <c r="O174" s="50">
        <v>44.127651999999998</v>
      </c>
      <c r="P174" s="50">
        <v>44.127651999999998</v>
      </c>
      <c r="Q174" s="50">
        <v>44.127651999999998</v>
      </c>
      <c r="R174" s="50">
        <v>44.127651999999998</v>
      </c>
      <c r="S174" s="50">
        <v>44.127651999999998</v>
      </c>
      <c r="T174" s="50">
        <v>44.127651999999998</v>
      </c>
      <c r="U174" s="50">
        <v>44.127651999999998</v>
      </c>
      <c r="V174" s="50">
        <v>44.127651999999998</v>
      </c>
      <c r="W174" s="50">
        <v>44.127651999999998</v>
      </c>
      <c r="X174" s="50">
        <v>44.127651999999998</v>
      </c>
      <c r="Y174" s="50">
        <v>44.127651999999998</v>
      </c>
      <c r="Z174" s="50">
        <v>44.127651999999998</v>
      </c>
      <c r="AA174" s="50">
        <v>44.127651999999998</v>
      </c>
      <c r="AB174" s="50">
        <v>44.127651999999998</v>
      </c>
      <c r="AC174" s="50">
        <v>44.127651999999998</v>
      </c>
      <c r="AD174" s="50">
        <v>44.127651999999998</v>
      </c>
      <c r="AE174" s="50">
        <v>44.127651999999998</v>
      </c>
      <c r="AF174" s="50">
        <v>44.127651999999998</v>
      </c>
      <c r="AG174" s="50">
        <v>44.127651999999998</v>
      </c>
      <c r="AH174" s="50">
        <v>44.127651999999998</v>
      </c>
      <c r="AI174" s="50">
        <v>44.127651999999998</v>
      </c>
      <c r="AJ174" s="50">
        <v>44.127651999999998</v>
      </c>
      <c r="AK174" s="50">
        <v>44.127651999999998</v>
      </c>
      <c r="AL174" s="50">
        <v>44.127651999999998</v>
      </c>
      <c r="AM174" s="50">
        <v>44.127651999999998</v>
      </c>
      <c r="AN174" s="50">
        <v>44.127651999999998</v>
      </c>
      <c r="AO174" s="50">
        <v>44.127651999999998</v>
      </c>
      <c r="AP174" s="50">
        <v>44.127651999999998</v>
      </c>
      <c r="AQ174" s="50">
        <v>44.127651999999998</v>
      </c>
      <c r="AR174" s="50">
        <v>44.127651999999998</v>
      </c>
      <c r="AS174" s="50">
        <v>44.127651999999998</v>
      </c>
      <c r="AT174" s="50">
        <v>44.127651999999998</v>
      </c>
      <c r="AU174" s="50">
        <v>44.127651999999998</v>
      </c>
      <c r="AV174" s="50">
        <v>44.127651999999998</v>
      </c>
      <c r="AW174" s="50">
        <v>44.127651999999998</v>
      </c>
      <c r="AX174" s="50">
        <v>44.127651999999998</v>
      </c>
      <c r="AY174" s="50">
        <v>44.127651999999998</v>
      </c>
      <c r="AZ174" s="50">
        <v>44.127651999999998</v>
      </c>
      <c r="BA174" s="50">
        <v>44.127651999999998</v>
      </c>
      <c r="BB174" s="50">
        <v>44.127651999999998</v>
      </c>
      <c r="BC174" s="50">
        <v>44.127651999999998</v>
      </c>
      <c r="BD174" s="50">
        <v>44.127651999999998</v>
      </c>
      <c r="BE174" s="50">
        <v>44.127651999999998</v>
      </c>
      <c r="BF174" s="50">
        <v>44.127651999999998</v>
      </c>
      <c r="BG174" s="50">
        <v>44.127651999999998</v>
      </c>
      <c r="BH174" s="50">
        <v>44.127651999999998</v>
      </c>
      <c r="BI174" s="51"/>
      <c r="BJ174" s="51"/>
    </row>
    <row r="175" spans="1:62" ht="20.100000000000001" hidden="1" customHeight="1" outlineLevel="1" x14ac:dyDescent="0.25">
      <c r="A175" s="59" t="s">
        <v>204</v>
      </c>
      <c r="B175" s="50">
        <v>43.704225000000001</v>
      </c>
      <c r="C175" s="50">
        <v>43.704225000000001</v>
      </c>
      <c r="D175" s="50">
        <v>43.704225000000001</v>
      </c>
      <c r="E175" s="50">
        <v>43.704225000000001</v>
      </c>
      <c r="F175" s="50">
        <v>43.704225000000001</v>
      </c>
      <c r="G175" s="50">
        <v>43.704225000000001</v>
      </c>
      <c r="H175" s="50">
        <v>43.704225000000001</v>
      </c>
      <c r="I175" s="50">
        <v>43.704225000000001</v>
      </c>
      <c r="J175" s="50">
        <v>43.704225000000001</v>
      </c>
      <c r="K175" s="50">
        <v>43.704225000000001</v>
      </c>
      <c r="L175" s="50">
        <v>43.704225000000001</v>
      </c>
      <c r="M175" s="50">
        <v>43.704225000000001</v>
      </c>
      <c r="N175" s="50">
        <v>43.704225000000001</v>
      </c>
      <c r="O175" s="50">
        <v>43.704225000000001</v>
      </c>
      <c r="P175" s="50">
        <v>43.704225000000001</v>
      </c>
      <c r="Q175" s="50">
        <v>43.704225000000001</v>
      </c>
      <c r="R175" s="50">
        <v>43.704225000000001</v>
      </c>
      <c r="S175" s="50">
        <v>43.704225000000001</v>
      </c>
      <c r="T175" s="50">
        <v>43.704225000000001</v>
      </c>
      <c r="U175" s="50">
        <v>43.704225000000001</v>
      </c>
      <c r="V175" s="50">
        <v>43.704225000000001</v>
      </c>
      <c r="W175" s="50">
        <v>43.704225000000001</v>
      </c>
      <c r="X175" s="50">
        <v>43.704225000000001</v>
      </c>
      <c r="Y175" s="50">
        <v>43.704225000000001</v>
      </c>
      <c r="Z175" s="50">
        <v>43.704225000000001</v>
      </c>
      <c r="AA175" s="50">
        <v>43.704225000000001</v>
      </c>
      <c r="AB175" s="50">
        <v>43.704225000000001</v>
      </c>
      <c r="AC175" s="50">
        <v>43.704225000000001</v>
      </c>
      <c r="AD175" s="50">
        <v>43.704225000000001</v>
      </c>
      <c r="AE175" s="50">
        <v>43.704225000000001</v>
      </c>
      <c r="AF175" s="50">
        <v>43.704225000000001</v>
      </c>
      <c r="AG175" s="50">
        <v>43.704225000000001</v>
      </c>
      <c r="AH175" s="50">
        <v>43.704225000000001</v>
      </c>
      <c r="AI175" s="50">
        <v>43.704225000000001</v>
      </c>
      <c r="AJ175" s="50">
        <v>43.704225000000001</v>
      </c>
      <c r="AK175" s="50">
        <v>43.704225000000001</v>
      </c>
      <c r="AL175" s="50">
        <v>43.704225000000001</v>
      </c>
      <c r="AM175" s="50">
        <v>43.704225000000001</v>
      </c>
      <c r="AN175" s="50">
        <v>43.704225000000001</v>
      </c>
      <c r="AO175" s="50">
        <v>43.704225000000001</v>
      </c>
      <c r="AP175" s="50">
        <v>43.704225000000001</v>
      </c>
      <c r="AQ175" s="50">
        <v>43.704225000000001</v>
      </c>
      <c r="AR175" s="50">
        <v>43.704225000000001</v>
      </c>
      <c r="AS175" s="50">
        <v>43.704225000000001</v>
      </c>
      <c r="AT175" s="50">
        <v>43.704225000000001</v>
      </c>
      <c r="AU175" s="50">
        <v>43.704225000000001</v>
      </c>
      <c r="AV175" s="50">
        <v>43.704225000000001</v>
      </c>
      <c r="AW175" s="50">
        <v>43.704225000000001</v>
      </c>
      <c r="AX175" s="50">
        <v>43.704225000000001</v>
      </c>
      <c r="AY175" s="50">
        <v>43.704225000000001</v>
      </c>
      <c r="AZ175" s="50">
        <v>43.704225000000001</v>
      </c>
      <c r="BA175" s="50">
        <v>43.704225000000001</v>
      </c>
      <c r="BB175" s="50">
        <v>43.704225000000001</v>
      </c>
      <c r="BC175" s="50">
        <v>43.704225000000001</v>
      </c>
      <c r="BD175" s="50">
        <v>43.704225000000001</v>
      </c>
      <c r="BE175" s="50">
        <v>43.704225000000001</v>
      </c>
      <c r="BF175" s="50">
        <v>43.704225000000001</v>
      </c>
      <c r="BG175" s="50">
        <v>43.704225000000001</v>
      </c>
      <c r="BH175" s="50">
        <v>43.704225000000001</v>
      </c>
      <c r="BI175" s="51"/>
      <c r="BJ175" s="51"/>
    </row>
    <row r="176" spans="1:62" ht="20.100000000000001" hidden="1" customHeight="1" outlineLevel="1" x14ac:dyDescent="0.25">
      <c r="A176" s="59" t="s">
        <v>205</v>
      </c>
      <c r="B176" s="50">
        <v>26.026101000000001</v>
      </c>
      <c r="C176" s="50">
        <v>26.026101000000001</v>
      </c>
      <c r="D176" s="50">
        <v>26.026101000000001</v>
      </c>
      <c r="E176" s="50">
        <v>26.026101000000001</v>
      </c>
      <c r="F176" s="50">
        <v>26.026101000000001</v>
      </c>
      <c r="G176" s="50">
        <v>26.026101000000001</v>
      </c>
      <c r="H176" s="50">
        <v>26.026101000000001</v>
      </c>
      <c r="I176" s="50">
        <v>26.026101000000001</v>
      </c>
      <c r="J176" s="50">
        <v>26.026101000000001</v>
      </c>
      <c r="K176" s="50">
        <v>26.026101000000001</v>
      </c>
      <c r="L176" s="50">
        <v>26.026101000000001</v>
      </c>
      <c r="M176" s="50">
        <v>26.026101000000001</v>
      </c>
      <c r="N176" s="50">
        <v>26.026101000000001</v>
      </c>
      <c r="O176" s="50">
        <v>26.026101000000001</v>
      </c>
      <c r="P176" s="50">
        <v>26.026101000000001</v>
      </c>
      <c r="Q176" s="50">
        <v>26.026101000000001</v>
      </c>
      <c r="R176" s="50">
        <v>26.026101000000001</v>
      </c>
      <c r="S176" s="50">
        <v>26.026101000000001</v>
      </c>
      <c r="T176" s="50">
        <v>26.026101000000001</v>
      </c>
      <c r="U176" s="50">
        <v>26.026101000000001</v>
      </c>
      <c r="V176" s="50">
        <v>26.026101000000001</v>
      </c>
      <c r="W176" s="50">
        <v>26.026101000000001</v>
      </c>
      <c r="X176" s="50">
        <v>26.026101000000001</v>
      </c>
      <c r="Y176" s="50">
        <v>26.026101000000001</v>
      </c>
      <c r="Z176" s="50">
        <v>26.026101000000001</v>
      </c>
      <c r="AA176" s="50">
        <v>26.026101000000001</v>
      </c>
      <c r="AB176" s="50">
        <v>26.026101000000001</v>
      </c>
      <c r="AC176" s="50">
        <v>26.026101000000001</v>
      </c>
      <c r="AD176" s="50">
        <v>26.026101000000001</v>
      </c>
      <c r="AE176" s="50">
        <v>26.026101000000001</v>
      </c>
      <c r="AF176" s="50">
        <v>26.026101000000001</v>
      </c>
      <c r="AG176" s="50">
        <v>26.026101000000001</v>
      </c>
      <c r="AH176" s="50">
        <v>26.026101000000001</v>
      </c>
      <c r="AI176" s="50">
        <v>26.026101000000001</v>
      </c>
      <c r="AJ176" s="50">
        <v>26.026101000000001</v>
      </c>
      <c r="AK176" s="50">
        <v>26.026101000000001</v>
      </c>
      <c r="AL176" s="50">
        <v>26.026101000000001</v>
      </c>
      <c r="AM176" s="50">
        <v>26.026101000000001</v>
      </c>
      <c r="AN176" s="50">
        <v>26.026101000000001</v>
      </c>
      <c r="AO176" s="50">
        <v>26.026101000000001</v>
      </c>
      <c r="AP176" s="50">
        <v>26.026101000000001</v>
      </c>
      <c r="AQ176" s="50">
        <v>26.026101000000001</v>
      </c>
      <c r="AR176" s="50">
        <v>26.026101000000001</v>
      </c>
      <c r="AS176" s="50">
        <v>26.026101000000001</v>
      </c>
      <c r="AT176" s="50">
        <v>26.026101000000001</v>
      </c>
      <c r="AU176" s="50">
        <v>26.026101000000001</v>
      </c>
      <c r="AV176" s="50">
        <v>26.026101000000001</v>
      </c>
      <c r="AW176" s="50">
        <v>26.026101000000001</v>
      </c>
      <c r="AX176" s="50">
        <v>26.026101000000001</v>
      </c>
      <c r="AY176" s="50">
        <v>26.026101000000001</v>
      </c>
      <c r="AZ176" s="50">
        <v>26.026101000000001</v>
      </c>
      <c r="BA176" s="50">
        <v>26.026101000000001</v>
      </c>
      <c r="BB176" s="50">
        <v>26.026101000000001</v>
      </c>
      <c r="BC176" s="50">
        <v>26.026101000000001</v>
      </c>
      <c r="BD176" s="50">
        <v>26.026101000000001</v>
      </c>
      <c r="BE176" s="50">
        <v>26.026101000000001</v>
      </c>
      <c r="BF176" s="50">
        <v>26.026101000000001</v>
      </c>
      <c r="BG176" s="50">
        <v>26.026101000000001</v>
      </c>
      <c r="BH176" s="50">
        <v>26.026101000000001</v>
      </c>
      <c r="BI176" s="51"/>
      <c r="BJ176" s="51"/>
    </row>
    <row r="177" spans="1:64" ht="20.100000000000001" hidden="1" customHeight="1" outlineLevel="1" x14ac:dyDescent="0.25">
      <c r="A177" s="59" t="s">
        <v>206</v>
      </c>
      <c r="B177" s="50">
        <v>52.352558000000002</v>
      </c>
      <c r="C177" s="50">
        <v>52.352558000000002</v>
      </c>
      <c r="D177" s="50">
        <v>52.352558000000002</v>
      </c>
      <c r="E177" s="50">
        <v>52.352558000000002</v>
      </c>
      <c r="F177" s="50">
        <v>52.352558000000002</v>
      </c>
      <c r="G177" s="50">
        <v>52.352558000000002</v>
      </c>
      <c r="H177" s="50">
        <v>52.352558000000002</v>
      </c>
      <c r="I177" s="50">
        <v>52.352558000000002</v>
      </c>
      <c r="J177" s="50">
        <v>52.352558000000002</v>
      </c>
      <c r="K177" s="50">
        <v>52.352558000000002</v>
      </c>
      <c r="L177" s="50">
        <v>52.352558000000002</v>
      </c>
      <c r="M177" s="50">
        <v>52.352558000000002</v>
      </c>
      <c r="N177" s="50">
        <v>52.352558000000002</v>
      </c>
      <c r="O177" s="50">
        <v>52.352558000000002</v>
      </c>
      <c r="P177" s="50">
        <v>52.352558000000002</v>
      </c>
      <c r="Q177" s="50">
        <v>52.352558000000002</v>
      </c>
      <c r="R177" s="50">
        <v>52.352558000000002</v>
      </c>
      <c r="S177" s="50">
        <v>52.352558000000002</v>
      </c>
      <c r="T177" s="50">
        <v>52.352558000000002</v>
      </c>
      <c r="U177" s="50">
        <v>52.352558000000002</v>
      </c>
      <c r="V177" s="50">
        <v>52.352558000000002</v>
      </c>
      <c r="W177" s="50">
        <v>52.352558000000002</v>
      </c>
      <c r="X177" s="50">
        <v>52.352558000000002</v>
      </c>
      <c r="Y177" s="50">
        <v>52.352558000000002</v>
      </c>
      <c r="Z177" s="50">
        <v>52.352558000000002</v>
      </c>
      <c r="AA177" s="50">
        <v>52.352558000000002</v>
      </c>
      <c r="AB177" s="50">
        <v>52.352558000000002</v>
      </c>
      <c r="AC177" s="50">
        <v>52.352558000000002</v>
      </c>
      <c r="AD177" s="50">
        <v>52.352558000000002</v>
      </c>
      <c r="AE177" s="50">
        <v>52.352558000000002</v>
      </c>
      <c r="AF177" s="50">
        <v>52.352558000000002</v>
      </c>
      <c r="AG177" s="50">
        <v>52.352558000000002</v>
      </c>
      <c r="AH177" s="50">
        <v>52.352558000000002</v>
      </c>
      <c r="AI177" s="50">
        <v>52.352558000000002</v>
      </c>
      <c r="AJ177" s="50">
        <v>52.352558000000002</v>
      </c>
      <c r="AK177" s="50">
        <v>52.352558000000002</v>
      </c>
      <c r="AL177" s="50">
        <v>52.352558000000002</v>
      </c>
      <c r="AM177" s="50">
        <v>52.352558000000002</v>
      </c>
      <c r="AN177" s="50">
        <v>52.352558000000002</v>
      </c>
      <c r="AO177" s="50">
        <v>52.352558000000002</v>
      </c>
      <c r="AP177" s="50">
        <v>52.352558000000002</v>
      </c>
      <c r="AQ177" s="50">
        <v>52.352558000000002</v>
      </c>
      <c r="AR177" s="50">
        <v>52.352558000000002</v>
      </c>
      <c r="AS177" s="50">
        <v>52.352558000000002</v>
      </c>
      <c r="AT177" s="50">
        <v>52.352558000000002</v>
      </c>
      <c r="AU177" s="50">
        <v>52.352558000000002</v>
      </c>
      <c r="AV177" s="50">
        <v>52.352558000000002</v>
      </c>
      <c r="AW177" s="50">
        <v>52.352558000000002</v>
      </c>
      <c r="AX177" s="50">
        <v>52.352558000000002</v>
      </c>
      <c r="AY177" s="50">
        <v>52.352558000000002</v>
      </c>
      <c r="AZ177" s="50">
        <v>52.352558000000002</v>
      </c>
      <c r="BA177" s="50">
        <v>52.352558000000002</v>
      </c>
      <c r="BB177" s="50">
        <v>52.352558000000002</v>
      </c>
      <c r="BC177" s="50">
        <v>52.352558000000002</v>
      </c>
      <c r="BD177" s="50">
        <v>52.352558000000002</v>
      </c>
      <c r="BE177" s="50">
        <v>52.352558000000002</v>
      </c>
      <c r="BF177" s="50">
        <v>52.352558000000002</v>
      </c>
      <c r="BG177" s="50">
        <v>52.352558000000002</v>
      </c>
      <c r="BH177" s="50">
        <v>52.352558000000002</v>
      </c>
      <c r="BI177" s="51"/>
      <c r="BJ177" s="51"/>
    </row>
    <row r="178" spans="1:64" ht="20.100000000000001" hidden="1" customHeight="1" outlineLevel="1" x14ac:dyDescent="0.25">
      <c r="A178" s="59" t="s">
        <v>207</v>
      </c>
      <c r="B178" s="50">
        <v>130.13698600000001</v>
      </c>
      <c r="C178" s="50">
        <v>130.13698600000001</v>
      </c>
      <c r="D178" s="50">
        <v>130.13698600000001</v>
      </c>
      <c r="E178" s="50">
        <v>130.13698600000001</v>
      </c>
      <c r="F178" s="50">
        <v>130.13698600000001</v>
      </c>
      <c r="G178" s="50">
        <v>130.13698600000001</v>
      </c>
      <c r="H178" s="50">
        <v>130.13698600000001</v>
      </c>
      <c r="I178" s="50">
        <v>130.13698600000001</v>
      </c>
      <c r="J178" s="50">
        <v>130.13698600000001</v>
      </c>
      <c r="K178" s="50">
        <v>130.13698600000001</v>
      </c>
      <c r="L178" s="50">
        <v>130.13698600000001</v>
      </c>
      <c r="M178" s="50">
        <v>130.13698600000001</v>
      </c>
      <c r="N178" s="50">
        <v>130.13698600000001</v>
      </c>
      <c r="O178" s="50">
        <v>130.13698600000001</v>
      </c>
      <c r="P178" s="50">
        <v>130.13698600000001</v>
      </c>
      <c r="Q178" s="50">
        <v>130.13698600000001</v>
      </c>
      <c r="R178" s="50">
        <v>130.13698600000001</v>
      </c>
      <c r="S178" s="50">
        <v>130.13698600000001</v>
      </c>
      <c r="T178" s="50">
        <v>130.13698600000001</v>
      </c>
      <c r="U178" s="50">
        <v>130.13698600000001</v>
      </c>
      <c r="V178" s="50">
        <v>130.13698600000001</v>
      </c>
      <c r="W178" s="50">
        <v>130.13698600000001</v>
      </c>
      <c r="X178" s="50">
        <v>130.13698600000001</v>
      </c>
      <c r="Y178" s="50">
        <v>130.13698600000001</v>
      </c>
      <c r="Z178" s="50">
        <v>130.13698600000001</v>
      </c>
      <c r="AA178" s="50">
        <v>130.13698600000001</v>
      </c>
      <c r="AB178" s="50">
        <v>130.13698600000001</v>
      </c>
      <c r="AC178" s="50">
        <v>130.13698600000001</v>
      </c>
      <c r="AD178" s="50">
        <v>130.13698600000001</v>
      </c>
      <c r="AE178" s="50">
        <v>130.13698600000001</v>
      </c>
      <c r="AF178" s="50">
        <v>130.13698600000001</v>
      </c>
      <c r="AG178" s="50">
        <v>130.13698600000001</v>
      </c>
      <c r="AH178" s="50">
        <v>130.13698600000001</v>
      </c>
      <c r="AI178" s="50">
        <v>130.13698600000001</v>
      </c>
      <c r="AJ178" s="50">
        <v>130.13698600000001</v>
      </c>
      <c r="AK178" s="50">
        <v>130.13698600000001</v>
      </c>
      <c r="AL178" s="50">
        <v>130.13698600000001</v>
      </c>
      <c r="AM178" s="50">
        <v>130.13698600000001</v>
      </c>
      <c r="AN178" s="50">
        <v>130.13698600000001</v>
      </c>
      <c r="AO178" s="50">
        <v>130.13698600000001</v>
      </c>
      <c r="AP178" s="50">
        <v>130.13698600000001</v>
      </c>
      <c r="AQ178" s="50">
        <v>130.13698600000001</v>
      </c>
      <c r="AR178" s="50">
        <v>130.13698600000001</v>
      </c>
      <c r="AS178" s="50">
        <v>130.13698600000001</v>
      </c>
      <c r="AT178" s="50">
        <v>130.13698600000001</v>
      </c>
      <c r="AU178" s="50">
        <v>130.13698600000001</v>
      </c>
      <c r="AV178" s="50">
        <v>130.13698600000001</v>
      </c>
      <c r="AW178" s="50">
        <v>130.13698600000001</v>
      </c>
      <c r="AX178" s="50">
        <v>130.13698600000001</v>
      </c>
      <c r="AY178" s="50">
        <v>130.13698600000001</v>
      </c>
      <c r="AZ178" s="50">
        <v>130.13698600000001</v>
      </c>
      <c r="BA178" s="50">
        <v>130.13698600000001</v>
      </c>
      <c r="BB178" s="50">
        <v>130.13698600000001</v>
      </c>
      <c r="BC178" s="50">
        <v>130.13698600000001</v>
      </c>
      <c r="BD178" s="50">
        <v>130.13698600000001</v>
      </c>
      <c r="BE178" s="50">
        <v>130.13698600000001</v>
      </c>
      <c r="BF178" s="50">
        <v>130.13698600000001</v>
      </c>
      <c r="BG178" s="50">
        <v>130.13698600000001</v>
      </c>
      <c r="BH178" s="50">
        <v>130.13698600000001</v>
      </c>
      <c r="BI178" s="51"/>
      <c r="BJ178" s="51"/>
    </row>
    <row r="179" spans="1:64" ht="20.100000000000001" hidden="1" customHeight="1" outlineLevel="1" x14ac:dyDescent="0.25">
      <c r="A179" s="59" t="s">
        <v>208</v>
      </c>
      <c r="B179" s="50">
        <v>26.027397000000001</v>
      </c>
      <c r="C179" s="50">
        <v>26.027397000000001</v>
      </c>
      <c r="D179" s="50">
        <v>26.027397000000001</v>
      </c>
      <c r="E179" s="50">
        <v>26.027397000000001</v>
      </c>
      <c r="F179" s="50">
        <v>26.027397000000001</v>
      </c>
      <c r="G179" s="50">
        <v>26.027397000000001</v>
      </c>
      <c r="H179" s="50">
        <v>26.027397000000001</v>
      </c>
      <c r="I179" s="50">
        <v>26.027397000000001</v>
      </c>
      <c r="J179" s="50">
        <v>26.027397000000001</v>
      </c>
      <c r="K179" s="50">
        <v>26.027397000000001</v>
      </c>
      <c r="L179" s="50">
        <v>26.027397000000001</v>
      </c>
      <c r="M179" s="50">
        <v>26.027397000000001</v>
      </c>
      <c r="N179" s="50">
        <v>26.027397000000001</v>
      </c>
      <c r="O179" s="50">
        <v>26.027397000000001</v>
      </c>
      <c r="P179" s="50">
        <v>26.027397000000001</v>
      </c>
      <c r="Q179" s="50">
        <v>26.027397000000001</v>
      </c>
      <c r="R179" s="50">
        <v>26.027397000000001</v>
      </c>
      <c r="S179" s="50">
        <v>26.027397000000001</v>
      </c>
      <c r="T179" s="50">
        <v>26.027397000000001</v>
      </c>
      <c r="U179" s="50">
        <v>26.027397000000001</v>
      </c>
      <c r="V179" s="50">
        <v>26.027397000000001</v>
      </c>
      <c r="W179" s="50">
        <v>26.027397000000001</v>
      </c>
      <c r="X179" s="50">
        <v>26.027397000000001</v>
      </c>
      <c r="Y179" s="50">
        <v>26.027397000000001</v>
      </c>
      <c r="Z179" s="50">
        <v>26.027397000000001</v>
      </c>
      <c r="AA179" s="50">
        <v>26.027397000000001</v>
      </c>
      <c r="AB179" s="50">
        <v>26.027397000000001</v>
      </c>
      <c r="AC179" s="50">
        <v>26.027397000000001</v>
      </c>
      <c r="AD179" s="50">
        <v>26.027397000000001</v>
      </c>
      <c r="AE179" s="50">
        <v>26.027397000000001</v>
      </c>
      <c r="AF179" s="50">
        <v>26.027397000000001</v>
      </c>
      <c r="AG179" s="50">
        <v>26.027397000000001</v>
      </c>
      <c r="AH179" s="50">
        <v>26.027397000000001</v>
      </c>
      <c r="AI179" s="50">
        <v>26.027397000000001</v>
      </c>
      <c r="AJ179" s="50">
        <v>26.027397000000001</v>
      </c>
      <c r="AK179" s="50">
        <v>26.027397000000001</v>
      </c>
      <c r="AL179" s="50">
        <v>26.027397000000001</v>
      </c>
      <c r="AM179" s="50">
        <v>26.027397000000001</v>
      </c>
      <c r="AN179" s="50">
        <v>26.027397000000001</v>
      </c>
      <c r="AO179" s="50">
        <v>26.027397000000001</v>
      </c>
      <c r="AP179" s="50">
        <v>26.027397000000001</v>
      </c>
      <c r="AQ179" s="50">
        <v>26.027397000000001</v>
      </c>
      <c r="AR179" s="50">
        <v>26.027397000000001</v>
      </c>
      <c r="AS179" s="50">
        <v>26.027397000000001</v>
      </c>
      <c r="AT179" s="50">
        <v>26.027397000000001</v>
      </c>
      <c r="AU179" s="50">
        <v>26.027397000000001</v>
      </c>
      <c r="AV179" s="50">
        <v>26.027397000000001</v>
      </c>
      <c r="AW179" s="50">
        <v>26.027397000000001</v>
      </c>
      <c r="AX179" s="50">
        <v>26.027397000000001</v>
      </c>
      <c r="AY179" s="50">
        <v>26.027397000000001</v>
      </c>
      <c r="AZ179" s="50">
        <v>26.027397000000001</v>
      </c>
      <c r="BA179" s="50">
        <v>26.027397000000001</v>
      </c>
      <c r="BB179" s="50">
        <v>26.027397000000001</v>
      </c>
      <c r="BC179" s="50">
        <v>26.027397000000001</v>
      </c>
      <c r="BD179" s="50">
        <v>26.027397000000001</v>
      </c>
      <c r="BE179" s="50">
        <v>26.027397000000001</v>
      </c>
      <c r="BF179" s="50">
        <v>26.027397000000001</v>
      </c>
      <c r="BG179" s="50">
        <v>26.027397000000001</v>
      </c>
      <c r="BH179" s="50">
        <v>26.027397000000001</v>
      </c>
      <c r="BI179" s="51"/>
      <c r="BJ179" s="51"/>
    </row>
    <row r="180" spans="1:64" ht="20.100000000000001" hidden="1" customHeight="1" outlineLevel="1" x14ac:dyDescent="0.25">
      <c r="A180" s="59" t="s">
        <v>209</v>
      </c>
      <c r="B180" s="50">
        <v>49.391907000000003</v>
      </c>
      <c r="C180" s="50">
        <v>49.391907000000003</v>
      </c>
      <c r="D180" s="50">
        <v>49.391907000000003</v>
      </c>
      <c r="E180" s="50">
        <v>49.391907000000003</v>
      </c>
      <c r="F180" s="50">
        <v>49.391907000000003</v>
      </c>
      <c r="G180" s="50">
        <v>49.391907000000003</v>
      </c>
      <c r="H180" s="50">
        <v>49.391907000000003</v>
      </c>
      <c r="I180" s="50">
        <v>49.391907000000003</v>
      </c>
      <c r="J180" s="50">
        <v>49.391907000000003</v>
      </c>
      <c r="K180" s="50">
        <v>49.391907000000003</v>
      </c>
      <c r="L180" s="50">
        <v>49.391907000000003</v>
      </c>
      <c r="M180" s="50">
        <v>49.391907000000003</v>
      </c>
      <c r="N180" s="50">
        <v>49.391907000000003</v>
      </c>
      <c r="O180" s="50">
        <v>49.391907000000003</v>
      </c>
      <c r="P180" s="50">
        <v>49.391907000000003</v>
      </c>
      <c r="Q180" s="50">
        <v>49.391907000000003</v>
      </c>
      <c r="R180" s="50">
        <v>49.391907000000003</v>
      </c>
      <c r="S180" s="50">
        <v>49.391907000000003</v>
      </c>
      <c r="T180" s="50">
        <v>49.391907000000003</v>
      </c>
      <c r="U180" s="50">
        <v>49.391907000000003</v>
      </c>
      <c r="V180" s="50">
        <v>49.391907000000003</v>
      </c>
      <c r="W180" s="50">
        <v>49.391907000000003</v>
      </c>
      <c r="X180" s="50">
        <v>49.391907000000003</v>
      </c>
      <c r="Y180" s="50">
        <v>49.391907000000003</v>
      </c>
      <c r="Z180" s="50">
        <v>49.391907000000003</v>
      </c>
      <c r="AA180" s="50">
        <v>49.391907000000003</v>
      </c>
      <c r="AB180" s="50">
        <v>49.391907000000003</v>
      </c>
      <c r="AC180" s="50">
        <v>49.391907000000003</v>
      </c>
      <c r="AD180" s="50">
        <v>49.391907000000003</v>
      </c>
      <c r="AE180" s="50">
        <v>49.391907000000003</v>
      </c>
      <c r="AF180" s="50">
        <v>49.391907000000003</v>
      </c>
      <c r="AG180" s="50">
        <v>49.391907000000003</v>
      </c>
      <c r="AH180" s="50">
        <v>49.391907000000003</v>
      </c>
      <c r="AI180" s="50">
        <v>49.391907000000003</v>
      </c>
      <c r="AJ180" s="50">
        <v>49.391907000000003</v>
      </c>
      <c r="AK180" s="50">
        <v>49.391907000000003</v>
      </c>
      <c r="AL180" s="50">
        <v>49.391907000000003</v>
      </c>
      <c r="AM180" s="50">
        <v>49.391907000000003</v>
      </c>
      <c r="AN180" s="50">
        <v>49.391907000000003</v>
      </c>
      <c r="AO180" s="50">
        <v>49.391907000000003</v>
      </c>
      <c r="AP180" s="50">
        <v>49.391907000000003</v>
      </c>
      <c r="AQ180" s="50">
        <v>49.391907000000003</v>
      </c>
      <c r="AR180" s="50">
        <v>49.391907000000003</v>
      </c>
      <c r="AS180" s="50">
        <v>49.391907000000003</v>
      </c>
      <c r="AT180" s="50">
        <v>49.391907000000003</v>
      </c>
      <c r="AU180" s="50">
        <v>49.391907000000003</v>
      </c>
      <c r="AV180" s="50">
        <v>49.391907000000003</v>
      </c>
      <c r="AW180" s="50">
        <v>49.391907000000003</v>
      </c>
      <c r="AX180" s="50">
        <v>49.391907000000003</v>
      </c>
      <c r="AY180" s="50">
        <v>49.391907000000003</v>
      </c>
      <c r="AZ180" s="50">
        <v>49.391907000000003</v>
      </c>
      <c r="BA180" s="50">
        <v>49.391907000000003</v>
      </c>
      <c r="BB180" s="50">
        <v>49.391907000000003</v>
      </c>
      <c r="BC180" s="50">
        <v>49.391907000000003</v>
      </c>
      <c r="BD180" s="50">
        <v>49.391907000000003</v>
      </c>
      <c r="BE180" s="50">
        <v>49.391907000000003</v>
      </c>
      <c r="BF180" s="50">
        <v>49.391907000000003</v>
      </c>
      <c r="BG180" s="50">
        <v>49.391907000000003</v>
      </c>
      <c r="BH180" s="50">
        <v>49.391907000000003</v>
      </c>
      <c r="BI180" s="51"/>
      <c r="BJ180" s="51"/>
    </row>
    <row r="181" spans="1:64" ht="20.100000000000001" hidden="1" customHeight="1" outlineLevel="1" x14ac:dyDescent="0.25">
      <c r="A181" s="59" t="s">
        <v>210</v>
      </c>
      <c r="B181" s="50">
        <v>27.397259999999999</v>
      </c>
      <c r="C181" s="50">
        <v>27.397259999999999</v>
      </c>
      <c r="D181" s="50">
        <v>27.397259999999999</v>
      </c>
      <c r="E181" s="50">
        <v>27.397259999999999</v>
      </c>
      <c r="F181" s="50">
        <v>27.397259999999999</v>
      </c>
      <c r="G181" s="50">
        <v>27.397259999999999</v>
      </c>
      <c r="H181" s="50">
        <v>27.397259999999999</v>
      </c>
      <c r="I181" s="50">
        <v>27.397259999999999</v>
      </c>
      <c r="J181" s="50">
        <v>27.397259999999999</v>
      </c>
      <c r="K181" s="50">
        <v>27.397259999999999</v>
      </c>
      <c r="L181" s="50">
        <v>27.397259999999999</v>
      </c>
      <c r="M181" s="50">
        <v>27.397259999999999</v>
      </c>
      <c r="N181" s="50">
        <v>27.397259999999999</v>
      </c>
      <c r="O181" s="50">
        <v>27.397259999999999</v>
      </c>
      <c r="P181" s="50">
        <v>27.397259999999999</v>
      </c>
      <c r="Q181" s="50">
        <v>27.397259999999999</v>
      </c>
      <c r="R181" s="50">
        <v>27.397259999999999</v>
      </c>
      <c r="S181" s="50">
        <v>27.397259999999999</v>
      </c>
      <c r="T181" s="50">
        <v>27.397259999999999</v>
      </c>
      <c r="U181" s="50">
        <v>27.397259999999999</v>
      </c>
      <c r="V181" s="50">
        <v>27.397259999999999</v>
      </c>
      <c r="W181" s="50">
        <v>27.397259999999999</v>
      </c>
      <c r="X181" s="50">
        <v>27.397259999999999</v>
      </c>
      <c r="Y181" s="50">
        <v>27.397259999999999</v>
      </c>
      <c r="Z181" s="50">
        <v>27.397259999999999</v>
      </c>
      <c r="AA181" s="50">
        <v>27.397259999999999</v>
      </c>
      <c r="AB181" s="50">
        <v>27.397259999999999</v>
      </c>
      <c r="AC181" s="50">
        <v>27.397259999999999</v>
      </c>
      <c r="AD181" s="50">
        <v>27.397259999999999</v>
      </c>
      <c r="AE181" s="50">
        <v>27.397259999999999</v>
      </c>
      <c r="AF181" s="50">
        <v>27.397259999999999</v>
      </c>
      <c r="AG181" s="50">
        <v>27.397259999999999</v>
      </c>
      <c r="AH181" s="50">
        <v>27.397259999999999</v>
      </c>
      <c r="AI181" s="50">
        <v>27.397259999999999</v>
      </c>
      <c r="AJ181" s="50">
        <v>27.397259999999999</v>
      </c>
      <c r="AK181" s="50">
        <v>27.397259999999999</v>
      </c>
      <c r="AL181" s="50">
        <v>27.397259999999999</v>
      </c>
      <c r="AM181" s="50">
        <v>27.397259999999999</v>
      </c>
      <c r="AN181" s="50">
        <v>27.397259999999999</v>
      </c>
      <c r="AO181" s="50">
        <v>27.397259999999999</v>
      </c>
      <c r="AP181" s="50">
        <v>27.397259999999999</v>
      </c>
      <c r="AQ181" s="50">
        <v>27.397259999999999</v>
      </c>
      <c r="AR181" s="50">
        <v>27.397259999999999</v>
      </c>
      <c r="AS181" s="50">
        <v>27.397259999999999</v>
      </c>
      <c r="AT181" s="50">
        <v>27.397259999999999</v>
      </c>
      <c r="AU181" s="50">
        <v>27.397259999999999</v>
      </c>
      <c r="AV181" s="50">
        <v>27.397259999999999</v>
      </c>
      <c r="AW181" s="50">
        <v>27.397259999999999</v>
      </c>
      <c r="AX181" s="50">
        <v>27.397259999999999</v>
      </c>
      <c r="AY181" s="50">
        <v>27.397259999999999</v>
      </c>
      <c r="AZ181" s="50">
        <v>27.397259999999999</v>
      </c>
      <c r="BA181" s="50">
        <v>27.397259999999999</v>
      </c>
      <c r="BB181" s="50">
        <v>27.397259999999999</v>
      </c>
      <c r="BC181" s="50">
        <v>27.397259999999999</v>
      </c>
      <c r="BD181" s="50">
        <v>27.397259999999999</v>
      </c>
      <c r="BE181" s="50">
        <v>27.397259999999999</v>
      </c>
      <c r="BF181" s="50">
        <v>27.397259999999999</v>
      </c>
      <c r="BG181" s="50">
        <v>27.397259999999999</v>
      </c>
      <c r="BH181" s="50">
        <v>27.397259999999999</v>
      </c>
      <c r="BI181" s="51"/>
      <c r="BJ181" s="51"/>
    </row>
    <row r="182" spans="1:64" ht="20.100000000000001" hidden="1" customHeight="1" outlineLevel="1" x14ac:dyDescent="0.25">
      <c r="A182" s="59" t="s">
        <v>211</v>
      </c>
      <c r="B182" s="50">
        <v>23.287671</v>
      </c>
      <c r="C182" s="50">
        <v>23.287671</v>
      </c>
      <c r="D182" s="50">
        <v>23.287671</v>
      </c>
      <c r="E182" s="50">
        <v>23.287671</v>
      </c>
      <c r="F182" s="50">
        <v>23.287671</v>
      </c>
      <c r="G182" s="50">
        <v>23.287671</v>
      </c>
      <c r="H182" s="50">
        <v>23.287671</v>
      </c>
      <c r="I182" s="50">
        <v>23.287671</v>
      </c>
      <c r="J182" s="50">
        <v>23.287671</v>
      </c>
      <c r="K182" s="50">
        <v>23.287671</v>
      </c>
      <c r="L182" s="50">
        <v>23.287671</v>
      </c>
      <c r="M182" s="50">
        <v>23.287671</v>
      </c>
      <c r="N182" s="50">
        <v>23.287671</v>
      </c>
      <c r="O182" s="50">
        <v>23.287671</v>
      </c>
      <c r="P182" s="50">
        <v>23.287671</v>
      </c>
      <c r="Q182" s="50">
        <v>23.287671</v>
      </c>
      <c r="R182" s="50">
        <v>23.287671</v>
      </c>
      <c r="S182" s="50">
        <v>23.287671</v>
      </c>
      <c r="T182" s="50">
        <v>23.287671</v>
      </c>
      <c r="U182" s="50">
        <v>23.287671</v>
      </c>
      <c r="V182" s="50">
        <v>23.287671</v>
      </c>
      <c r="W182" s="50">
        <v>23.287671</v>
      </c>
      <c r="X182" s="50">
        <v>23.287671</v>
      </c>
      <c r="Y182" s="50">
        <v>23.287671</v>
      </c>
      <c r="Z182" s="50">
        <v>23.287671</v>
      </c>
      <c r="AA182" s="50">
        <v>23.287671</v>
      </c>
      <c r="AB182" s="50">
        <v>23.287671</v>
      </c>
      <c r="AC182" s="50">
        <v>23.287671</v>
      </c>
      <c r="AD182" s="50">
        <v>23.287671</v>
      </c>
      <c r="AE182" s="50">
        <v>23.287671</v>
      </c>
      <c r="AF182" s="50">
        <v>23.287671</v>
      </c>
      <c r="AG182" s="50">
        <v>23.287671</v>
      </c>
      <c r="AH182" s="50">
        <v>23.287671</v>
      </c>
      <c r="AI182" s="50">
        <v>23.287671</v>
      </c>
      <c r="AJ182" s="50">
        <v>23.287671</v>
      </c>
      <c r="AK182" s="50">
        <v>23.287671</v>
      </c>
      <c r="AL182" s="50">
        <v>23.287671</v>
      </c>
      <c r="AM182" s="50">
        <v>23.287671</v>
      </c>
      <c r="AN182" s="50">
        <v>23.287671</v>
      </c>
      <c r="AO182" s="50">
        <v>23.287671</v>
      </c>
      <c r="AP182" s="50">
        <v>23.287671</v>
      </c>
      <c r="AQ182" s="50">
        <v>23.287671</v>
      </c>
      <c r="AR182" s="50">
        <v>23.287671</v>
      </c>
      <c r="AS182" s="50">
        <v>23.287671</v>
      </c>
      <c r="AT182" s="50">
        <v>23.287671</v>
      </c>
      <c r="AU182" s="50">
        <v>23.287671</v>
      </c>
      <c r="AV182" s="50">
        <v>23.287671</v>
      </c>
      <c r="AW182" s="50">
        <v>23.287671</v>
      </c>
      <c r="AX182" s="50">
        <v>23.287671</v>
      </c>
      <c r="AY182" s="50">
        <v>23.287671</v>
      </c>
      <c r="AZ182" s="50">
        <v>23.287671</v>
      </c>
      <c r="BA182" s="50">
        <v>23.287671</v>
      </c>
      <c r="BB182" s="50">
        <v>23.287671</v>
      </c>
      <c r="BC182" s="50">
        <v>23.287671</v>
      </c>
      <c r="BD182" s="50">
        <v>23.287671</v>
      </c>
      <c r="BE182" s="50">
        <v>23.287671</v>
      </c>
      <c r="BF182" s="50">
        <v>23.287671</v>
      </c>
      <c r="BG182" s="50">
        <v>23.287671</v>
      </c>
      <c r="BH182" s="50">
        <v>23.287671</v>
      </c>
      <c r="BI182" s="51"/>
      <c r="BJ182" s="51"/>
    </row>
    <row r="183" spans="1:64" ht="20.100000000000001" hidden="1" customHeight="1" outlineLevel="1" x14ac:dyDescent="0.25">
      <c r="A183" s="59" t="s">
        <v>212</v>
      </c>
      <c r="B183" s="50">
        <v>12.328766999999999</v>
      </c>
      <c r="C183" s="50">
        <v>12.328766999999999</v>
      </c>
      <c r="D183" s="50">
        <v>12.328766999999999</v>
      </c>
      <c r="E183" s="50">
        <v>12.328766999999999</v>
      </c>
      <c r="F183" s="50">
        <v>12.328766999999999</v>
      </c>
      <c r="G183" s="50">
        <v>12.328766999999999</v>
      </c>
      <c r="H183" s="50">
        <v>12.328766999999999</v>
      </c>
      <c r="I183" s="50">
        <v>12.328766999999999</v>
      </c>
      <c r="J183" s="50">
        <v>12.328766999999999</v>
      </c>
      <c r="K183" s="50">
        <v>12.328766999999999</v>
      </c>
      <c r="L183" s="50">
        <v>12.328766999999999</v>
      </c>
      <c r="M183" s="50">
        <v>12.328766999999999</v>
      </c>
      <c r="N183" s="50">
        <v>12.328766999999999</v>
      </c>
      <c r="O183" s="50">
        <v>12.328766999999999</v>
      </c>
      <c r="P183" s="50">
        <v>12.328766999999999</v>
      </c>
      <c r="Q183" s="50">
        <v>12.328766999999999</v>
      </c>
      <c r="R183" s="50">
        <v>12.328766999999999</v>
      </c>
      <c r="S183" s="50">
        <v>12.328766999999999</v>
      </c>
      <c r="T183" s="50">
        <v>12.328766999999999</v>
      </c>
      <c r="U183" s="50">
        <v>12.328766999999999</v>
      </c>
      <c r="V183" s="50">
        <v>12.328766999999999</v>
      </c>
      <c r="W183" s="50">
        <v>12.328766999999999</v>
      </c>
      <c r="X183" s="50">
        <v>12.328766999999999</v>
      </c>
      <c r="Y183" s="50">
        <v>12.328766999999999</v>
      </c>
      <c r="Z183" s="50">
        <v>12.328766999999999</v>
      </c>
      <c r="AA183" s="50">
        <v>12.328766999999999</v>
      </c>
      <c r="AB183" s="50">
        <v>12.328766999999999</v>
      </c>
      <c r="AC183" s="50">
        <v>12.328766999999999</v>
      </c>
      <c r="AD183" s="50">
        <v>12.328766999999999</v>
      </c>
      <c r="AE183" s="50">
        <v>12.328766999999999</v>
      </c>
      <c r="AF183" s="50">
        <v>12.328766999999999</v>
      </c>
      <c r="AG183" s="50">
        <v>12.328766999999999</v>
      </c>
      <c r="AH183" s="50">
        <v>12.328766999999999</v>
      </c>
      <c r="AI183" s="50">
        <v>12.328766999999999</v>
      </c>
      <c r="AJ183" s="50">
        <v>12.328766999999999</v>
      </c>
      <c r="AK183" s="50">
        <v>12.328766999999999</v>
      </c>
      <c r="AL183" s="50">
        <v>12.328766999999999</v>
      </c>
      <c r="AM183" s="50">
        <v>12.328766999999999</v>
      </c>
      <c r="AN183" s="50">
        <v>12.328766999999999</v>
      </c>
      <c r="AO183" s="50">
        <v>12.328766999999999</v>
      </c>
      <c r="AP183" s="50">
        <v>12.328766999999999</v>
      </c>
      <c r="AQ183" s="50">
        <v>12.328766999999999</v>
      </c>
      <c r="AR183" s="50">
        <v>12.328766999999999</v>
      </c>
      <c r="AS183" s="50">
        <v>12.328766999999999</v>
      </c>
      <c r="AT183" s="50">
        <v>12.328766999999999</v>
      </c>
      <c r="AU183" s="50">
        <v>12.328766999999999</v>
      </c>
      <c r="AV183" s="50">
        <v>12.328766999999999</v>
      </c>
      <c r="AW183" s="50">
        <v>12.328766999999999</v>
      </c>
      <c r="AX183" s="50">
        <v>12.328766999999999</v>
      </c>
      <c r="AY183" s="50">
        <v>12.328766999999999</v>
      </c>
      <c r="AZ183" s="50">
        <v>12.328766999999999</v>
      </c>
      <c r="BA183" s="50">
        <v>12.328766999999999</v>
      </c>
      <c r="BB183" s="50">
        <v>12.328766999999999</v>
      </c>
      <c r="BC183" s="50">
        <v>12.328766999999999</v>
      </c>
      <c r="BD183" s="50">
        <v>12.328766999999999</v>
      </c>
      <c r="BE183" s="50">
        <v>12.328766999999999</v>
      </c>
      <c r="BF183" s="50">
        <v>12.328766999999999</v>
      </c>
      <c r="BG183" s="50">
        <v>12.328766999999999</v>
      </c>
      <c r="BH183" s="50">
        <v>12.328766999999999</v>
      </c>
      <c r="BI183" s="51"/>
      <c r="BJ183" s="51"/>
    </row>
    <row r="184" spans="1:64" s="45" customFormat="1" ht="24" customHeight="1" collapsed="1" x14ac:dyDescent="0.25">
      <c r="A184" s="47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J184" s="22"/>
      <c r="BL184" s="22"/>
    </row>
    <row r="185" spans="1:64" s="45" customFormat="1" ht="24" customHeight="1" x14ac:dyDescent="0.25">
      <c r="A185" s="47" t="s">
        <v>276</v>
      </c>
      <c r="B185" s="49">
        <f>SUM(B111:B184)</f>
        <v>3016.6933790000007</v>
      </c>
      <c r="C185" s="49">
        <f>SUM(C111:C184)</f>
        <v>3016.6933790000007</v>
      </c>
      <c r="D185" s="49">
        <f>SUM(D111:D184)</f>
        <v>3016.6933790000007</v>
      </c>
      <c r="E185" s="49">
        <f>SUM(E111:E184)</f>
        <v>3016.6933790000007</v>
      </c>
      <c r="F185" s="49">
        <f>SUM(F111:F184)</f>
        <v>3016.6933790000007</v>
      </c>
      <c r="G185" s="49">
        <f>SUM(G111:G184)</f>
        <v>3016.6933790000007</v>
      </c>
      <c r="H185" s="49">
        <f>SUM(H111:H184)</f>
        <v>3016.6933790000007</v>
      </c>
      <c r="I185" s="49">
        <f>SUM(I111:I184)</f>
        <v>3016.6933790000007</v>
      </c>
      <c r="J185" s="49">
        <f>SUM(J111:J184)</f>
        <v>3016.6933790000007</v>
      </c>
      <c r="K185" s="49">
        <f>SUM(K111:K184)</f>
        <v>3016.6933790000007</v>
      </c>
      <c r="L185" s="49">
        <f>SUM(L111:L184)</f>
        <v>3016.6933790000007</v>
      </c>
      <c r="M185" s="49">
        <f>SUM(M111:M184)</f>
        <v>3016.6933790000007</v>
      </c>
      <c r="N185" s="49">
        <f>SUM(N111:N184)</f>
        <v>3029.0221460000007</v>
      </c>
      <c r="O185" s="49">
        <f>SUM(O111:O184)</f>
        <v>3029.0221460000007</v>
      </c>
      <c r="P185" s="49">
        <f>SUM(P111:P184)</f>
        <v>3029.0221460000007</v>
      </c>
      <c r="Q185" s="49">
        <f>SUM(Q111:Q184)</f>
        <v>3029.0221460000007</v>
      </c>
      <c r="R185" s="49">
        <f>SUM(R111:R184)</f>
        <v>3029.0221460000007</v>
      </c>
      <c r="S185" s="49">
        <f>SUM(S111:S184)</f>
        <v>3029.0221460000007</v>
      </c>
      <c r="T185" s="49">
        <f>SUM(T111:T184)</f>
        <v>3043.816667000001</v>
      </c>
      <c r="U185" s="49">
        <f>SUM(U111:U184)</f>
        <v>3218.9276260000001</v>
      </c>
      <c r="V185" s="49">
        <f>SUM(V111:V184)</f>
        <v>3243.5851600000001</v>
      </c>
      <c r="W185" s="49">
        <f>SUM(W111:W184)</f>
        <v>3243.5851600000001</v>
      </c>
      <c r="X185" s="49">
        <f>SUM(X111:X184)</f>
        <v>3243.5851600000001</v>
      </c>
      <c r="Y185" s="49">
        <f>SUM(Y111:Y184)</f>
        <v>3243.5851600000001</v>
      </c>
      <c r="Z185" s="49">
        <f>SUM(Z111:Z184)</f>
        <v>3243.5851600000001</v>
      </c>
      <c r="AA185" s="49">
        <f>SUM(AA111:AA184)</f>
        <v>3243.5851600000001</v>
      </c>
      <c r="AB185" s="49">
        <f>SUM(AB111:AB184)</f>
        <v>3243.5851600000001</v>
      </c>
      <c r="AC185" s="49">
        <f>SUM(AC111:AC184)</f>
        <v>3243.5851600000001</v>
      </c>
      <c r="AD185" s="49">
        <f>SUM(AD111:AD184)</f>
        <v>3243.5851600000001</v>
      </c>
      <c r="AE185" s="49">
        <f>SUM(AE111:AE184)</f>
        <v>3243.5851600000001</v>
      </c>
      <c r="AF185" s="49">
        <f>SUM(AF111:AF184)</f>
        <v>3243.5851600000001</v>
      </c>
      <c r="AG185" s="49">
        <f>SUM(AG111:AG184)</f>
        <v>3243.5851600000001</v>
      </c>
      <c r="AH185" s="49">
        <f>SUM(AH111:AH184)</f>
        <v>3256.5988589999997</v>
      </c>
      <c r="AI185" s="49">
        <f>SUM(AI111:AI184)</f>
        <v>3282.626256</v>
      </c>
      <c r="AJ185" s="49">
        <f>SUM(AJ111:AJ184)</f>
        <v>3282.626256</v>
      </c>
      <c r="AK185" s="49">
        <f>SUM(AK111:AK184)</f>
        <v>3282.626256</v>
      </c>
      <c r="AL185" s="49">
        <f>SUM(AL111:AL184)</f>
        <v>3282.626256</v>
      </c>
      <c r="AM185" s="49">
        <f>SUM(AM111:AM184)</f>
        <v>3282.626256</v>
      </c>
      <c r="AN185" s="49">
        <f>SUM(AN111:AN184)</f>
        <v>3282.626256</v>
      </c>
      <c r="AO185" s="49">
        <f>SUM(AO111:AO184)</f>
        <v>3282.626256</v>
      </c>
      <c r="AP185" s="49">
        <f>SUM(AP111:AP184)</f>
        <v>3282.626256</v>
      </c>
      <c r="AQ185" s="49">
        <f>SUM(AQ111:AQ184)</f>
        <v>3282.626256</v>
      </c>
      <c r="AR185" s="49">
        <f>SUM(AR111:AR184)</f>
        <v>3282.626256</v>
      </c>
      <c r="AS185" s="49">
        <f>SUM(AS111:AS184)</f>
        <v>3282.626256</v>
      </c>
      <c r="AT185" s="49">
        <f>SUM(AT111:AT184)</f>
        <v>3282.626256</v>
      </c>
      <c r="AU185" s="49">
        <f>SUM(AU111:AU184)</f>
        <v>3282.626256</v>
      </c>
      <c r="AV185" s="49">
        <f>SUM(AV111:AV184)</f>
        <v>3282.626256</v>
      </c>
      <c r="AW185" s="49">
        <f>SUM(AW111:AW184)</f>
        <v>3282.626256</v>
      </c>
      <c r="AX185" s="49">
        <f>SUM(AX111:AX184)</f>
        <v>3282.626256</v>
      </c>
      <c r="AY185" s="49">
        <f>SUM(AY111:AY184)</f>
        <v>3321.6673519999999</v>
      </c>
      <c r="AZ185" s="49">
        <f>SUM(AZ111:AZ184)</f>
        <v>3321.6673519999999</v>
      </c>
      <c r="BA185" s="49">
        <f>SUM(BA111:BA184)</f>
        <v>3321.6673519999999</v>
      </c>
      <c r="BB185" s="49">
        <f>SUM(BB111:BB184)</f>
        <v>3321.6673519999999</v>
      </c>
      <c r="BC185" s="49">
        <f>SUM(BC111:BC184)</f>
        <v>3321.6673519999999</v>
      </c>
      <c r="BD185" s="49">
        <f>SUM(BD111:BD184)</f>
        <v>3342.48927</v>
      </c>
      <c r="BE185" s="49">
        <f>SUM(BE111:BE184)</f>
        <v>3342.48927</v>
      </c>
      <c r="BF185" s="49">
        <f>SUM(BF111:BF184)</f>
        <v>3342.48927</v>
      </c>
      <c r="BG185" s="49">
        <f>SUM(BG111:BG184)</f>
        <v>3342.48927</v>
      </c>
      <c r="BH185" s="49">
        <f>SUM(BH111:BH184)</f>
        <v>3342.48927</v>
      </c>
      <c r="BJ185" s="22">
        <f>SUM(B185:BI185)</f>
        <v>188659.62170199989</v>
      </c>
      <c r="BL185" s="22"/>
    </row>
    <row r="186" spans="1:64" s="45" customFormat="1" ht="24" customHeight="1" x14ac:dyDescent="0.25">
      <c r="A186" s="28" t="s">
        <v>284</v>
      </c>
      <c r="B186" s="46">
        <v>0.01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</row>
    <row r="187" spans="1:64" ht="21" customHeight="1" x14ac:dyDescent="0.25">
      <c r="A187" s="34" t="s">
        <v>102</v>
      </c>
      <c r="B187" s="35">
        <f>+$B$186/365*B$100</f>
        <v>316.96560709707154</v>
      </c>
      <c r="C187" s="35">
        <f t="shared" ref="C187:BH187" si="8">+$B$186/365*C$100</f>
        <v>317.07836454100283</v>
      </c>
      <c r="D187" s="35">
        <f t="shared" si="8"/>
        <v>317.19116209730248</v>
      </c>
      <c r="E187" s="35">
        <f t="shared" si="8"/>
        <v>317.30399978023991</v>
      </c>
      <c r="F187" s="35">
        <f t="shared" si="8"/>
        <v>317.4168776040899</v>
      </c>
      <c r="G187" s="35">
        <f t="shared" si="8"/>
        <v>317.52979558313217</v>
      </c>
      <c r="H187" s="35">
        <f t="shared" si="8"/>
        <v>317.64275373165145</v>
      </c>
      <c r="I187" s="35">
        <f t="shared" si="8"/>
        <v>317.75575206393779</v>
      </c>
      <c r="J187" s="35">
        <f t="shared" si="8"/>
        <v>317.86879059428611</v>
      </c>
      <c r="K187" s="35">
        <f t="shared" si="8"/>
        <v>317.98186933699645</v>
      </c>
      <c r="L187" s="35">
        <f t="shared" si="8"/>
        <v>318.09498830637398</v>
      </c>
      <c r="M187" s="35">
        <f t="shared" si="8"/>
        <v>318.20814751672896</v>
      </c>
      <c r="N187" s="35">
        <f t="shared" si="8"/>
        <v>318.32134698237667</v>
      </c>
      <c r="O187" s="35">
        <f t="shared" si="8"/>
        <v>318.43458671763767</v>
      </c>
      <c r="P187" s="35">
        <f t="shared" si="8"/>
        <v>318.54786673683736</v>
      </c>
      <c r="Q187" s="35">
        <f t="shared" si="8"/>
        <v>318.66118705430642</v>
      </c>
      <c r="R187" s="35">
        <f t="shared" si="8"/>
        <v>318.77454768438059</v>
      </c>
      <c r="S187" s="35">
        <f t="shared" si="8"/>
        <v>318.88794864140067</v>
      </c>
      <c r="T187" s="35">
        <f t="shared" si="8"/>
        <v>319.00138993971262</v>
      </c>
      <c r="U187" s="35">
        <f t="shared" si="8"/>
        <v>319.11487159366732</v>
      </c>
      <c r="V187" s="35">
        <f t="shared" si="8"/>
        <v>319.22839361762101</v>
      </c>
      <c r="W187" s="35">
        <f t="shared" si="8"/>
        <v>319.34195602593496</v>
      </c>
      <c r="X187" s="35">
        <f t="shared" si="8"/>
        <v>319.45555883297544</v>
      </c>
      <c r="Y187" s="35">
        <f t="shared" si="8"/>
        <v>319.56920205311394</v>
      </c>
      <c r="Z187" s="35">
        <f t="shared" si="8"/>
        <v>319.68288570072696</v>
      </c>
      <c r="AA187" s="35">
        <f t="shared" si="8"/>
        <v>319.79660979019627</v>
      </c>
      <c r="AB187" s="35">
        <f t="shared" si="8"/>
        <v>319.91037433590861</v>
      </c>
      <c r="AC187" s="35">
        <f t="shared" si="8"/>
        <v>320.024179352256</v>
      </c>
      <c r="AD187" s="35">
        <f t="shared" si="8"/>
        <v>320.13802485363533</v>
      </c>
      <c r="AE187" s="35">
        <f t="shared" si="8"/>
        <v>320.25191085444885</v>
      </c>
      <c r="AF187" s="35">
        <f t="shared" si="8"/>
        <v>320.36583736910387</v>
      </c>
      <c r="AG187" s="35">
        <f t="shared" si="8"/>
        <v>320.4798044120127</v>
      </c>
      <c r="AH187" s="35">
        <f t="shared" si="8"/>
        <v>320.59381199759292</v>
      </c>
      <c r="AI187" s="35">
        <f t="shared" si="8"/>
        <v>320.7078601402672</v>
      </c>
      <c r="AJ187" s="35">
        <f t="shared" si="8"/>
        <v>320.82194885446336</v>
      </c>
      <c r="AK187" s="35">
        <f t="shared" si="8"/>
        <v>320.93607815461428</v>
      </c>
      <c r="AL187" s="35">
        <f t="shared" si="8"/>
        <v>321.05024805515802</v>
      </c>
      <c r="AM187" s="35">
        <f t="shared" si="8"/>
        <v>321.16445857053776</v>
      </c>
      <c r="AN187" s="35">
        <f t="shared" si="8"/>
        <v>321.2787097152019</v>
      </c>
      <c r="AO187" s="35">
        <f t="shared" si="8"/>
        <v>321.3930015036039</v>
      </c>
      <c r="AP187" s="35">
        <f t="shared" si="8"/>
        <v>321.50733395020228</v>
      </c>
      <c r="AQ187" s="35">
        <f t="shared" si="8"/>
        <v>321.62170706946091</v>
      </c>
      <c r="AR187" s="35">
        <f t="shared" si="8"/>
        <v>321.73612087584871</v>
      </c>
      <c r="AS187" s="35">
        <f t="shared" si="8"/>
        <v>321.85057538383961</v>
      </c>
      <c r="AT187" s="35">
        <f t="shared" si="8"/>
        <v>321.96507060791288</v>
      </c>
      <c r="AU187" s="35">
        <f t="shared" si="8"/>
        <v>322.0796065625529</v>
      </c>
      <c r="AV187" s="35">
        <f t="shared" si="8"/>
        <v>322.19418326224911</v>
      </c>
      <c r="AW187" s="35">
        <f t="shared" si="8"/>
        <v>322.30880072149625</v>
      </c>
      <c r="AX187" s="35">
        <f t="shared" si="8"/>
        <v>322.42345895479411</v>
      </c>
      <c r="AY187" s="35">
        <f t="shared" si="8"/>
        <v>322.5381579766476</v>
      </c>
      <c r="AZ187" s="35">
        <f t="shared" si="8"/>
        <v>322.65289780156695</v>
      </c>
      <c r="BA187" s="35">
        <f t="shared" si="8"/>
        <v>322.76767844406737</v>
      </c>
      <c r="BB187" s="35">
        <f t="shared" si="8"/>
        <v>322.8824999186694</v>
      </c>
      <c r="BC187" s="35">
        <f t="shared" si="8"/>
        <v>322.99736223989856</v>
      </c>
      <c r="BD187" s="35">
        <f t="shared" si="8"/>
        <v>323.1122654222857</v>
      </c>
      <c r="BE187" s="35">
        <f t="shared" si="8"/>
        <v>323.22720948036681</v>
      </c>
      <c r="BF187" s="35">
        <f t="shared" si="8"/>
        <v>323.34219442868294</v>
      </c>
      <c r="BG187" s="35">
        <f t="shared" si="8"/>
        <v>323.45722028178051</v>
      </c>
      <c r="BH187" s="35">
        <f t="shared" si="8"/>
        <v>323.5722870542109</v>
      </c>
      <c r="BJ187" s="22">
        <f>SUM(B187:BI187)</f>
        <v>18895.209338229033</v>
      </c>
      <c r="BL187" s="22"/>
    </row>
    <row r="188" spans="1:64" s="45" customFormat="1" ht="24" customHeight="1" x14ac:dyDescent="0.25">
      <c r="A188" s="28" t="s">
        <v>285</v>
      </c>
      <c r="B188" s="46">
        <v>0.02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</row>
    <row r="189" spans="1:64" ht="21" customHeight="1" x14ac:dyDescent="0.25">
      <c r="A189" s="34" t="s">
        <v>103</v>
      </c>
      <c r="B189" s="52">
        <f>$B$188/365*B$100</f>
        <v>633.93121419414308</v>
      </c>
      <c r="C189" s="52">
        <f t="shared" ref="C189:BH189" si="9">$B$188/365*C$100</f>
        <v>634.15672908200565</v>
      </c>
      <c r="D189" s="52">
        <f t="shared" si="9"/>
        <v>634.38232419460496</v>
      </c>
      <c r="E189" s="52">
        <f t="shared" si="9"/>
        <v>634.60799956047981</v>
      </c>
      <c r="F189" s="52">
        <f t="shared" si="9"/>
        <v>634.83375520817981</v>
      </c>
      <c r="G189" s="52">
        <f t="shared" si="9"/>
        <v>635.05959116626434</v>
      </c>
      <c r="H189" s="52">
        <f t="shared" si="9"/>
        <v>635.28550746330291</v>
      </c>
      <c r="I189" s="52">
        <f t="shared" si="9"/>
        <v>635.51150412787558</v>
      </c>
      <c r="J189" s="52">
        <f t="shared" si="9"/>
        <v>635.73758118857222</v>
      </c>
      <c r="K189" s="52">
        <f t="shared" si="9"/>
        <v>635.96373867399291</v>
      </c>
      <c r="L189" s="52">
        <f t="shared" si="9"/>
        <v>636.18997661274796</v>
      </c>
      <c r="M189" s="52">
        <f t="shared" si="9"/>
        <v>636.41629503345791</v>
      </c>
      <c r="N189" s="52">
        <f t="shared" si="9"/>
        <v>636.64269396475333</v>
      </c>
      <c r="O189" s="52">
        <f t="shared" si="9"/>
        <v>636.86917343527534</v>
      </c>
      <c r="P189" s="52">
        <f t="shared" si="9"/>
        <v>637.09573347367473</v>
      </c>
      <c r="Q189" s="52">
        <f t="shared" si="9"/>
        <v>637.32237410861285</v>
      </c>
      <c r="R189" s="52">
        <f t="shared" si="9"/>
        <v>637.54909536876119</v>
      </c>
      <c r="S189" s="52">
        <f t="shared" si="9"/>
        <v>637.77589728280134</v>
      </c>
      <c r="T189" s="52">
        <f t="shared" si="9"/>
        <v>638.00277987942525</v>
      </c>
      <c r="U189" s="52">
        <f t="shared" si="9"/>
        <v>638.22974318733463</v>
      </c>
      <c r="V189" s="52">
        <f t="shared" si="9"/>
        <v>638.45678723524202</v>
      </c>
      <c r="W189" s="52">
        <f t="shared" si="9"/>
        <v>638.68391205186992</v>
      </c>
      <c r="X189" s="52">
        <f t="shared" si="9"/>
        <v>638.91111766595088</v>
      </c>
      <c r="Y189" s="52">
        <f t="shared" si="9"/>
        <v>639.13840410622788</v>
      </c>
      <c r="Z189" s="52">
        <f t="shared" si="9"/>
        <v>639.36577140145391</v>
      </c>
      <c r="AA189" s="52">
        <f t="shared" si="9"/>
        <v>639.59321958039254</v>
      </c>
      <c r="AB189" s="52">
        <f t="shared" si="9"/>
        <v>639.82074867181723</v>
      </c>
      <c r="AC189" s="52">
        <f t="shared" si="9"/>
        <v>640.048358704512</v>
      </c>
      <c r="AD189" s="52">
        <f t="shared" si="9"/>
        <v>640.27604970727066</v>
      </c>
      <c r="AE189" s="52">
        <f t="shared" si="9"/>
        <v>640.5038217088977</v>
      </c>
      <c r="AF189" s="52">
        <f t="shared" si="9"/>
        <v>640.73167473820774</v>
      </c>
      <c r="AG189" s="52">
        <f t="shared" si="9"/>
        <v>640.95960882402539</v>
      </c>
      <c r="AH189" s="52">
        <f t="shared" si="9"/>
        <v>641.18762399518585</v>
      </c>
      <c r="AI189" s="52">
        <f t="shared" si="9"/>
        <v>641.4157202805344</v>
      </c>
      <c r="AJ189" s="52">
        <f t="shared" si="9"/>
        <v>641.64389770892672</v>
      </c>
      <c r="AK189" s="52">
        <f t="shared" si="9"/>
        <v>641.87215630922856</v>
      </c>
      <c r="AL189" s="52">
        <f t="shared" si="9"/>
        <v>642.10049611031604</v>
      </c>
      <c r="AM189" s="52">
        <f t="shared" si="9"/>
        <v>642.32891714107552</v>
      </c>
      <c r="AN189" s="52">
        <f t="shared" si="9"/>
        <v>642.5574194304038</v>
      </c>
      <c r="AO189" s="52">
        <f t="shared" si="9"/>
        <v>642.7860030072078</v>
      </c>
      <c r="AP189" s="52">
        <f t="shared" si="9"/>
        <v>643.01466790040456</v>
      </c>
      <c r="AQ189" s="52">
        <f t="shared" si="9"/>
        <v>643.24341413892182</v>
      </c>
      <c r="AR189" s="52">
        <f t="shared" si="9"/>
        <v>643.47224175169742</v>
      </c>
      <c r="AS189" s="52">
        <f t="shared" si="9"/>
        <v>643.70115076767922</v>
      </c>
      <c r="AT189" s="52">
        <f t="shared" si="9"/>
        <v>643.93014121582576</v>
      </c>
      <c r="AU189" s="52">
        <f t="shared" si="9"/>
        <v>644.15921312510579</v>
      </c>
      <c r="AV189" s="52">
        <f t="shared" si="9"/>
        <v>644.38836652449822</v>
      </c>
      <c r="AW189" s="52">
        <f t="shared" si="9"/>
        <v>644.61760144299251</v>
      </c>
      <c r="AX189" s="52">
        <f t="shared" si="9"/>
        <v>644.84691790958823</v>
      </c>
      <c r="AY189" s="52">
        <f t="shared" si="9"/>
        <v>645.07631595329519</v>
      </c>
      <c r="AZ189" s="52">
        <f t="shared" si="9"/>
        <v>645.3057956031339</v>
      </c>
      <c r="BA189" s="52">
        <f t="shared" si="9"/>
        <v>645.53535688813474</v>
      </c>
      <c r="BB189" s="52">
        <f t="shared" si="9"/>
        <v>645.76499983733879</v>
      </c>
      <c r="BC189" s="52">
        <f t="shared" si="9"/>
        <v>645.99472447979713</v>
      </c>
      <c r="BD189" s="52">
        <f t="shared" si="9"/>
        <v>646.2245308445714</v>
      </c>
      <c r="BE189" s="52">
        <f t="shared" si="9"/>
        <v>646.45441896073362</v>
      </c>
      <c r="BF189" s="52">
        <f t="shared" si="9"/>
        <v>646.68438885736589</v>
      </c>
      <c r="BG189" s="52">
        <f t="shared" si="9"/>
        <v>646.91444056356102</v>
      </c>
      <c r="BH189" s="52">
        <f t="shared" si="9"/>
        <v>647.14457410842181</v>
      </c>
      <c r="BJ189" s="22">
        <f>SUM(B189:BI189)</f>
        <v>37790.418676458066</v>
      </c>
      <c r="BL189" s="22"/>
    </row>
    <row r="190" spans="1:64" s="45" customFormat="1" ht="24" customHeight="1" x14ac:dyDescent="0.25">
      <c r="A190" s="28" t="s">
        <v>286</v>
      </c>
      <c r="B190" s="46">
        <v>0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</row>
    <row r="191" spans="1:64" ht="21" customHeight="1" x14ac:dyDescent="0.25">
      <c r="A191" s="34" t="s">
        <v>104</v>
      </c>
      <c r="B191" s="52">
        <f>$B$190/365*B$100</f>
        <v>0</v>
      </c>
      <c r="C191" s="52">
        <f t="shared" ref="C191:BH191" si="10">$B$190/365*C$100</f>
        <v>0</v>
      </c>
      <c r="D191" s="52">
        <f t="shared" si="10"/>
        <v>0</v>
      </c>
      <c r="E191" s="52">
        <f t="shared" si="10"/>
        <v>0</v>
      </c>
      <c r="F191" s="52">
        <f t="shared" si="10"/>
        <v>0</v>
      </c>
      <c r="G191" s="52">
        <f t="shared" si="10"/>
        <v>0</v>
      </c>
      <c r="H191" s="52">
        <f t="shared" si="10"/>
        <v>0</v>
      </c>
      <c r="I191" s="52">
        <f t="shared" si="10"/>
        <v>0</v>
      </c>
      <c r="J191" s="52">
        <f t="shared" si="10"/>
        <v>0</v>
      </c>
      <c r="K191" s="52">
        <f t="shared" si="10"/>
        <v>0</v>
      </c>
      <c r="L191" s="52">
        <f t="shared" si="10"/>
        <v>0</v>
      </c>
      <c r="M191" s="52">
        <f t="shared" si="10"/>
        <v>0</v>
      </c>
      <c r="N191" s="52">
        <f t="shared" si="10"/>
        <v>0</v>
      </c>
      <c r="O191" s="52">
        <f t="shared" si="10"/>
        <v>0</v>
      </c>
      <c r="P191" s="52">
        <f t="shared" si="10"/>
        <v>0</v>
      </c>
      <c r="Q191" s="52">
        <f t="shared" si="10"/>
        <v>0</v>
      </c>
      <c r="R191" s="52">
        <f t="shared" si="10"/>
        <v>0</v>
      </c>
      <c r="S191" s="52">
        <f t="shared" si="10"/>
        <v>0</v>
      </c>
      <c r="T191" s="52">
        <f t="shared" si="10"/>
        <v>0</v>
      </c>
      <c r="U191" s="52">
        <f t="shared" si="10"/>
        <v>0</v>
      </c>
      <c r="V191" s="52">
        <f t="shared" si="10"/>
        <v>0</v>
      </c>
      <c r="W191" s="52">
        <f t="shared" si="10"/>
        <v>0</v>
      </c>
      <c r="X191" s="52">
        <f t="shared" si="10"/>
        <v>0</v>
      </c>
      <c r="Y191" s="52">
        <f t="shared" si="10"/>
        <v>0</v>
      </c>
      <c r="Z191" s="52">
        <f t="shared" si="10"/>
        <v>0</v>
      </c>
      <c r="AA191" s="52">
        <f t="shared" si="10"/>
        <v>0</v>
      </c>
      <c r="AB191" s="52">
        <f t="shared" si="10"/>
        <v>0</v>
      </c>
      <c r="AC191" s="52">
        <f t="shared" si="10"/>
        <v>0</v>
      </c>
      <c r="AD191" s="52">
        <f t="shared" si="10"/>
        <v>0</v>
      </c>
      <c r="AE191" s="52">
        <f t="shared" si="10"/>
        <v>0</v>
      </c>
      <c r="AF191" s="52">
        <f t="shared" si="10"/>
        <v>0</v>
      </c>
      <c r="AG191" s="52">
        <f t="shared" si="10"/>
        <v>0</v>
      </c>
      <c r="AH191" s="52">
        <f t="shared" si="10"/>
        <v>0</v>
      </c>
      <c r="AI191" s="52">
        <f t="shared" si="10"/>
        <v>0</v>
      </c>
      <c r="AJ191" s="52">
        <f t="shared" si="10"/>
        <v>0</v>
      </c>
      <c r="AK191" s="52">
        <f t="shared" si="10"/>
        <v>0</v>
      </c>
      <c r="AL191" s="52">
        <f t="shared" si="10"/>
        <v>0</v>
      </c>
      <c r="AM191" s="52">
        <f t="shared" si="10"/>
        <v>0</v>
      </c>
      <c r="AN191" s="52">
        <f t="shared" si="10"/>
        <v>0</v>
      </c>
      <c r="AO191" s="52">
        <f t="shared" si="10"/>
        <v>0</v>
      </c>
      <c r="AP191" s="52">
        <f t="shared" si="10"/>
        <v>0</v>
      </c>
      <c r="AQ191" s="52">
        <f t="shared" si="10"/>
        <v>0</v>
      </c>
      <c r="AR191" s="52">
        <f t="shared" si="10"/>
        <v>0</v>
      </c>
      <c r="AS191" s="52">
        <f t="shared" si="10"/>
        <v>0</v>
      </c>
      <c r="AT191" s="52">
        <f t="shared" si="10"/>
        <v>0</v>
      </c>
      <c r="AU191" s="52">
        <f t="shared" si="10"/>
        <v>0</v>
      </c>
      <c r="AV191" s="52">
        <f t="shared" si="10"/>
        <v>0</v>
      </c>
      <c r="AW191" s="52">
        <f t="shared" si="10"/>
        <v>0</v>
      </c>
      <c r="AX191" s="52">
        <f t="shared" si="10"/>
        <v>0</v>
      </c>
      <c r="AY191" s="52">
        <f t="shared" si="10"/>
        <v>0</v>
      </c>
      <c r="AZ191" s="52">
        <f t="shared" si="10"/>
        <v>0</v>
      </c>
      <c r="BA191" s="52">
        <f t="shared" si="10"/>
        <v>0</v>
      </c>
      <c r="BB191" s="52">
        <f t="shared" si="10"/>
        <v>0</v>
      </c>
      <c r="BC191" s="52">
        <f t="shared" si="10"/>
        <v>0</v>
      </c>
      <c r="BD191" s="52">
        <f t="shared" si="10"/>
        <v>0</v>
      </c>
      <c r="BE191" s="52">
        <f t="shared" si="10"/>
        <v>0</v>
      </c>
      <c r="BF191" s="52">
        <f t="shared" si="10"/>
        <v>0</v>
      </c>
      <c r="BG191" s="52">
        <f t="shared" si="10"/>
        <v>0</v>
      </c>
      <c r="BH191" s="52">
        <f t="shared" si="10"/>
        <v>0</v>
      </c>
      <c r="BJ191" s="22">
        <f>SUM(B191:BI191)</f>
        <v>0</v>
      </c>
      <c r="BL191" s="22"/>
    </row>
    <row r="192" spans="1:64" s="45" customFormat="1" ht="24" customHeight="1" x14ac:dyDescent="0.25">
      <c r="A192" s="47" t="s">
        <v>287</v>
      </c>
      <c r="B192" s="49">
        <f>+B185+B187+B189+B191</f>
        <v>3967.5902002912153</v>
      </c>
      <c r="C192" s="49">
        <f t="shared" ref="C192:BH192" si="11">+C185+C187+C189+C191</f>
        <v>3967.9284726230094</v>
      </c>
      <c r="D192" s="49">
        <f t="shared" si="11"/>
        <v>3968.2668652919083</v>
      </c>
      <c r="E192" s="49">
        <f t="shared" si="11"/>
        <v>3968.6053783407206</v>
      </c>
      <c r="F192" s="49">
        <f t="shared" si="11"/>
        <v>3968.9440118122707</v>
      </c>
      <c r="G192" s="49">
        <f t="shared" si="11"/>
        <v>3969.2827657493972</v>
      </c>
      <c r="H192" s="49">
        <f t="shared" si="11"/>
        <v>3969.621640194955</v>
      </c>
      <c r="I192" s="49">
        <f t="shared" si="11"/>
        <v>3969.9606351918142</v>
      </c>
      <c r="J192" s="49">
        <f t="shared" si="11"/>
        <v>3970.2997507828591</v>
      </c>
      <c r="K192" s="49">
        <f t="shared" si="11"/>
        <v>3970.6389870109901</v>
      </c>
      <c r="L192" s="49">
        <f t="shared" si="11"/>
        <v>3970.9783439191228</v>
      </c>
      <c r="M192" s="49">
        <f t="shared" si="11"/>
        <v>3971.3178215501875</v>
      </c>
      <c r="N192" s="49">
        <f t="shared" si="11"/>
        <v>3983.9861869471306</v>
      </c>
      <c r="O192" s="49">
        <f t="shared" si="11"/>
        <v>3984.3259061529134</v>
      </c>
      <c r="P192" s="49">
        <f t="shared" si="11"/>
        <v>3984.6657462105131</v>
      </c>
      <c r="Q192" s="49">
        <f t="shared" si="11"/>
        <v>3985.0057071629199</v>
      </c>
      <c r="R192" s="49">
        <f t="shared" si="11"/>
        <v>3985.3457890531427</v>
      </c>
      <c r="S192" s="49">
        <f t="shared" si="11"/>
        <v>3985.6859919242029</v>
      </c>
      <c r="T192" s="49">
        <f t="shared" si="11"/>
        <v>4000.820836819139</v>
      </c>
      <c r="U192" s="49">
        <f t="shared" si="11"/>
        <v>4176.2722407810024</v>
      </c>
      <c r="V192" s="49">
        <f t="shared" si="11"/>
        <v>4201.2703408528632</v>
      </c>
      <c r="W192" s="49">
        <f t="shared" si="11"/>
        <v>4201.6110280778048</v>
      </c>
      <c r="X192" s="49">
        <f t="shared" si="11"/>
        <v>4201.9518364989262</v>
      </c>
      <c r="Y192" s="49">
        <f t="shared" si="11"/>
        <v>4202.2927661593421</v>
      </c>
      <c r="Z192" s="49">
        <f t="shared" si="11"/>
        <v>4202.6338171021816</v>
      </c>
      <c r="AA192" s="49">
        <f t="shared" si="11"/>
        <v>4202.9749893705884</v>
      </c>
      <c r="AB192" s="49">
        <f t="shared" si="11"/>
        <v>4203.3162830077263</v>
      </c>
      <c r="AC192" s="49">
        <f t="shared" si="11"/>
        <v>4203.6576980567679</v>
      </c>
      <c r="AD192" s="49">
        <f t="shared" si="11"/>
        <v>4203.9992345609062</v>
      </c>
      <c r="AE192" s="49">
        <f t="shared" si="11"/>
        <v>4204.3408925633466</v>
      </c>
      <c r="AF192" s="49">
        <f t="shared" si="11"/>
        <v>4204.6826721073112</v>
      </c>
      <c r="AG192" s="49">
        <f t="shared" si="11"/>
        <v>4205.0245732360381</v>
      </c>
      <c r="AH192" s="49">
        <f t="shared" si="11"/>
        <v>4218.3802949927785</v>
      </c>
      <c r="AI192" s="49">
        <f t="shared" si="11"/>
        <v>4244.7498364208013</v>
      </c>
      <c r="AJ192" s="49">
        <f t="shared" si="11"/>
        <v>4245.0921025633897</v>
      </c>
      <c r="AK192" s="49">
        <f t="shared" si="11"/>
        <v>4245.4344904638428</v>
      </c>
      <c r="AL192" s="49">
        <f t="shared" si="11"/>
        <v>4245.7770001654744</v>
      </c>
      <c r="AM192" s="49">
        <f t="shared" si="11"/>
        <v>4246.1196317116128</v>
      </c>
      <c r="AN192" s="49">
        <f t="shared" si="11"/>
        <v>4246.4623851456054</v>
      </c>
      <c r="AO192" s="49">
        <f t="shared" si="11"/>
        <v>4246.8052605108114</v>
      </c>
      <c r="AP192" s="49">
        <f t="shared" si="11"/>
        <v>4247.1482578506066</v>
      </c>
      <c r="AQ192" s="49">
        <f t="shared" si="11"/>
        <v>4247.4913772083828</v>
      </c>
      <c r="AR192" s="49">
        <f t="shared" si="11"/>
        <v>4247.8346186275467</v>
      </c>
      <c r="AS192" s="49">
        <f t="shared" si="11"/>
        <v>4248.1779821515183</v>
      </c>
      <c r="AT192" s="49">
        <f t="shared" si="11"/>
        <v>4248.5214678237389</v>
      </c>
      <c r="AU192" s="49">
        <f t="shared" si="11"/>
        <v>4248.8650756876586</v>
      </c>
      <c r="AV192" s="49">
        <f t="shared" si="11"/>
        <v>4249.2088057867477</v>
      </c>
      <c r="AW192" s="49">
        <f t="shared" si="11"/>
        <v>4249.5526581644881</v>
      </c>
      <c r="AX192" s="49">
        <f t="shared" si="11"/>
        <v>4249.8966328643819</v>
      </c>
      <c r="AY192" s="49">
        <f t="shared" si="11"/>
        <v>4289.2818259299429</v>
      </c>
      <c r="AZ192" s="49">
        <f t="shared" si="11"/>
        <v>4289.6260454047006</v>
      </c>
      <c r="BA192" s="49">
        <f t="shared" si="11"/>
        <v>4289.9703873322023</v>
      </c>
      <c r="BB192" s="49">
        <f t="shared" si="11"/>
        <v>4290.3148517560085</v>
      </c>
      <c r="BC192" s="49">
        <f t="shared" si="11"/>
        <v>4290.6594387196956</v>
      </c>
      <c r="BD192" s="49">
        <f t="shared" si="11"/>
        <v>4311.8260662668572</v>
      </c>
      <c r="BE192" s="49">
        <f t="shared" si="11"/>
        <v>4312.1708984410998</v>
      </c>
      <c r="BF192" s="49">
        <f t="shared" si="11"/>
        <v>4312.5158532860487</v>
      </c>
      <c r="BG192" s="49">
        <f t="shared" si="11"/>
        <v>4312.8609308453415</v>
      </c>
      <c r="BH192" s="49">
        <f t="shared" si="11"/>
        <v>4313.206131162633</v>
      </c>
      <c r="BJ192" s="22">
        <f>SUM(B192:BI192)</f>
        <v>245345.24971668716</v>
      </c>
      <c r="BL192" s="22"/>
    </row>
    <row r="193" spans="1:62" ht="21" customHeight="1" x14ac:dyDescent="0.25">
      <c r="A193" s="36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</row>
    <row r="194" spans="1:62" ht="24" customHeight="1" x14ac:dyDescent="0.25">
      <c r="A194" s="38" t="s">
        <v>106</v>
      </c>
      <c r="B194" s="39">
        <f>+B$102+B$110</f>
        <v>11573360.305746604</v>
      </c>
      <c r="C194" s="39">
        <f t="shared" ref="C194:BH194" si="12">+C$102+C$110</f>
        <v>11577477.41655154</v>
      </c>
      <c r="D194" s="39">
        <f t="shared" si="12"/>
        <v>11581595.991978757</v>
      </c>
      <c r="E194" s="39">
        <f t="shared" si="12"/>
        <v>11585716.032549281</v>
      </c>
      <c r="F194" s="39">
        <f t="shared" si="12"/>
        <v>11589837.538784323</v>
      </c>
      <c r="G194" s="39">
        <f t="shared" si="12"/>
        <v>11593960.511205278</v>
      </c>
      <c r="H194" s="39">
        <f t="shared" si="12"/>
        <v>11598084.950333729</v>
      </c>
      <c r="I194" s="39">
        <f t="shared" si="12"/>
        <v>11602210.856691442</v>
      </c>
      <c r="J194" s="39">
        <f t="shared" si="12"/>
        <v>11606338.23080037</v>
      </c>
      <c r="K194" s="39">
        <f t="shared" si="12"/>
        <v>11610467.07318265</v>
      </c>
      <c r="L194" s="39">
        <f t="shared" si="12"/>
        <v>11614597.384360606</v>
      </c>
      <c r="M194" s="39">
        <f t="shared" si="12"/>
        <v>11618729.164856749</v>
      </c>
      <c r="N194" s="39">
        <f t="shared" si="12"/>
        <v>11622862.415193774</v>
      </c>
      <c r="O194" s="39">
        <f t="shared" si="12"/>
        <v>11626997.135894563</v>
      </c>
      <c r="P194" s="39">
        <f t="shared" si="12"/>
        <v>11631133.327482184</v>
      </c>
      <c r="Q194" s="39">
        <f t="shared" si="12"/>
        <v>11635270.990479892</v>
      </c>
      <c r="R194" s="39">
        <f t="shared" si="12"/>
        <v>11639410.125411125</v>
      </c>
      <c r="S194" s="39">
        <f t="shared" si="12"/>
        <v>11643550.73279951</v>
      </c>
      <c r="T194" s="39">
        <f t="shared" si="12"/>
        <v>11647692.813168857</v>
      </c>
      <c r="U194" s="39">
        <f t="shared" si="12"/>
        <v>11651836.367043167</v>
      </c>
      <c r="V194" s="39">
        <f t="shared" si="12"/>
        <v>11655981.394946625</v>
      </c>
      <c r="W194" s="39">
        <f t="shared" si="12"/>
        <v>11660127.897403603</v>
      </c>
      <c r="X194" s="39">
        <f t="shared" si="12"/>
        <v>11664275.874938658</v>
      </c>
      <c r="Y194" s="39">
        <f t="shared" si="12"/>
        <v>11668425.328076534</v>
      </c>
      <c r="Z194" s="39">
        <f t="shared" si="12"/>
        <v>11672576.257342163</v>
      </c>
      <c r="AA194" s="39">
        <f t="shared" si="12"/>
        <v>11676728.663260665</v>
      </c>
      <c r="AB194" s="39">
        <f t="shared" si="12"/>
        <v>11680882.546357343</v>
      </c>
      <c r="AC194" s="39">
        <f t="shared" si="12"/>
        <v>11685037.907157689</v>
      </c>
      <c r="AD194" s="39">
        <f t="shared" si="12"/>
        <v>11689194.746187383</v>
      </c>
      <c r="AE194" s="39">
        <f t="shared" si="12"/>
        <v>11693353.063972291</v>
      </c>
      <c r="AF194" s="39">
        <f t="shared" si="12"/>
        <v>11697512.861038463</v>
      </c>
      <c r="AG194" s="39">
        <f t="shared" si="12"/>
        <v>11701674.137912141</v>
      </c>
      <c r="AH194" s="39">
        <f t="shared" si="12"/>
        <v>11705836.895119753</v>
      </c>
      <c r="AI194" s="39">
        <f t="shared" si="12"/>
        <v>11710001.133187912</v>
      </c>
      <c r="AJ194" s="39">
        <f t="shared" si="12"/>
        <v>11714166.852643421</v>
      </c>
      <c r="AK194" s="39">
        <f t="shared" si="12"/>
        <v>11718334.054013267</v>
      </c>
      <c r="AL194" s="39">
        <f t="shared" si="12"/>
        <v>11722502.737824628</v>
      </c>
      <c r="AM194" s="39">
        <f t="shared" si="12"/>
        <v>11726672.904604869</v>
      </c>
      <c r="AN194" s="39">
        <f t="shared" si="12"/>
        <v>11730844.554881541</v>
      </c>
      <c r="AO194" s="39">
        <f t="shared" si="12"/>
        <v>11735017.689182384</v>
      </c>
      <c r="AP194" s="39">
        <f t="shared" si="12"/>
        <v>11739192.308035323</v>
      </c>
      <c r="AQ194" s="39">
        <f t="shared" si="12"/>
        <v>11743368.411968477</v>
      </c>
      <c r="AR194" s="39">
        <f t="shared" si="12"/>
        <v>11747546.001510145</v>
      </c>
      <c r="AS194" s="39">
        <f t="shared" si="12"/>
        <v>11751725.07718882</v>
      </c>
      <c r="AT194" s="39">
        <f t="shared" si="12"/>
        <v>11755905.639533181</v>
      </c>
      <c r="AU194" s="39">
        <f t="shared" si="12"/>
        <v>11760087.689072093</v>
      </c>
      <c r="AV194" s="39">
        <f t="shared" si="12"/>
        <v>11764271.226334613</v>
      </c>
      <c r="AW194" s="39">
        <f t="shared" si="12"/>
        <v>11768456.251849985</v>
      </c>
      <c r="AX194" s="39">
        <f t="shared" si="12"/>
        <v>11772642.766147638</v>
      </c>
      <c r="AY194" s="39">
        <f t="shared" si="12"/>
        <v>11776830.769757193</v>
      </c>
      <c r="AZ194" s="39">
        <f t="shared" si="12"/>
        <v>11781020.263208458</v>
      </c>
      <c r="BA194" s="39">
        <f t="shared" si="12"/>
        <v>11785211.247031432</v>
      </c>
      <c r="BB194" s="39">
        <f t="shared" si="12"/>
        <v>11789403.721756296</v>
      </c>
      <c r="BC194" s="39">
        <f t="shared" si="12"/>
        <v>11793597.687913427</v>
      </c>
      <c r="BD194" s="39">
        <f t="shared" si="12"/>
        <v>11797793.146033388</v>
      </c>
      <c r="BE194" s="39">
        <f t="shared" si="12"/>
        <v>11801990.096646927</v>
      </c>
      <c r="BF194" s="39">
        <f t="shared" si="12"/>
        <v>11806188.540284988</v>
      </c>
      <c r="BG194" s="39">
        <f t="shared" si="12"/>
        <v>11810388.477478698</v>
      </c>
      <c r="BH194" s="39">
        <f t="shared" si="12"/>
        <v>11814589.908759376</v>
      </c>
    </row>
    <row r="195" spans="1:62" ht="24" customHeight="1" x14ac:dyDescent="0.25">
      <c r="A195" s="19" t="s">
        <v>107</v>
      </c>
      <c r="B195" s="20">
        <f>+B194/B105</f>
        <v>1.00035744016964</v>
      </c>
      <c r="C195" s="20">
        <f>+C194/C105</f>
        <v>1.0007133076374208</v>
      </c>
      <c r="D195" s="20">
        <f>+D194/D105</f>
        <v>1.0010693017016055</v>
      </c>
      <c r="E195" s="20">
        <f>+E194/E105</f>
        <v>1.0014254224072296</v>
      </c>
      <c r="F195" s="20">
        <f>+F194/F105</f>
        <v>1.0017816697993447</v>
      </c>
      <c r="G195" s="20">
        <f>+G194/G105</f>
        <v>1.0021380439230181</v>
      </c>
      <c r="H195" s="20">
        <f>+H194/H105</f>
        <v>1.0024945448233333</v>
      </c>
      <c r="I195" s="20">
        <f>+I194/I105</f>
        <v>1.0028511725453901</v>
      </c>
      <c r="J195" s="20">
        <f>+J194/J105</f>
        <v>1.0032079271343042</v>
      </c>
      <c r="K195" s="20">
        <f>+K194/K105</f>
        <v>1.0035648086352067</v>
      </c>
      <c r="L195" s="20">
        <f>+L194/L105</f>
        <v>1.0039218170932458</v>
      </c>
      <c r="M195" s="20">
        <f>+M194/M105</f>
        <v>1.0042789525535849</v>
      </c>
      <c r="N195" s="20">
        <f>+N194/N105</f>
        <v>1.0046362150614041</v>
      </c>
      <c r="O195" s="20">
        <f>+O194/O105</f>
        <v>1.0049936046618995</v>
      </c>
      <c r="P195" s="20">
        <f>+P194/P105</f>
        <v>1.0053511214002826</v>
      </c>
      <c r="Q195" s="20">
        <f>+Q194/Q105</f>
        <v>1.005708765321782</v>
      </c>
      <c r="R195" s="20">
        <f>+R194/R105</f>
        <v>1.0060665364716415</v>
      </c>
      <c r="S195" s="20">
        <f>+S194/S105</f>
        <v>1.0064244348951212</v>
      </c>
      <c r="T195" s="20">
        <f>+T194/T105</f>
        <v>1.006782460637498</v>
      </c>
      <c r="U195" s="20">
        <f>+U194/U105</f>
        <v>1.0071406137440639</v>
      </c>
      <c r="V195" s="20">
        <f>+V194/V105</f>
        <v>1.0074988942601277</v>
      </c>
      <c r="W195" s="20">
        <f>+W194/W105</f>
        <v>1.007857302231014</v>
      </c>
      <c r="X195" s="20">
        <f>+X194/X105</f>
        <v>1.0082158377020636</v>
      </c>
      <c r="Y195" s="20">
        <f>+Y194/Y105</f>
        <v>1.0085745007186335</v>
      </c>
      <c r="Z195" s="20">
        <f>+Z194/Z105</f>
        <v>1.0089332913260969</v>
      </c>
      <c r="AA195" s="20">
        <f>+AA194/AA105</f>
        <v>1.0092922095698429</v>
      </c>
      <c r="AB195" s="20">
        <f>+AB194/AB105</f>
        <v>1.0096512554952768</v>
      </c>
      <c r="AC195" s="20">
        <f>+AC194/AC105</f>
        <v>1.01001042914782</v>
      </c>
      <c r="AD195" s="20">
        <f>+AD194/AD105</f>
        <v>1.0103697305729107</v>
      </c>
      <c r="AE195" s="20">
        <f>+AE194/AE105</f>
        <v>1.0107291598160024</v>
      </c>
      <c r="AF195" s="20">
        <f>+AF194/AF105</f>
        <v>1.0110887169225651</v>
      </c>
      <c r="AG195" s="20">
        <f>+AG194/AG105</f>
        <v>1.0114484019380849</v>
      </c>
      <c r="AH195" s="20">
        <f>+AH194/AH105</f>
        <v>1.0118082149080645</v>
      </c>
      <c r="AI195" s="20">
        <f>+AI194/AI105</f>
        <v>1.0121681558780222</v>
      </c>
      <c r="AJ195" s="20">
        <f>+AJ194/AJ105</f>
        <v>1.012528224893493</v>
      </c>
      <c r="AK195" s="20">
        <f>+AK194/AK105</f>
        <v>1.0128884220000274</v>
      </c>
      <c r="AL195" s="20">
        <f>+AL194/AL105</f>
        <v>1.0132487472431928</v>
      </c>
      <c r="AM195" s="20">
        <f>+AM194/AM105</f>
        <v>1.0136092006685729</v>
      </c>
      <c r="AN195" s="20">
        <f>+AN194/AN105</f>
        <v>1.0139697823217666</v>
      </c>
      <c r="AO195" s="20">
        <f>+AO194/AO105</f>
        <v>1.0143304922483904</v>
      </c>
      <c r="AP195" s="20">
        <f>+AP194/AP105</f>
        <v>1.0146913304940757</v>
      </c>
      <c r="AQ195" s="20">
        <f>+AQ194/AQ105</f>
        <v>1.0150522971044713</v>
      </c>
      <c r="AR195" s="20">
        <f>+AR194/AR105</f>
        <v>1.0154133921252413</v>
      </c>
      <c r="AS195" s="20">
        <f>+AS194/AS105</f>
        <v>1.0157746156020666</v>
      </c>
      <c r="AT195" s="20">
        <f>+AT194/AT105</f>
        <v>1.0161359675806445</v>
      </c>
      <c r="AU195" s="20">
        <f>+AU194/AU105</f>
        <v>1.0164974481066875</v>
      </c>
      <c r="AV195" s="20">
        <f>+AV194/AV105</f>
        <v>1.016859057225926</v>
      </c>
      <c r="AW195" s="20">
        <f>+AW194/AW105</f>
        <v>1.0172207949841052</v>
      </c>
      <c r="AX195" s="20">
        <f>+AX194/AX105</f>
        <v>1.0175826614269874</v>
      </c>
      <c r="AY195" s="20">
        <f>+AY194/AY105</f>
        <v>1.0179446566003507</v>
      </c>
      <c r="AZ195" s="20">
        <f>+AZ194/AZ105</f>
        <v>1.0183067805499899</v>
      </c>
      <c r="BA195" s="20">
        <f>+BA194/BA105</f>
        <v>1.0186690333217161</v>
      </c>
      <c r="BB195" s="20">
        <f>+BB194/BB105</f>
        <v>1.0190314149613562</v>
      </c>
      <c r="BC195" s="20">
        <f>+BC194/BC105</f>
        <v>1.0193939255147537</v>
      </c>
      <c r="BD195" s="20">
        <f>+BD194/BD105</f>
        <v>1.0197565650277687</v>
      </c>
      <c r="BE195" s="20">
        <f>+BE194/BE105</f>
        <v>1.020119333546277</v>
      </c>
      <c r="BF195" s="20">
        <f>+BF194/BF105</f>
        <v>1.0204822311161714</v>
      </c>
      <c r="BG195" s="20">
        <f>+BG194/BG105</f>
        <v>1.0208452577833604</v>
      </c>
      <c r="BH195" s="20">
        <f>+BH194/BH105</f>
        <v>1.0212084135937693</v>
      </c>
    </row>
    <row r="197" spans="1:62" x14ac:dyDescent="0.25">
      <c r="B197" s="55">
        <f>+B$195-B$106</f>
        <v>3.5744016964001091E-4</v>
      </c>
      <c r="C197" s="55">
        <f t="shared" ref="C197:BH197" si="13">+C$195-C$106</f>
        <v>3.5586746778082379E-4</v>
      </c>
      <c r="D197" s="55">
        <f t="shared" si="13"/>
        <v>3.559940641846282E-4</v>
      </c>
      <c r="E197" s="55">
        <f t="shared" si="13"/>
        <v>3.5612070562418552E-4</v>
      </c>
      <c r="F197" s="55">
        <f t="shared" si="13"/>
        <v>3.5624739211503886E-4</v>
      </c>
      <c r="G197" s="55">
        <f t="shared" si="13"/>
        <v>3.5637412367339749E-4</v>
      </c>
      <c r="H197" s="55">
        <f t="shared" si="13"/>
        <v>3.5650090031524861E-4</v>
      </c>
      <c r="I197" s="55">
        <f t="shared" si="13"/>
        <v>3.5662772205680149E-4</v>
      </c>
      <c r="J197" s="55">
        <f t="shared" si="13"/>
        <v>3.5675458891404332E-4</v>
      </c>
      <c r="K197" s="55">
        <f t="shared" si="13"/>
        <v>3.5688150090251725E-4</v>
      </c>
      <c r="L197" s="55">
        <f t="shared" si="13"/>
        <v>3.5700845803909864E-4</v>
      </c>
      <c r="M197" s="55">
        <f t="shared" si="13"/>
        <v>3.5713546033910859E-4</v>
      </c>
      <c r="N197" s="55">
        <f t="shared" si="13"/>
        <v>3.5726250781920044E-4</v>
      </c>
      <c r="O197" s="55">
        <f t="shared" si="13"/>
        <v>3.5738960049536139E-4</v>
      </c>
      <c r="P197" s="55">
        <f t="shared" si="13"/>
        <v>3.5751673838313458E-4</v>
      </c>
      <c r="Q197" s="55">
        <f t="shared" si="13"/>
        <v>3.5764392149939539E-4</v>
      </c>
      <c r="R197" s="55">
        <f t="shared" si="13"/>
        <v>3.577711498594649E-4</v>
      </c>
      <c r="S197" s="55">
        <f t="shared" si="13"/>
        <v>3.5789842347977441E-4</v>
      </c>
      <c r="T197" s="55">
        <f t="shared" si="13"/>
        <v>3.5802574237675522E-4</v>
      </c>
      <c r="U197" s="55">
        <f t="shared" si="13"/>
        <v>3.5815310656595045E-4</v>
      </c>
      <c r="V197" s="55">
        <f t="shared" si="13"/>
        <v>3.5828051606379141E-4</v>
      </c>
      <c r="W197" s="55">
        <f t="shared" si="13"/>
        <v>3.584079708862653E-4</v>
      </c>
      <c r="X197" s="55">
        <f t="shared" si="13"/>
        <v>3.5853547104958139E-4</v>
      </c>
      <c r="Y197" s="55">
        <f t="shared" si="13"/>
        <v>3.5866301656994892E-4</v>
      </c>
      <c r="Z197" s="55">
        <f t="shared" si="13"/>
        <v>3.5879060746335512E-4</v>
      </c>
      <c r="AA197" s="55">
        <f t="shared" si="13"/>
        <v>3.5891824374600922E-4</v>
      </c>
      <c r="AB197" s="55">
        <f t="shared" si="13"/>
        <v>3.5904592543389846E-4</v>
      </c>
      <c r="AC197" s="55">
        <f t="shared" si="13"/>
        <v>3.5917365254323208E-4</v>
      </c>
      <c r="AD197" s="55">
        <f t="shared" si="13"/>
        <v>3.5930142509066343E-4</v>
      </c>
      <c r="AE197" s="55">
        <f t="shared" si="13"/>
        <v>3.5942924309173563E-4</v>
      </c>
      <c r="AF197" s="55">
        <f t="shared" si="13"/>
        <v>3.5955710656265794E-4</v>
      </c>
      <c r="AG197" s="55">
        <f t="shared" si="13"/>
        <v>3.5968501551986165E-4</v>
      </c>
      <c r="AH197" s="55">
        <f t="shared" si="13"/>
        <v>3.5981296997955603E-4</v>
      </c>
      <c r="AI197" s="55">
        <f t="shared" si="13"/>
        <v>3.5994096995772829E-4</v>
      </c>
      <c r="AJ197" s="55">
        <f t="shared" si="13"/>
        <v>3.6006901547080972E-4</v>
      </c>
      <c r="AK197" s="55">
        <f t="shared" si="13"/>
        <v>3.6019710653434345E-4</v>
      </c>
      <c r="AL197" s="55">
        <f t="shared" si="13"/>
        <v>3.6032524316542691E-4</v>
      </c>
      <c r="AM197" s="55">
        <f t="shared" si="13"/>
        <v>3.6045342538004732E-4</v>
      </c>
      <c r="AN197" s="55">
        <f t="shared" si="13"/>
        <v>3.605816531937478E-4</v>
      </c>
      <c r="AO197" s="55">
        <f t="shared" si="13"/>
        <v>3.6070992662384782E-4</v>
      </c>
      <c r="AP197" s="55">
        <f t="shared" si="13"/>
        <v>3.6083824568522438E-4</v>
      </c>
      <c r="AQ197" s="55">
        <f t="shared" si="13"/>
        <v>3.6096661039564104E-4</v>
      </c>
      <c r="AR197" s="55">
        <f t="shared" si="13"/>
        <v>3.6109502076997479E-4</v>
      </c>
      <c r="AS197" s="55">
        <f t="shared" si="13"/>
        <v>3.6122347682532308E-4</v>
      </c>
      <c r="AT197" s="55">
        <f t="shared" si="13"/>
        <v>3.6135197857789514E-4</v>
      </c>
      <c r="AU197" s="55">
        <f t="shared" si="13"/>
        <v>3.6148052604301206E-4</v>
      </c>
      <c r="AV197" s="55">
        <f t="shared" si="13"/>
        <v>3.6160911923843742E-4</v>
      </c>
      <c r="AW197" s="55">
        <f t="shared" si="13"/>
        <v>3.6173775817927023E-4</v>
      </c>
      <c r="AX197" s="55">
        <f t="shared" si="13"/>
        <v>3.6186644288216385E-4</v>
      </c>
      <c r="AY197" s="55">
        <f t="shared" si="13"/>
        <v>3.6199517336332754E-4</v>
      </c>
      <c r="AZ197" s="55">
        <f t="shared" si="13"/>
        <v>3.6212394963919259E-4</v>
      </c>
      <c r="BA197" s="55">
        <f t="shared" si="13"/>
        <v>3.622527717261903E-4</v>
      </c>
      <c r="BB197" s="55">
        <f t="shared" si="13"/>
        <v>3.6238163964008585E-4</v>
      </c>
      <c r="BC197" s="55">
        <f t="shared" si="13"/>
        <v>3.6251055339753258E-4</v>
      </c>
      <c r="BD197" s="55">
        <f t="shared" si="13"/>
        <v>3.6263951301496178E-4</v>
      </c>
      <c r="BE197" s="55">
        <f t="shared" si="13"/>
        <v>3.6276851850836067E-4</v>
      </c>
      <c r="BF197" s="55">
        <f t="shared" si="13"/>
        <v>3.628975698943826E-4</v>
      </c>
      <c r="BG197" s="55">
        <f t="shared" si="13"/>
        <v>3.6302666718901477E-4</v>
      </c>
      <c r="BH197" s="55">
        <f t="shared" si="13"/>
        <v>3.6315581040891054E-4</v>
      </c>
      <c r="BJ197" s="22">
        <f>SUM(B197:BI197)</f>
        <v>2.1208413593769349E-2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BL65"/>
  <sheetViews>
    <sheetView showGridLines="0" workbookViewId="0">
      <pane xSplit="1" ySplit="1" topLeftCell="B33" activePane="bottomRight" state="frozen"/>
      <selection pane="topRight"/>
      <selection pane="bottomLeft"/>
      <selection pane="bottomRight" activeCell="B62" sqref="B62"/>
    </sheetView>
  </sheetViews>
  <sheetFormatPr baseColWidth="10" defaultColWidth="9.140625" defaultRowHeight="15" outlineLevelRow="1" outlineLevelCol="1" x14ac:dyDescent="0.25"/>
  <cols>
    <col min="1" max="1" width="40" style="25" customWidth="1"/>
    <col min="2" max="2" width="15" style="25" customWidth="1"/>
    <col min="3" max="59" width="15" style="25" hidden="1" customWidth="1" outlineLevel="1"/>
    <col min="60" max="60" width="15" style="25" customWidth="1" collapsed="1"/>
    <col min="61" max="61" width="9.140625" style="25"/>
    <col min="62" max="62" width="15.7109375" style="25" customWidth="1"/>
    <col min="63" max="63" width="9.140625" style="25"/>
    <col min="64" max="64" width="15.7109375" style="25" customWidth="1"/>
    <col min="65" max="16384" width="9.140625" style="25"/>
  </cols>
  <sheetData>
    <row r="1" spans="1:60" ht="27.95" customHeigh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</row>
    <row r="2" spans="1:60" ht="21" customHeight="1" x14ac:dyDescent="0.25">
      <c r="A2" s="26" t="s">
        <v>213</v>
      </c>
      <c r="B2" s="27">
        <v>23.253864016666668</v>
      </c>
      <c r="C2" s="27">
        <v>23.253864016666668</v>
      </c>
      <c r="D2" s="27">
        <v>23.253864016666668</v>
      </c>
      <c r="E2" s="27">
        <v>23.253864016666668</v>
      </c>
      <c r="F2" s="27">
        <v>23.253864016666668</v>
      </c>
      <c r="G2" s="27">
        <v>23.253864016666668</v>
      </c>
      <c r="H2" s="27">
        <v>23.253864016666668</v>
      </c>
      <c r="I2" s="27">
        <v>23.253864016666668</v>
      </c>
      <c r="J2" s="27">
        <v>23.253864016666668</v>
      </c>
      <c r="K2" s="27">
        <v>23.253864016666668</v>
      </c>
      <c r="L2" s="27">
        <v>23.253864016666668</v>
      </c>
      <c r="M2" s="27">
        <v>23.253864016666668</v>
      </c>
      <c r="N2" s="27">
        <v>23.253864016666668</v>
      </c>
      <c r="O2" s="27">
        <v>23.253864016666668</v>
      </c>
      <c r="P2" s="27">
        <v>23.253864016666668</v>
      </c>
      <c r="Q2" s="27">
        <v>23.253864016666668</v>
      </c>
      <c r="R2" s="27">
        <v>23.253864016666668</v>
      </c>
      <c r="S2" s="27">
        <v>23.253864016666668</v>
      </c>
      <c r="T2" s="27">
        <v>23.253864016666668</v>
      </c>
      <c r="U2" s="27">
        <v>23.253864016666668</v>
      </c>
      <c r="V2" s="27">
        <v>23.253864016666668</v>
      </c>
      <c r="W2" s="27">
        <v>23.253864016666668</v>
      </c>
      <c r="X2" s="27">
        <v>23.253864016666668</v>
      </c>
      <c r="Y2" s="27">
        <v>23.253864016666668</v>
      </c>
      <c r="Z2" s="27">
        <v>23.253864016666668</v>
      </c>
      <c r="AA2" s="27">
        <v>23.253864016666668</v>
      </c>
      <c r="AB2" s="27">
        <v>23.253864016666668</v>
      </c>
      <c r="AC2" s="27">
        <v>23.253864016666668</v>
      </c>
      <c r="AD2" s="27">
        <v>23.253864016666668</v>
      </c>
      <c r="AE2" s="27">
        <v>23.253864016666668</v>
      </c>
      <c r="AF2" s="27">
        <v>23.253864016666668</v>
      </c>
      <c r="AG2" s="27">
        <v>23.253864016666668</v>
      </c>
      <c r="AH2" s="27">
        <v>23.253864016666668</v>
      </c>
      <c r="AI2" s="27">
        <v>23.253864016666668</v>
      </c>
      <c r="AJ2" s="27">
        <v>23.253864016666668</v>
      </c>
      <c r="AK2" s="27">
        <v>23.253864016666668</v>
      </c>
      <c r="AL2" s="27">
        <v>23.253864016666668</v>
      </c>
      <c r="AM2" s="27">
        <v>23.253864016666668</v>
      </c>
      <c r="AN2" s="27">
        <v>23.253864016666668</v>
      </c>
      <c r="AO2" s="27">
        <v>23.253864016666668</v>
      </c>
      <c r="AP2" s="27">
        <v>23.253864016666668</v>
      </c>
      <c r="AQ2" s="27">
        <v>23.253864016666668</v>
      </c>
      <c r="AR2" s="27">
        <v>23.253864016666668</v>
      </c>
      <c r="AS2" s="27">
        <v>23.253864016666668</v>
      </c>
      <c r="AT2" s="27">
        <v>23.253864016666668</v>
      </c>
      <c r="AU2" s="27">
        <v>23.253864016666668</v>
      </c>
      <c r="AV2" s="27">
        <v>23.253864016666668</v>
      </c>
      <c r="AW2" s="27">
        <v>23.253864016666668</v>
      </c>
      <c r="AX2" s="27">
        <v>23.253864016666668</v>
      </c>
      <c r="AY2" s="27">
        <v>23.253864016666668</v>
      </c>
      <c r="AZ2" s="27">
        <v>23.253864016666668</v>
      </c>
      <c r="BA2" s="27">
        <v>23.253864016666668</v>
      </c>
      <c r="BB2" s="27">
        <v>23.253864016666668</v>
      </c>
      <c r="BC2" s="27">
        <v>23.253864016666668</v>
      </c>
      <c r="BD2" s="27">
        <v>23.253864016666668</v>
      </c>
      <c r="BE2" s="27">
        <v>23.253864016666668</v>
      </c>
      <c r="BF2" s="27">
        <v>23.253864016666668</v>
      </c>
      <c r="BG2" s="27">
        <v>23.253864016666668</v>
      </c>
      <c r="BH2" s="27">
        <v>23.253864016666668</v>
      </c>
    </row>
    <row r="3" spans="1:60" ht="21" customHeight="1" x14ac:dyDescent="0.25">
      <c r="A3" s="26" t="s">
        <v>214</v>
      </c>
      <c r="B3" s="27">
        <v>9.5916666666666668</v>
      </c>
      <c r="C3" s="27">
        <v>9.5916666666666668</v>
      </c>
      <c r="D3" s="27">
        <v>9.5916666666666668</v>
      </c>
      <c r="E3" s="27">
        <v>9.5916666666666668</v>
      </c>
      <c r="F3" s="27">
        <v>9.5916666666666668</v>
      </c>
      <c r="G3" s="27">
        <v>9.5916666666666668</v>
      </c>
      <c r="H3" s="27">
        <v>9.5916666666666668</v>
      </c>
      <c r="I3" s="27">
        <v>9.5916666666666668</v>
      </c>
      <c r="J3" s="27">
        <v>9.5916666666666668</v>
      </c>
      <c r="K3" s="27">
        <v>9.5916666666666668</v>
      </c>
      <c r="L3" s="27">
        <v>9.5916666666666668</v>
      </c>
      <c r="M3" s="27">
        <v>9.5916666666666668</v>
      </c>
      <c r="N3" s="27">
        <v>9.5916666666666668</v>
      </c>
      <c r="O3" s="27">
        <v>9.5916666666666668</v>
      </c>
      <c r="P3" s="27">
        <v>9.5916666666666668</v>
      </c>
      <c r="Q3" s="27">
        <v>9.5916666666666668</v>
      </c>
      <c r="R3" s="27">
        <v>9.5916666666666668</v>
      </c>
      <c r="S3" s="27">
        <v>9.5916666666666668</v>
      </c>
      <c r="T3" s="27">
        <v>9.5916666666666668</v>
      </c>
      <c r="U3" s="27">
        <v>9.5916666666666668</v>
      </c>
      <c r="V3" s="27">
        <v>9.5916666666666668</v>
      </c>
      <c r="W3" s="27">
        <v>9.5916666666666668</v>
      </c>
      <c r="X3" s="27">
        <v>9.5916666666666668</v>
      </c>
      <c r="Y3" s="27">
        <v>9.5916666666666668</v>
      </c>
      <c r="Z3" s="27">
        <v>9.5916666666666668</v>
      </c>
      <c r="AA3" s="27">
        <v>9.5916666666666668</v>
      </c>
      <c r="AB3" s="27">
        <v>9.5916666666666668</v>
      </c>
      <c r="AC3" s="27">
        <v>9.5916666666666668</v>
      </c>
      <c r="AD3" s="27">
        <v>9.5916666666666668</v>
      </c>
      <c r="AE3" s="27">
        <v>9.5916666666666668</v>
      </c>
      <c r="AF3" s="27">
        <v>9.5916666666666668</v>
      </c>
      <c r="AG3" s="27">
        <v>9.5916666666666668</v>
      </c>
      <c r="AH3" s="27">
        <v>9.5916666666666668</v>
      </c>
      <c r="AI3" s="27">
        <v>9.5916666666666668</v>
      </c>
      <c r="AJ3" s="27">
        <v>9.5916666666666668</v>
      </c>
      <c r="AK3" s="27">
        <v>9.5916666666666668</v>
      </c>
      <c r="AL3" s="27">
        <v>9.5916666666666668</v>
      </c>
      <c r="AM3" s="27">
        <v>9.5916666666666668</v>
      </c>
      <c r="AN3" s="27">
        <v>9.5916666666666668</v>
      </c>
      <c r="AO3" s="27">
        <v>9.5916666666666668</v>
      </c>
      <c r="AP3" s="27">
        <v>9.5916666666666668</v>
      </c>
      <c r="AQ3" s="27">
        <v>9.5916666666666668</v>
      </c>
      <c r="AR3" s="27">
        <v>9.5916666666666668</v>
      </c>
      <c r="AS3" s="27">
        <v>9.5916666666666668</v>
      </c>
      <c r="AT3" s="27">
        <v>9.5916666666666668</v>
      </c>
      <c r="AU3" s="27">
        <v>9.5916666666666668</v>
      </c>
      <c r="AV3" s="27">
        <v>9.5916666666666668</v>
      </c>
      <c r="AW3" s="27">
        <v>9.5916666666666668</v>
      </c>
      <c r="AX3" s="27">
        <v>9.5916666666666668</v>
      </c>
      <c r="AY3" s="27">
        <v>9.5916666666666668</v>
      </c>
      <c r="AZ3" s="27">
        <v>9.5916666666666668</v>
      </c>
      <c r="BA3" s="27">
        <v>9.5916666666666668</v>
      </c>
      <c r="BB3" s="27">
        <v>9.5916666666666668</v>
      </c>
      <c r="BC3" s="27">
        <v>9.5916666666666668</v>
      </c>
      <c r="BD3" s="27">
        <v>9.5916666666666668</v>
      </c>
      <c r="BE3" s="27">
        <v>9.5916666666666668</v>
      </c>
      <c r="BF3" s="27">
        <v>9.5916666666666668</v>
      </c>
      <c r="BG3" s="27">
        <v>9.5916666666666668</v>
      </c>
      <c r="BH3" s="27">
        <v>9.5916666666666668</v>
      </c>
    </row>
    <row r="4" spans="1:60" ht="21" hidden="1" customHeight="1" outlineLevel="1" x14ac:dyDescent="0.25">
      <c r="A4" s="26" t="s">
        <v>215</v>
      </c>
      <c r="B4" s="27">
        <v>28.61513888888889</v>
      </c>
      <c r="C4" s="27">
        <v>28.61513888888889</v>
      </c>
      <c r="D4" s="27">
        <v>28.61513888888889</v>
      </c>
      <c r="E4" s="27">
        <v>28.61513888888889</v>
      </c>
      <c r="F4" s="27">
        <v>28.61513888888889</v>
      </c>
      <c r="G4" s="27">
        <v>28.61513888888889</v>
      </c>
      <c r="H4" s="27">
        <v>28.61513888888889</v>
      </c>
      <c r="I4" s="27">
        <v>28.61513888888889</v>
      </c>
      <c r="J4" s="27">
        <v>28.61513888888889</v>
      </c>
      <c r="K4" s="27">
        <v>28.61513888888889</v>
      </c>
      <c r="L4" s="27">
        <v>28.61513888888889</v>
      </c>
      <c r="M4" s="27">
        <v>28.61513888888889</v>
      </c>
      <c r="N4" s="27">
        <v>28.61513888888889</v>
      </c>
      <c r="O4" s="27">
        <v>28.61513888888889</v>
      </c>
      <c r="P4" s="27">
        <v>28.61513888888889</v>
      </c>
      <c r="Q4" s="27">
        <v>28.61513888888889</v>
      </c>
      <c r="R4" s="27">
        <v>28.61513888888889</v>
      </c>
      <c r="S4" s="27">
        <v>28.61513888888889</v>
      </c>
      <c r="T4" s="27">
        <v>28.61513888888889</v>
      </c>
      <c r="U4" s="27">
        <v>28.61513888888889</v>
      </c>
      <c r="V4" s="27">
        <v>28.61513888888889</v>
      </c>
      <c r="W4" s="27">
        <v>28.61513888888889</v>
      </c>
      <c r="X4" s="27">
        <v>28.61513888888889</v>
      </c>
      <c r="Y4" s="27">
        <v>28.61513888888889</v>
      </c>
      <c r="Z4" s="27">
        <v>28.61513888888889</v>
      </c>
      <c r="AA4" s="27">
        <v>28.61513888888889</v>
      </c>
      <c r="AB4" s="27">
        <v>28.61513888888889</v>
      </c>
      <c r="AC4" s="27">
        <v>28.61513888888889</v>
      </c>
      <c r="AD4" s="27">
        <v>28.61513888888889</v>
      </c>
      <c r="AE4" s="27">
        <v>28.61513888888889</v>
      </c>
      <c r="AF4" s="27">
        <v>28.61513888888889</v>
      </c>
      <c r="AG4" s="27">
        <v>28.61513888888889</v>
      </c>
      <c r="AH4" s="27">
        <v>28.61513888888889</v>
      </c>
      <c r="AI4" s="27">
        <v>28.61513888888889</v>
      </c>
      <c r="AJ4" s="27">
        <v>28.61513888888889</v>
      </c>
      <c r="AK4" s="27">
        <v>28.61513888888889</v>
      </c>
      <c r="AL4" s="27">
        <v>28.61513888888889</v>
      </c>
      <c r="AM4" s="27">
        <v>28.61513888888889</v>
      </c>
      <c r="AN4" s="27">
        <v>28.61513888888889</v>
      </c>
      <c r="AO4" s="27">
        <v>28.61513888888889</v>
      </c>
      <c r="AP4" s="27">
        <v>28.61513888888889</v>
      </c>
      <c r="AQ4" s="27">
        <v>28.61513888888889</v>
      </c>
      <c r="AR4" s="27">
        <v>28.61513888888889</v>
      </c>
      <c r="AS4" s="27">
        <v>28.61513888888889</v>
      </c>
      <c r="AT4" s="27">
        <v>28.61513888888889</v>
      </c>
      <c r="AU4" s="27">
        <v>28.61513888888889</v>
      </c>
      <c r="AV4" s="27">
        <v>28.61513888888889</v>
      </c>
      <c r="AW4" s="27">
        <v>28.61513888888889</v>
      </c>
      <c r="AX4" s="27">
        <v>28.61513888888889</v>
      </c>
      <c r="AY4" s="27">
        <v>28.61513888888889</v>
      </c>
      <c r="AZ4" s="27">
        <v>28.61513888888889</v>
      </c>
      <c r="BA4" s="27">
        <v>28.61513888888889</v>
      </c>
      <c r="BB4" s="27">
        <v>28.61513888888889</v>
      </c>
      <c r="BC4" s="27">
        <v>28.61513888888889</v>
      </c>
      <c r="BD4" s="27">
        <v>28.61513888888889</v>
      </c>
      <c r="BE4" s="27">
        <v>28.61513888888889</v>
      </c>
      <c r="BF4" s="27">
        <v>28.61513888888889</v>
      </c>
      <c r="BG4" s="27">
        <v>28.61513888888889</v>
      </c>
      <c r="BH4" s="27">
        <v>28.61513888888889</v>
      </c>
    </row>
    <row r="5" spans="1:60" ht="21" hidden="1" customHeight="1" outlineLevel="1" x14ac:dyDescent="0.25">
      <c r="A5" s="26" t="s">
        <v>216</v>
      </c>
      <c r="B5" s="27">
        <v>17.822151141666666</v>
      </c>
      <c r="C5" s="27">
        <v>17.822151141666666</v>
      </c>
      <c r="D5" s="27">
        <v>17.822151141666666</v>
      </c>
      <c r="E5" s="27">
        <v>17.822151141666666</v>
      </c>
      <c r="F5" s="27">
        <v>17.822151141666666</v>
      </c>
      <c r="G5" s="27">
        <v>17.822151141666666</v>
      </c>
      <c r="H5" s="27">
        <v>17.822151141666666</v>
      </c>
      <c r="I5" s="27">
        <v>17.822151141666666</v>
      </c>
      <c r="J5" s="27">
        <v>17.822151141666666</v>
      </c>
      <c r="K5" s="27">
        <v>17.822151141666666</v>
      </c>
      <c r="L5" s="27">
        <v>17.822151141666666</v>
      </c>
      <c r="M5" s="27">
        <v>17.822151141666666</v>
      </c>
      <c r="N5" s="27">
        <v>17.822151141666666</v>
      </c>
      <c r="O5" s="27">
        <v>17.822151141666666</v>
      </c>
      <c r="P5" s="27">
        <v>17.822151141666666</v>
      </c>
      <c r="Q5" s="27">
        <v>17.822151141666666</v>
      </c>
      <c r="R5" s="27">
        <v>17.822151141666666</v>
      </c>
      <c r="S5" s="27">
        <v>17.822151141666666</v>
      </c>
      <c r="T5" s="27">
        <v>17.822151141666666</v>
      </c>
      <c r="U5" s="27">
        <v>17.822151141666666</v>
      </c>
      <c r="V5" s="27">
        <v>17.822151141666666</v>
      </c>
      <c r="W5" s="27">
        <v>17.822151141666666</v>
      </c>
      <c r="X5" s="27">
        <v>17.822151141666666</v>
      </c>
      <c r="Y5" s="27">
        <v>17.822151141666666</v>
      </c>
      <c r="Z5" s="27">
        <v>17.822151141666666</v>
      </c>
      <c r="AA5" s="27">
        <v>17.822151141666666</v>
      </c>
      <c r="AB5" s="27">
        <v>17.822151141666666</v>
      </c>
      <c r="AC5" s="27">
        <v>17.822151141666666</v>
      </c>
      <c r="AD5" s="27">
        <v>17.822151141666666</v>
      </c>
      <c r="AE5" s="27">
        <v>17.822151141666666</v>
      </c>
      <c r="AF5" s="27">
        <v>17.822151141666666</v>
      </c>
      <c r="AG5" s="27">
        <v>17.822151141666666</v>
      </c>
      <c r="AH5" s="27">
        <v>17.822151141666666</v>
      </c>
      <c r="AI5" s="27">
        <v>17.822151141666666</v>
      </c>
      <c r="AJ5" s="27">
        <v>17.822151141666666</v>
      </c>
      <c r="AK5" s="27">
        <v>17.822151141666666</v>
      </c>
      <c r="AL5" s="27">
        <v>17.822151141666666</v>
      </c>
      <c r="AM5" s="27">
        <v>17.822151141666666</v>
      </c>
      <c r="AN5" s="27">
        <v>17.822151141666666</v>
      </c>
      <c r="AO5" s="27">
        <v>17.822151141666666</v>
      </c>
      <c r="AP5" s="27">
        <v>17.822151141666666</v>
      </c>
      <c r="AQ5" s="27">
        <v>17.822151141666666</v>
      </c>
      <c r="AR5" s="27">
        <v>17.822151141666666</v>
      </c>
      <c r="AS5" s="27">
        <v>17.822151141666666</v>
      </c>
      <c r="AT5" s="27">
        <v>17.822151141666666</v>
      </c>
      <c r="AU5" s="27">
        <v>17.822151141666666</v>
      </c>
      <c r="AV5" s="27">
        <v>17.822151141666666</v>
      </c>
      <c r="AW5" s="27">
        <v>17.822151141666666</v>
      </c>
      <c r="AX5" s="27">
        <v>17.822151141666666</v>
      </c>
      <c r="AY5" s="27">
        <v>17.822151141666666</v>
      </c>
      <c r="AZ5" s="27">
        <v>17.822151141666666</v>
      </c>
      <c r="BA5" s="27">
        <v>17.822151141666666</v>
      </c>
      <c r="BB5" s="27">
        <v>17.822151141666666</v>
      </c>
      <c r="BC5" s="27">
        <v>17.822151141666666</v>
      </c>
      <c r="BD5" s="27">
        <v>17.822151141666666</v>
      </c>
      <c r="BE5" s="27">
        <v>17.822151141666666</v>
      </c>
      <c r="BF5" s="27">
        <v>17.822151141666666</v>
      </c>
      <c r="BG5" s="27">
        <v>17.822151141666666</v>
      </c>
      <c r="BH5" s="27">
        <v>17.822151141666666</v>
      </c>
    </row>
    <row r="6" spans="1:60" ht="21" hidden="1" customHeight="1" outlineLevel="1" x14ac:dyDescent="0.25">
      <c r="A6" s="26" t="s">
        <v>217</v>
      </c>
      <c r="B6" s="27">
        <v>25.742469891666666</v>
      </c>
      <c r="C6" s="27">
        <v>25.742469891666666</v>
      </c>
      <c r="D6" s="27">
        <v>25.742469891666666</v>
      </c>
      <c r="E6" s="27">
        <v>25.742469891666666</v>
      </c>
      <c r="F6" s="27">
        <v>25.742469891666666</v>
      </c>
      <c r="G6" s="27">
        <v>25.742469891666666</v>
      </c>
      <c r="H6" s="27">
        <v>25.742469891666666</v>
      </c>
      <c r="I6" s="27">
        <v>25.742469891666666</v>
      </c>
      <c r="J6" s="27">
        <v>25.742469891666666</v>
      </c>
      <c r="K6" s="27">
        <v>25.742469891666666</v>
      </c>
      <c r="L6" s="27">
        <v>25.742469891666666</v>
      </c>
      <c r="M6" s="27">
        <v>25.742469891666666</v>
      </c>
      <c r="N6" s="27">
        <v>25.742469891666666</v>
      </c>
      <c r="O6" s="27">
        <v>25.742469891666666</v>
      </c>
      <c r="P6" s="27">
        <v>25.742469891666666</v>
      </c>
      <c r="Q6" s="27">
        <v>25.742469891666666</v>
      </c>
      <c r="R6" s="27">
        <v>25.742469891666666</v>
      </c>
      <c r="S6" s="27">
        <v>25.742469891666666</v>
      </c>
      <c r="T6" s="27">
        <v>25.742469891666666</v>
      </c>
      <c r="U6" s="27">
        <v>25.742469891666666</v>
      </c>
      <c r="V6" s="27">
        <v>25.742469891666666</v>
      </c>
      <c r="W6" s="27">
        <v>25.742469891666666</v>
      </c>
      <c r="X6" s="27">
        <v>25.742469891666666</v>
      </c>
      <c r="Y6" s="27">
        <v>25.742469891666666</v>
      </c>
      <c r="Z6" s="27">
        <v>25.742469891666666</v>
      </c>
      <c r="AA6" s="27">
        <v>25.742469891666666</v>
      </c>
      <c r="AB6" s="27">
        <v>25.742469891666666</v>
      </c>
      <c r="AC6" s="27">
        <v>25.742469891666666</v>
      </c>
      <c r="AD6" s="27">
        <v>25.742469891666666</v>
      </c>
      <c r="AE6" s="27">
        <v>25.742469891666666</v>
      </c>
      <c r="AF6" s="27">
        <v>25.742469891666666</v>
      </c>
      <c r="AG6" s="27">
        <v>25.742469891666666</v>
      </c>
      <c r="AH6" s="27">
        <v>25.742469891666666</v>
      </c>
      <c r="AI6" s="27">
        <v>25.742469891666666</v>
      </c>
      <c r="AJ6" s="27">
        <v>25.742469891666666</v>
      </c>
      <c r="AK6" s="27">
        <v>25.742469891666666</v>
      </c>
      <c r="AL6" s="27">
        <v>25.742469891666666</v>
      </c>
      <c r="AM6" s="27">
        <v>25.742469891666666</v>
      </c>
      <c r="AN6" s="27">
        <v>25.742469891666666</v>
      </c>
      <c r="AO6" s="27">
        <v>25.742469891666666</v>
      </c>
      <c r="AP6" s="27">
        <v>25.742469891666666</v>
      </c>
      <c r="AQ6" s="27">
        <v>25.742469891666666</v>
      </c>
      <c r="AR6" s="27">
        <v>25.742469891666666</v>
      </c>
      <c r="AS6" s="27">
        <v>25.742469891666666</v>
      </c>
      <c r="AT6" s="27">
        <v>25.742469891666666</v>
      </c>
      <c r="AU6" s="27">
        <v>25.742469891666666</v>
      </c>
      <c r="AV6" s="27">
        <v>25.742469891666666</v>
      </c>
      <c r="AW6" s="27">
        <v>25.742469891666666</v>
      </c>
      <c r="AX6" s="27">
        <v>25.742469891666666</v>
      </c>
      <c r="AY6" s="27">
        <v>25.742469891666666</v>
      </c>
      <c r="AZ6" s="27">
        <v>25.742469891666666</v>
      </c>
      <c r="BA6" s="27">
        <v>25.742469891666666</v>
      </c>
      <c r="BB6" s="27">
        <v>25.742469891666666</v>
      </c>
      <c r="BC6" s="27">
        <v>25.742469891666666</v>
      </c>
      <c r="BD6" s="27">
        <v>25.742469891666666</v>
      </c>
      <c r="BE6" s="27">
        <v>25.742469891666666</v>
      </c>
      <c r="BF6" s="27">
        <v>25.742469891666666</v>
      </c>
      <c r="BG6" s="27">
        <v>25.742469891666666</v>
      </c>
      <c r="BH6" s="27">
        <v>25.742469891666666</v>
      </c>
    </row>
    <row r="7" spans="1:60" ht="21" hidden="1" customHeight="1" outlineLevel="1" x14ac:dyDescent="0.25">
      <c r="A7" s="26" t="s">
        <v>218</v>
      </c>
      <c r="B7" s="27">
        <v>14.387499999999999</v>
      </c>
      <c r="C7" s="27">
        <v>14.387499999999999</v>
      </c>
      <c r="D7" s="27">
        <v>14.387499999999999</v>
      </c>
      <c r="E7" s="27">
        <v>14.387499999999999</v>
      </c>
      <c r="F7" s="27">
        <v>14.387499999999999</v>
      </c>
      <c r="G7" s="27">
        <v>14.387499999999999</v>
      </c>
      <c r="H7" s="27">
        <v>14.387499999999999</v>
      </c>
      <c r="I7" s="27">
        <v>14.387499999999999</v>
      </c>
      <c r="J7" s="27">
        <v>14.387499999999999</v>
      </c>
      <c r="K7" s="27">
        <v>14.387499999999999</v>
      </c>
      <c r="L7" s="27">
        <v>14.387499999999999</v>
      </c>
      <c r="M7" s="27">
        <v>14.387499999999999</v>
      </c>
      <c r="N7" s="27">
        <v>14.387499999999999</v>
      </c>
      <c r="O7" s="27">
        <v>14.387499999999999</v>
      </c>
      <c r="P7" s="27">
        <v>14.387499999999999</v>
      </c>
      <c r="Q7" s="27">
        <v>14.387499999999999</v>
      </c>
      <c r="R7" s="27">
        <v>14.387499999999999</v>
      </c>
      <c r="S7" s="27">
        <v>14.387499999999999</v>
      </c>
      <c r="T7" s="27">
        <v>14.387499999999999</v>
      </c>
      <c r="U7" s="27">
        <v>14.387499999999999</v>
      </c>
      <c r="V7" s="27">
        <v>14.387499999999999</v>
      </c>
      <c r="W7" s="27">
        <v>14.387499999999999</v>
      </c>
      <c r="X7" s="27">
        <v>14.387499999999999</v>
      </c>
      <c r="Y7" s="27">
        <v>14.387499999999999</v>
      </c>
      <c r="Z7" s="27">
        <v>14.387499999999999</v>
      </c>
      <c r="AA7" s="27">
        <v>14.387499999999999</v>
      </c>
      <c r="AB7" s="27">
        <v>14.387499999999999</v>
      </c>
      <c r="AC7" s="27">
        <v>14.387499999999999</v>
      </c>
      <c r="AD7" s="27">
        <v>14.387499999999999</v>
      </c>
      <c r="AE7" s="27">
        <v>14.387499999999999</v>
      </c>
      <c r="AF7" s="27">
        <v>14.387499999999999</v>
      </c>
      <c r="AG7" s="27">
        <v>14.387499999999999</v>
      </c>
      <c r="AH7" s="27">
        <v>14.387499999999999</v>
      </c>
      <c r="AI7" s="27">
        <v>14.387499999999999</v>
      </c>
      <c r="AJ7" s="27">
        <v>14.387499999999999</v>
      </c>
      <c r="AK7" s="27">
        <v>14.387499999999999</v>
      </c>
      <c r="AL7" s="27">
        <v>14.387499999999999</v>
      </c>
      <c r="AM7" s="27">
        <v>14.387499999999999</v>
      </c>
      <c r="AN7" s="27">
        <v>14.387499999999999</v>
      </c>
      <c r="AO7" s="27">
        <v>14.387499999999999</v>
      </c>
      <c r="AP7" s="27">
        <v>14.387499999999999</v>
      </c>
      <c r="AQ7" s="27">
        <v>14.387499999999999</v>
      </c>
      <c r="AR7" s="27">
        <v>14.387499999999999</v>
      </c>
      <c r="AS7" s="27">
        <v>14.387499999999999</v>
      </c>
      <c r="AT7" s="27">
        <v>14.387499999999999</v>
      </c>
      <c r="AU7" s="27">
        <v>14.387499999999999</v>
      </c>
      <c r="AV7" s="27">
        <v>14.387499999999999</v>
      </c>
      <c r="AW7" s="27">
        <v>14.387499999999999</v>
      </c>
      <c r="AX7" s="27">
        <v>14.387499999999999</v>
      </c>
      <c r="AY7" s="27">
        <v>14.387499999999999</v>
      </c>
      <c r="AZ7" s="27">
        <v>14.387499999999999</v>
      </c>
      <c r="BA7" s="27">
        <v>14.387499999999999</v>
      </c>
      <c r="BB7" s="27">
        <v>14.387499999999999</v>
      </c>
      <c r="BC7" s="27">
        <v>14.387499999999999</v>
      </c>
      <c r="BD7" s="27">
        <v>14.387499999999999</v>
      </c>
      <c r="BE7" s="27">
        <v>14.387499999999999</v>
      </c>
      <c r="BF7" s="27">
        <v>14.387499999999999</v>
      </c>
      <c r="BG7" s="27">
        <v>14.387499999999999</v>
      </c>
      <c r="BH7" s="27">
        <v>14.387499999999999</v>
      </c>
    </row>
    <row r="8" spans="1:60" ht="21" customHeight="1" collapsed="1" x14ac:dyDescent="0.25">
      <c r="A8" s="26" t="s">
        <v>219</v>
      </c>
      <c r="B8" s="27">
        <v>34.448764977777778</v>
      </c>
      <c r="C8" s="27">
        <v>34.448764977777778</v>
      </c>
      <c r="D8" s="27">
        <v>34.448764977777778</v>
      </c>
      <c r="E8" s="27">
        <v>34.448764977777778</v>
      </c>
      <c r="F8" s="27">
        <v>34.448764977777778</v>
      </c>
      <c r="G8" s="27">
        <v>34.448764977777778</v>
      </c>
      <c r="H8" s="27">
        <v>34.448764977777778</v>
      </c>
      <c r="I8" s="27">
        <v>34.448764977777778</v>
      </c>
      <c r="J8" s="27">
        <v>34.448764977777778</v>
      </c>
      <c r="K8" s="27">
        <v>34.448764977777778</v>
      </c>
      <c r="L8" s="27">
        <v>34.448764977777778</v>
      </c>
      <c r="M8" s="27">
        <v>34.448764977777778</v>
      </c>
      <c r="N8" s="27">
        <v>34.448764977777778</v>
      </c>
      <c r="O8" s="27">
        <v>34.448764977777778</v>
      </c>
      <c r="P8" s="27">
        <v>34.448764977777778</v>
      </c>
      <c r="Q8" s="27">
        <v>34.448764977777778</v>
      </c>
      <c r="R8" s="27">
        <v>34.448764977777778</v>
      </c>
      <c r="S8" s="27">
        <v>34.448764977777778</v>
      </c>
      <c r="T8" s="27">
        <v>34.448764977777778</v>
      </c>
      <c r="U8" s="27">
        <v>34.448764977777778</v>
      </c>
      <c r="V8" s="27">
        <v>34.448764977777778</v>
      </c>
      <c r="W8" s="27">
        <v>34.448764977777778</v>
      </c>
      <c r="X8" s="27">
        <v>34.448764977777778</v>
      </c>
      <c r="Y8" s="27">
        <v>34.448764977777778</v>
      </c>
      <c r="Z8" s="27">
        <v>34.448764977777778</v>
      </c>
      <c r="AA8" s="27">
        <v>34.448764977777778</v>
      </c>
      <c r="AB8" s="27">
        <v>34.448764977777778</v>
      </c>
      <c r="AC8" s="27">
        <v>34.448764977777778</v>
      </c>
      <c r="AD8" s="27">
        <v>34.448764977777778</v>
      </c>
      <c r="AE8" s="27">
        <v>34.448764977777778</v>
      </c>
      <c r="AF8" s="27">
        <v>34.448764977777778</v>
      </c>
      <c r="AG8" s="27">
        <v>34.448764977777778</v>
      </c>
      <c r="AH8" s="27">
        <v>34.448764977777778</v>
      </c>
      <c r="AI8" s="27">
        <v>34.448764977777778</v>
      </c>
      <c r="AJ8" s="27">
        <v>34.448764977777778</v>
      </c>
      <c r="AK8" s="27">
        <v>34.448764977777778</v>
      </c>
      <c r="AL8" s="27">
        <v>34.448764977777778</v>
      </c>
      <c r="AM8" s="27">
        <v>34.448764977777778</v>
      </c>
      <c r="AN8" s="27">
        <v>34.448764977777778</v>
      </c>
      <c r="AO8" s="27">
        <v>34.448764977777778</v>
      </c>
      <c r="AP8" s="27">
        <v>34.448764977777778</v>
      </c>
      <c r="AQ8" s="27">
        <v>34.448764977777778</v>
      </c>
      <c r="AR8" s="27">
        <v>34.448764977777778</v>
      </c>
      <c r="AS8" s="27">
        <v>34.448764977777778</v>
      </c>
      <c r="AT8" s="27">
        <v>34.448764977777778</v>
      </c>
      <c r="AU8" s="27">
        <v>34.448764977777778</v>
      </c>
      <c r="AV8" s="27">
        <v>34.448764977777778</v>
      </c>
      <c r="AW8" s="27">
        <v>34.448764977777778</v>
      </c>
      <c r="AX8" s="27">
        <v>34.448764977777778</v>
      </c>
      <c r="AY8" s="27">
        <v>34.448764977777778</v>
      </c>
      <c r="AZ8" s="27">
        <v>34.448764977777778</v>
      </c>
      <c r="BA8" s="27">
        <v>34.448764977777778</v>
      </c>
      <c r="BB8" s="27">
        <v>34.448764977777778</v>
      </c>
      <c r="BC8" s="27">
        <v>34.448764977777778</v>
      </c>
      <c r="BD8" s="27">
        <v>34.448764977777778</v>
      </c>
      <c r="BE8" s="27">
        <v>34.448764977777778</v>
      </c>
      <c r="BF8" s="27">
        <v>34.448764977777778</v>
      </c>
      <c r="BG8" s="27">
        <v>34.448764977777778</v>
      </c>
      <c r="BH8" s="27">
        <v>34.448764977777778</v>
      </c>
    </row>
    <row r="9" spans="1:60" ht="21" customHeight="1" x14ac:dyDescent="0.25">
      <c r="A9" s="26" t="s">
        <v>220</v>
      </c>
      <c r="B9" s="27">
        <v>25.577777777777776</v>
      </c>
      <c r="C9" s="27">
        <v>25.577777777777776</v>
      </c>
      <c r="D9" s="27">
        <v>25.577777777777776</v>
      </c>
      <c r="E9" s="27">
        <v>25.577777777777776</v>
      </c>
      <c r="F9" s="27">
        <v>25.577777777777776</v>
      </c>
      <c r="G9" s="27">
        <v>25.577777777777776</v>
      </c>
      <c r="H9" s="27">
        <v>25.577777777777776</v>
      </c>
      <c r="I9" s="27">
        <v>25.577777777777776</v>
      </c>
      <c r="J9" s="27">
        <v>25.577777777777776</v>
      </c>
      <c r="K9" s="27">
        <v>25.577777777777776</v>
      </c>
      <c r="L9" s="27">
        <v>25.577777777777776</v>
      </c>
      <c r="M9" s="27">
        <v>25.577777777777776</v>
      </c>
      <c r="N9" s="27">
        <v>25.577777777777776</v>
      </c>
      <c r="O9" s="27">
        <v>25.577777777777776</v>
      </c>
      <c r="P9" s="27">
        <v>25.577777777777776</v>
      </c>
      <c r="Q9" s="27">
        <v>25.577777777777776</v>
      </c>
      <c r="R9" s="27">
        <v>25.577777777777776</v>
      </c>
      <c r="S9" s="27">
        <v>25.577777777777776</v>
      </c>
      <c r="T9" s="27">
        <v>25.577777777777776</v>
      </c>
      <c r="U9" s="27">
        <v>25.577777777777776</v>
      </c>
      <c r="V9" s="27">
        <v>25.577777777777776</v>
      </c>
      <c r="W9" s="27">
        <v>25.577777777777776</v>
      </c>
      <c r="X9" s="27">
        <v>25.577777777777776</v>
      </c>
      <c r="Y9" s="27">
        <v>25.577777777777776</v>
      </c>
      <c r="Z9" s="27">
        <v>25.577777777777776</v>
      </c>
      <c r="AA9" s="27">
        <v>25.577777777777776</v>
      </c>
      <c r="AB9" s="27">
        <v>25.577777777777776</v>
      </c>
      <c r="AC9" s="27">
        <v>25.577777777777776</v>
      </c>
      <c r="AD9" s="27">
        <v>25.577777777777776</v>
      </c>
      <c r="AE9" s="27">
        <v>25.577777777777776</v>
      </c>
      <c r="AF9" s="27">
        <v>25.577777777777776</v>
      </c>
      <c r="AG9" s="27">
        <v>25.577777777777776</v>
      </c>
      <c r="AH9" s="27">
        <v>25.577777777777776</v>
      </c>
      <c r="AI9" s="27">
        <v>25.577777777777776</v>
      </c>
      <c r="AJ9" s="27">
        <v>25.577777777777776</v>
      </c>
      <c r="AK9" s="27">
        <v>25.577777777777776</v>
      </c>
      <c r="AL9" s="27">
        <v>25.577777777777776</v>
      </c>
      <c r="AM9" s="27">
        <v>25.577777777777776</v>
      </c>
      <c r="AN9" s="27">
        <v>25.577777777777776</v>
      </c>
      <c r="AO9" s="27">
        <v>25.577777777777776</v>
      </c>
      <c r="AP9" s="27">
        <v>25.577777777777776</v>
      </c>
      <c r="AQ9" s="27">
        <v>25.577777777777776</v>
      </c>
      <c r="AR9" s="27">
        <v>25.577777777777776</v>
      </c>
      <c r="AS9" s="27">
        <v>25.577777777777776</v>
      </c>
      <c r="AT9" s="27">
        <v>25.577777777777776</v>
      </c>
      <c r="AU9" s="27">
        <v>25.577777777777776</v>
      </c>
      <c r="AV9" s="27">
        <v>25.577777777777776</v>
      </c>
      <c r="AW9" s="27">
        <v>25.577777777777776</v>
      </c>
      <c r="AX9" s="27">
        <v>25.577777777777776</v>
      </c>
      <c r="AY9" s="27">
        <v>25.577777777777776</v>
      </c>
      <c r="AZ9" s="27">
        <v>25.577777777777776</v>
      </c>
      <c r="BA9" s="27">
        <v>25.577777777777776</v>
      </c>
      <c r="BB9" s="27">
        <v>25.577777777777776</v>
      </c>
      <c r="BC9" s="27">
        <v>25.577777777777776</v>
      </c>
      <c r="BD9" s="27">
        <v>25.577777777777776</v>
      </c>
      <c r="BE9" s="27">
        <v>25.577777777777776</v>
      </c>
      <c r="BF9" s="27">
        <v>25.577777777777776</v>
      </c>
      <c r="BG9" s="27">
        <v>25.577777777777776</v>
      </c>
      <c r="BH9" s="27">
        <v>25.577777777777776</v>
      </c>
    </row>
    <row r="10" spans="1:60" ht="21" customHeight="1" x14ac:dyDescent="0.25">
      <c r="A10" s="56" t="s">
        <v>93</v>
      </c>
      <c r="B10" s="57">
        <v>561235.1</v>
      </c>
      <c r="C10" s="57">
        <v>561368.41042103234</v>
      </c>
      <c r="D10" s="57">
        <v>561501.75250734785</v>
      </c>
      <c r="E10" s="57">
        <v>561635.12626646797</v>
      </c>
      <c r="F10" s="57">
        <v>561768.53170591593</v>
      </c>
      <c r="G10" s="57">
        <v>561901.96883321682</v>
      </c>
      <c r="H10" s="57">
        <v>562035.43765589746</v>
      </c>
      <c r="I10" s="57">
        <v>562168.93818148645</v>
      </c>
      <c r="J10" s="57">
        <v>562302.47041751421</v>
      </c>
      <c r="K10" s="57">
        <v>562436.03437151294</v>
      </c>
      <c r="L10" s="57">
        <v>562569.63005101669</v>
      </c>
      <c r="M10" s="57">
        <v>562703.25746356114</v>
      </c>
      <c r="N10" s="57">
        <v>562836.91661668383</v>
      </c>
      <c r="O10" s="57">
        <v>562970.60751792416</v>
      </c>
      <c r="P10" s="57">
        <v>563104.33017482329</v>
      </c>
      <c r="Q10" s="57">
        <v>563238.08459492412</v>
      </c>
      <c r="R10" s="57">
        <v>563371.8707857714</v>
      </c>
      <c r="S10" s="57">
        <v>563505.68875491165</v>
      </c>
      <c r="T10" s="57">
        <v>563639.53850989323</v>
      </c>
      <c r="U10" s="57">
        <v>563773.42005826614</v>
      </c>
      <c r="V10" s="57">
        <v>563907.33340758237</v>
      </c>
      <c r="W10" s="57">
        <v>564041.27856539551</v>
      </c>
      <c r="X10" s="57">
        <v>564175.25553926115</v>
      </c>
      <c r="Y10" s="57">
        <v>564309.26433673652</v>
      </c>
      <c r="Z10" s="57">
        <v>564443.3049653807</v>
      </c>
      <c r="AA10" s="57">
        <v>564577.37743275461</v>
      </c>
      <c r="AB10" s="57">
        <v>564711.48174642085</v>
      </c>
      <c r="AC10" s="57">
        <v>564845.61791394395</v>
      </c>
      <c r="AD10" s="57">
        <v>564979.7859428901</v>
      </c>
      <c r="AE10" s="57">
        <v>565113.98584082734</v>
      </c>
      <c r="AF10" s="57">
        <v>565248.21761532559</v>
      </c>
      <c r="AG10" s="57">
        <v>565382.48127395648</v>
      </c>
      <c r="AH10" s="57">
        <v>565516.77682429343</v>
      </c>
      <c r="AI10" s="57">
        <v>565651.1042739118</v>
      </c>
      <c r="AJ10" s="57">
        <v>565785.46363038861</v>
      </c>
      <c r="AK10" s="57">
        <v>565919.85490130261</v>
      </c>
      <c r="AL10" s="57">
        <v>566054.27809423453</v>
      </c>
      <c r="AM10" s="57">
        <v>566188.73321676673</v>
      </c>
      <c r="AN10" s="57">
        <v>566323.22027648357</v>
      </c>
      <c r="AO10" s="57">
        <v>566457.73928097112</v>
      </c>
      <c r="AP10" s="57">
        <v>566592.2902378171</v>
      </c>
      <c r="AQ10" s="57">
        <v>566726.87315461133</v>
      </c>
      <c r="AR10" s="57">
        <v>566861.48803894513</v>
      </c>
      <c r="AS10" s="57">
        <v>566996.13489841181</v>
      </c>
      <c r="AT10" s="57">
        <v>567130.81374060654</v>
      </c>
      <c r="AU10" s="57">
        <v>567265.52457312611</v>
      </c>
      <c r="AV10" s="57">
        <v>567400.26740356919</v>
      </c>
      <c r="AW10" s="57">
        <v>567535.04223953618</v>
      </c>
      <c r="AX10" s="57">
        <v>567669.84908862947</v>
      </c>
      <c r="AY10" s="57">
        <v>567804.68795845308</v>
      </c>
      <c r="AZ10" s="57">
        <v>567939.558856613</v>
      </c>
      <c r="BA10" s="57">
        <v>568074.46179071686</v>
      </c>
      <c r="BB10" s="57">
        <v>568209.39676837425</v>
      </c>
      <c r="BC10" s="57">
        <v>568344.36379719642</v>
      </c>
      <c r="BD10" s="57">
        <v>568479.36288479657</v>
      </c>
      <c r="BE10" s="57">
        <v>568614.39403878956</v>
      </c>
      <c r="BF10" s="57">
        <v>568749.45726679219</v>
      </c>
      <c r="BG10" s="57">
        <v>568884.55257642292</v>
      </c>
      <c r="BH10" s="57">
        <v>569019.67997530219</v>
      </c>
    </row>
    <row r="11" spans="1:60" ht="21" customHeight="1" x14ac:dyDescent="0.25">
      <c r="A11" s="30" t="s">
        <v>94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</row>
    <row r="12" spans="1:60" ht="21" customHeight="1" x14ac:dyDescent="0.25">
      <c r="A12" s="32" t="s">
        <v>95</v>
      </c>
      <c r="B12" s="33">
        <v>561235.1</v>
      </c>
      <c r="C12" s="33">
        <v>561235.1</v>
      </c>
      <c r="D12" s="33">
        <v>561235.1</v>
      </c>
      <c r="E12" s="33">
        <v>561235.1</v>
      </c>
      <c r="F12" s="33">
        <v>561235.1</v>
      </c>
      <c r="G12" s="33">
        <v>561235.1</v>
      </c>
      <c r="H12" s="33">
        <v>561235.1</v>
      </c>
      <c r="I12" s="33">
        <v>561235.1</v>
      </c>
      <c r="J12" s="33">
        <v>561235.1</v>
      </c>
      <c r="K12" s="33">
        <v>561235.1</v>
      </c>
      <c r="L12" s="33">
        <v>561235.1</v>
      </c>
      <c r="M12" s="33">
        <v>561235.1</v>
      </c>
      <c r="N12" s="33">
        <v>561235.1</v>
      </c>
      <c r="O12" s="33">
        <v>561235.1</v>
      </c>
      <c r="P12" s="33">
        <v>561235.1</v>
      </c>
      <c r="Q12" s="33">
        <v>561235.1</v>
      </c>
      <c r="R12" s="33">
        <v>561235.1</v>
      </c>
      <c r="S12" s="33">
        <v>561235.1</v>
      </c>
      <c r="T12" s="33">
        <v>561235.1</v>
      </c>
      <c r="U12" s="33">
        <v>561235.1</v>
      </c>
      <c r="V12" s="33">
        <v>561235.1</v>
      </c>
      <c r="W12" s="33">
        <v>561235.1</v>
      </c>
      <c r="X12" s="33">
        <v>561235.1</v>
      </c>
      <c r="Y12" s="33">
        <v>561235.1</v>
      </c>
      <c r="Z12" s="33">
        <v>561235.1</v>
      </c>
      <c r="AA12" s="33">
        <v>561235.1</v>
      </c>
      <c r="AB12" s="33">
        <v>561235.1</v>
      </c>
      <c r="AC12" s="33">
        <v>561235.1</v>
      </c>
      <c r="AD12" s="33">
        <v>561235.1</v>
      </c>
      <c r="AE12" s="33">
        <v>561235.1</v>
      </c>
      <c r="AF12" s="33">
        <v>561235.1</v>
      </c>
      <c r="AG12" s="33">
        <v>561235.1</v>
      </c>
      <c r="AH12" s="33">
        <v>561235.1</v>
      </c>
      <c r="AI12" s="33">
        <v>561235.1</v>
      </c>
      <c r="AJ12" s="33">
        <v>561235.1</v>
      </c>
      <c r="AK12" s="33">
        <v>561235.1</v>
      </c>
      <c r="AL12" s="33">
        <v>561235.1</v>
      </c>
      <c r="AM12" s="33">
        <v>561235.1</v>
      </c>
      <c r="AN12" s="33">
        <v>561235.1</v>
      </c>
      <c r="AO12" s="33">
        <v>561235.1</v>
      </c>
      <c r="AP12" s="33">
        <v>561235.1</v>
      </c>
      <c r="AQ12" s="33">
        <v>561235.1</v>
      </c>
      <c r="AR12" s="33">
        <v>561235.1</v>
      </c>
      <c r="AS12" s="33">
        <v>561235.1</v>
      </c>
      <c r="AT12" s="33">
        <v>561235.1</v>
      </c>
      <c r="AU12" s="33">
        <v>561235.1</v>
      </c>
      <c r="AV12" s="33">
        <v>561235.1</v>
      </c>
      <c r="AW12" s="33">
        <v>561235.1</v>
      </c>
      <c r="AX12" s="33">
        <v>561235.1</v>
      </c>
      <c r="AY12" s="33">
        <v>561235.1</v>
      </c>
      <c r="AZ12" s="33">
        <v>561235.1</v>
      </c>
      <c r="BA12" s="33">
        <v>561235.1</v>
      </c>
      <c r="BB12" s="33">
        <v>561235.1</v>
      </c>
      <c r="BC12" s="33">
        <v>561235.1</v>
      </c>
      <c r="BD12" s="33">
        <v>561235.1</v>
      </c>
      <c r="BE12" s="33">
        <v>561235.1</v>
      </c>
      <c r="BF12" s="33">
        <v>561235.1</v>
      </c>
      <c r="BG12" s="33">
        <v>561235.1</v>
      </c>
      <c r="BH12" s="33">
        <v>561235.1</v>
      </c>
    </row>
    <row r="13" spans="1:60" ht="21" customHeight="1" x14ac:dyDescent="0.25">
      <c r="A13" s="32" t="s">
        <v>96</v>
      </c>
      <c r="B13" s="33">
        <v>561235.1</v>
      </c>
      <c r="C13" s="33">
        <v>561235.1</v>
      </c>
      <c r="D13" s="33">
        <v>561235.1</v>
      </c>
      <c r="E13" s="33">
        <v>561235.1</v>
      </c>
      <c r="F13" s="33">
        <v>561235.1</v>
      </c>
      <c r="G13" s="33">
        <v>561235.1</v>
      </c>
      <c r="H13" s="33">
        <v>561235.1</v>
      </c>
      <c r="I13" s="33">
        <v>561235.1</v>
      </c>
      <c r="J13" s="33">
        <v>561235.1</v>
      </c>
      <c r="K13" s="33">
        <v>561235.1</v>
      </c>
      <c r="L13" s="33">
        <v>561235.1</v>
      </c>
      <c r="M13" s="33">
        <v>561235.1</v>
      </c>
      <c r="N13" s="33">
        <v>561235.1</v>
      </c>
      <c r="O13" s="33">
        <v>561235.1</v>
      </c>
      <c r="P13" s="33">
        <v>561235.1</v>
      </c>
      <c r="Q13" s="33">
        <v>561235.1</v>
      </c>
      <c r="R13" s="33">
        <v>561235.1</v>
      </c>
      <c r="S13" s="33">
        <v>561235.1</v>
      </c>
      <c r="T13" s="33">
        <v>561235.1</v>
      </c>
      <c r="U13" s="33">
        <v>561235.1</v>
      </c>
      <c r="V13" s="33">
        <v>561235.1</v>
      </c>
      <c r="W13" s="33">
        <v>561235.1</v>
      </c>
      <c r="X13" s="33">
        <v>561235.1</v>
      </c>
      <c r="Y13" s="33">
        <v>561235.1</v>
      </c>
      <c r="Z13" s="33">
        <v>561235.1</v>
      </c>
      <c r="AA13" s="33">
        <v>561235.1</v>
      </c>
      <c r="AB13" s="33">
        <v>561235.1</v>
      </c>
      <c r="AC13" s="33">
        <v>561235.1</v>
      </c>
      <c r="AD13" s="33">
        <v>561235.1</v>
      </c>
      <c r="AE13" s="33">
        <v>561235.1</v>
      </c>
      <c r="AF13" s="33">
        <v>561235.1</v>
      </c>
      <c r="AG13" s="33">
        <v>561235.1</v>
      </c>
      <c r="AH13" s="33">
        <v>561235.1</v>
      </c>
      <c r="AI13" s="33">
        <v>561235.1</v>
      </c>
      <c r="AJ13" s="33">
        <v>561235.1</v>
      </c>
      <c r="AK13" s="33">
        <v>561235.1</v>
      </c>
      <c r="AL13" s="33">
        <v>561235.1</v>
      </c>
      <c r="AM13" s="33">
        <v>561235.1</v>
      </c>
      <c r="AN13" s="33">
        <v>561235.1</v>
      </c>
      <c r="AO13" s="33">
        <v>561235.1</v>
      </c>
      <c r="AP13" s="33">
        <v>561235.1</v>
      </c>
      <c r="AQ13" s="33">
        <v>561235.1</v>
      </c>
      <c r="AR13" s="33">
        <v>561235.1</v>
      </c>
      <c r="AS13" s="33">
        <v>561235.1</v>
      </c>
      <c r="AT13" s="33">
        <v>561235.1</v>
      </c>
      <c r="AU13" s="33">
        <v>561235.1</v>
      </c>
      <c r="AV13" s="33">
        <v>561235.1</v>
      </c>
      <c r="AW13" s="33">
        <v>561235.1</v>
      </c>
      <c r="AX13" s="33">
        <v>561235.1</v>
      </c>
      <c r="AY13" s="33">
        <v>561235.1</v>
      </c>
      <c r="AZ13" s="33">
        <v>561235.1</v>
      </c>
      <c r="BA13" s="33">
        <v>561235.1</v>
      </c>
      <c r="BB13" s="33">
        <v>561235.1</v>
      </c>
      <c r="BC13" s="33">
        <v>561235.1</v>
      </c>
      <c r="BD13" s="33">
        <v>561235.1</v>
      </c>
      <c r="BE13" s="33">
        <v>561235.1</v>
      </c>
      <c r="BF13" s="33">
        <v>561235.1</v>
      </c>
      <c r="BG13" s="33">
        <v>561235.1</v>
      </c>
      <c r="BH13" s="33">
        <v>561235.1</v>
      </c>
    </row>
    <row r="14" spans="1:60" ht="21" customHeight="1" x14ac:dyDescent="0.25">
      <c r="A14" s="30" t="s">
        <v>97</v>
      </c>
      <c r="B14" s="31">
        <v>0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</row>
    <row r="15" spans="1:60" ht="21" customHeight="1" x14ac:dyDescent="0.25">
      <c r="A15" s="32" t="s">
        <v>98</v>
      </c>
      <c r="B15" s="33">
        <v>561235.1</v>
      </c>
      <c r="C15" s="33">
        <v>561235.1</v>
      </c>
      <c r="D15" s="33">
        <v>561235.1</v>
      </c>
      <c r="E15" s="33">
        <v>561235.1</v>
      </c>
      <c r="F15" s="33">
        <v>561235.1</v>
      </c>
      <c r="G15" s="33">
        <v>561235.1</v>
      </c>
      <c r="H15" s="33">
        <v>561235.1</v>
      </c>
      <c r="I15" s="33">
        <v>561235.1</v>
      </c>
      <c r="J15" s="33">
        <v>561235.1</v>
      </c>
      <c r="K15" s="33">
        <v>561235.1</v>
      </c>
      <c r="L15" s="33">
        <v>561235.1</v>
      </c>
      <c r="M15" s="33">
        <v>561235.1</v>
      </c>
      <c r="N15" s="33">
        <v>561235.1</v>
      </c>
      <c r="O15" s="33">
        <v>561235.1</v>
      </c>
      <c r="P15" s="33">
        <v>561235.1</v>
      </c>
      <c r="Q15" s="33">
        <v>561235.1</v>
      </c>
      <c r="R15" s="33">
        <v>561235.1</v>
      </c>
      <c r="S15" s="33">
        <v>561235.1</v>
      </c>
      <c r="T15" s="33">
        <v>561235.1</v>
      </c>
      <c r="U15" s="33">
        <v>561235.1</v>
      </c>
      <c r="V15" s="33">
        <v>561235.1</v>
      </c>
      <c r="W15" s="33">
        <v>561235.1</v>
      </c>
      <c r="X15" s="33">
        <v>561235.1</v>
      </c>
      <c r="Y15" s="33">
        <v>561235.1</v>
      </c>
      <c r="Z15" s="33">
        <v>561235.1</v>
      </c>
      <c r="AA15" s="33">
        <v>561235.1</v>
      </c>
      <c r="AB15" s="33">
        <v>561235.1</v>
      </c>
      <c r="AC15" s="33">
        <v>561235.1</v>
      </c>
      <c r="AD15" s="33">
        <v>561235.1</v>
      </c>
      <c r="AE15" s="33">
        <v>561235.1</v>
      </c>
      <c r="AF15" s="33">
        <v>561235.1</v>
      </c>
      <c r="AG15" s="33">
        <v>561235.1</v>
      </c>
      <c r="AH15" s="33">
        <v>561235.1</v>
      </c>
      <c r="AI15" s="33">
        <v>561235.1</v>
      </c>
      <c r="AJ15" s="33">
        <v>561235.1</v>
      </c>
      <c r="AK15" s="33">
        <v>561235.1</v>
      </c>
      <c r="AL15" s="33">
        <v>561235.1</v>
      </c>
      <c r="AM15" s="33">
        <v>561235.1</v>
      </c>
      <c r="AN15" s="33">
        <v>561235.1</v>
      </c>
      <c r="AO15" s="33">
        <v>561235.1</v>
      </c>
      <c r="AP15" s="33">
        <v>561235.1</v>
      </c>
      <c r="AQ15" s="33">
        <v>561235.1</v>
      </c>
      <c r="AR15" s="33">
        <v>561235.1</v>
      </c>
      <c r="AS15" s="33">
        <v>561235.1</v>
      </c>
      <c r="AT15" s="33">
        <v>561235.1</v>
      </c>
      <c r="AU15" s="33">
        <v>561235.1</v>
      </c>
      <c r="AV15" s="33">
        <v>561235.1</v>
      </c>
      <c r="AW15" s="33">
        <v>561235.1</v>
      </c>
      <c r="AX15" s="33">
        <v>561235.1</v>
      </c>
      <c r="AY15" s="33">
        <v>561235.1</v>
      </c>
      <c r="AZ15" s="33">
        <v>561235.1</v>
      </c>
      <c r="BA15" s="33">
        <v>561235.1</v>
      </c>
      <c r="BB15" s="33">
        <v>561235.1</v>
      </c>
      <c r="BC15" s="33">
        <v>561235.1</v>
      </c>
      <c r="BD15" s="33">
        <v>561235.1</v>
      </c>
      <c r="BE15" s="33">
        <v>561235.1</v>
      </c>
      <c r="BF15" s="33">
        <v>561235.1</v>
      </c>
      <c r="BG15" s="33">
        <v>561235.1</v>
      </c>
      <c r="BH15" s="33">
        <v>561235.1</v>
      </c>
    </row>
    <row r="16" spans="1:60" ht="24" customHeight="1" x14ac:dyDescent="0.25">
      <c r="A16" s="19" t="s">
        <v>99</v>
      </c>
      <c r="B16" s="20">
        <v>1</v>
      </c>
      <c r="C16" s="20">
        <v>1.0002375304414004</v>
      </c>
      <c r="D16" s="20">
        <v>1.0004751173035114</v>
      </c>
      <c r="E16" s="20">
        <v>1.0007127605997344</v>
      </c>
      <c r="F16" s="20">
        <v>1.0009504603434745</v>
      </c>
      <c r="G16" s="20">
        <v>1.0011882165481396</v>
      </c>
      <c r="H16" s="20">
        <v>1.0014260292271411</v>
      </c>
      <c r="I16" s="20">
        <v>1.0016638983938932</v>
      </c>
      <c r="J16" s="20">
        <v>1.0019018240618134</v>
      </c>
      <c r="K16" s="20">
        <v>1.0021398062443225</v>
      </c>
      <c r="L16" s="20">
        <v>1.0023778449548446</v>
      </c>
      <c r="M16" s="20">
        <v>1.0026159402068067</v>
      </c>
      <c r="N16" s="20">
        <v>1.0028540920136388</v>
      </c>
      <c r="O16" s="20">
        <v>1.0030923003887751</v>
      </c>
      <c r="P16" s="20">
        <v>1.0033305653456517</v>
      </c>
      <c r="Q16" s="20">
        <v>1.0035688868977086</v>
      </c>
      <c r="R16" s="20">
        <v>1.0038072650583889</v>
      </c>
      <c r="S16" s="20">
        <v>1.0040456998411391</v>
      </c>
      <c r="T16" s="20">
        <v>1.0042841912594085</v>
      </c>
      <c r="U16" s="20">
        <v>1.0045227393266496</v>
      </c>
      <c r="V16" s="20">
        <v>1.0047613440563186</v>
      </c>
      <c r="W16" s="20">
        <v>1.0050000054618742</v>
      </c>
      <c r="X16" s="20">
        <v>1.005238723556779</v>
      </c>
      <c r="Y16" s="20">
        <v>1.0054774983544981</v>
      </c>
      <c r="Z16" s="20">
        <v>1.0057163298685003</v>
      </c>
      <c r="AA16" s="20">
        <v>1.0059552181122575</v>
      </c>
      <c r="AB16" s="20">
        <v>1.0061941630992446</v>
      </c>
      <c r="AC16" s="20">
        <v>1.0064331648429401</v>
      </c>
      <c r="AD16" s="20">
        <v>1.0066722233568253</v>
      </c>
      <c r="AE16" s="20">
        <v>1.0069113386543844</v>
      </c>
      <c r="AF16" s="20">
        <v>1.0071505107491061</v>
      </c>
      <c r="AG16" s="20">
        <v>1.0073897396544809</v>
      </c>
      <c r="AH16" s="20">
        <v>1.007629025384003</v>
      </c>
      <c r="AI16" s="20">
        <v>1.0078683679511702</v>
      </c>
      <c r="AJ16" s="20">
        <v>1.0081077673694832</v>
      </c>
      <c r="AK16" s="20">
        <v>1.0083472236524456</v>
      </c>
      <c r="AL16" s="20">
        <v>1.0085867368135646</v>
      </c>
      <c r="AM16" s="20">
        <v>1.0088263068663503</v>
      </c>
      <c r="AN16" s="20">
        <v>1.0090659338243164</v>
      </c>
      <c r="AO16" s="20">
        <v>1.0093056177009798</v>
      </c>
      <c r="AP16" s="20">
        <v>1.0095453585098599</v>
      </c>
      <c r="AQ16" s="20">
        <v>1.0097851562644806</v>
      </c>
      <c r="AR16" s="20">
        <v>1.0100250109783675</v>
      </c>
      <c r="AS16" s="20">
        <v>1.0102649226650504</v>
      </c>
      <c r="AT16" s="20">
        <v>1.0105048913380623</v>
      </c>
      <c r="AU16" s="20">
        <v>1.010744917010939</v>
      </c>
      <c r="AV16" s="20">
        <v>1.01098499969722</v>
      </c>
      <c r="AW16" s="20">
        <v>1.011225139410447</v>
      </c>
      <c r="AX16" s="20">
        <v>1.0114653361641663</v>
      </c>
      <c r="AY16" s="20">
        <v>1.0117055899719265</v>
      </c>
      <c r="AZ16" s="20">
        <v>1.0119459008472795</v>
      </c>
      <c r="BA16" s="20">
        <v>1.012186268803781</v>
      </c>
      <c r="BB16" s="20">
        <v>1.0124266938549893</v>
      </c>
      <c r="BC16" s="20">
        <v>1.0126671760144661</v>
      </c>
      <c r="BD16" s="20">
        <v>1.0129077152957764</v>
      </c>
      <c r="BE16" s="20">
        <v>1.0131483117124884</v>
      </c>
      <c r="BF16" s="20">
        <v>1.0133889652781736</v>
      </c>
      <c r="BG16" s="20">
        <v>1.0136296760064061</v>
      </c>
      <c r="BH16" s="20">
        <v>1.0138704439107644</v>
      </c>
    </row>
    <row r="17" spans="1:62" ht="21" customHeight="1" x14ac:dyDescent="0.25">
      <c r="A17" s="32" t="s">
        <v>100</v>
      </c>
      <c r="B17" s="33">
        <v>179.4393333611111</v>
      </c>
      <c r="C17" s="33">
        <v>179.48195566516895</v>
      </c>
      <c r="D17" s="33">
        <v>179.52458809332148</v>
      </c>
      <c r="E17" s="33">
        <v>179.5672306479735</v>
      </c>
      <c r="F17" s="33">
        <v>179.60988333153034</v>
      </c>
      <c r="G17" s="33">
        <v>179.65254614639792</v>
      </c>
      <c r="H17" s="33">
        <v>179.69521909498278</v>
      </c>
      <c r="I17" s="33">
        <v>179.7379021796919</v>
      </c>
      <c r="J17" s="33">
        <v>179.78059540293302</v>
      </c>
      <c r="K17" s="33">
        <v>179.82329876711427</v>
      </c>
      <c r="L17" s="33">
        <v>179.8660122746445</v>
      </c>
      <c r="M17" s="33">
        <v>179.90873592793301</v>
      </c>
      <c r="N17" s="33">
        <v>179.95146972938974</v>
      </c>
      <c r="O17" s="33">
        <v>179.99421368142521</v>
      </c>
      <c r="P17" s="33">
        <v>180.03696778645045</v>
      </c>
      <c r="Q17" s="33">
        <v>180.07973204687713</v>
      </c>
      <c r="R17" s="33">
        <v>180.12250646511745</v>
      </c>
      <c r="S17" s="33">
        <v>180.16529104358426</v>
      </c>
      <c r="T17" s="33">
        <v>180.20808578469087</v>
      </c>
      <c r="U17" s="33">
        <v>180.25089069085121</v>
      </c>
      <c r="V17" s="33">
        <v>180.2937057644798</v>
      </c>
      <c r="W17" s="33">
        <v>180.33653100799174</v>
      </c>
      <c r="X17" s="33">
        <v>180.37936642380265</v>
      </c>
      <c r="Y17" s="33">
        <v>180.42221201432881</v>
      </c>
      <c r="Z17" s="33">
        <v>180.46506778198699</v>
      </c>
      <c r="AA17" s="33">
        <v>180.5079337291946</v>
      </c>
      <c r="AB17" s="33">
        <v>180.55080985836955</v>
      </c>
      <c r="AC17" s="33">
        <v>180.59369617193042</v>
      </c>
      <c r="AD17" s="33">
        <v>180.63659267229625</v>
      </c>
      <c r="AE17" s="33">
        <v>180.67949936188674</v>
      </c>
      <c r="AF17" s="33">
        <v>180.72241624312215</v>
      </c>
      <c r="AG17" s="33">
        <v>180.76534331842331</v>
      </c>
      <c r="AH17" s="33">
        <v>180.80828059021158</v>
      </c>
      <c r="AI17" s="33">
        <v>180.85122806090902</v>
      </c>
      <c r="AJ17" s="33">
        <v>180.89418573293813</v>
      </c>
      <c r="AK17" s="33">
        <v>180.93715360872201</v>
      </c>
      <c r="AL17" s="33">
        <v>180.98013169068443</v>
      </c>
      <c r="AM17" s="33">
        <v>181.02311998124958</v>
      </c>
      <c r="AN17" s="33">
        <v>181.06611848284237</v>
      </c>
      <c r="AO17" s="33">
        <v>181.10912719788826</v>
      </c>
      <c r="AP17" s="33">
        <v>181.1521461288132</v>
      </c>
      <c r="AQ17" s="33">
        <v>181.19517527804379</v>
      </c>
      <c r="AR17" s="33">
        <v>181.23821464800719</v>
      </c>
      <c r="AS17" s="33">
        <v>181.28126424113111</v>
      </c>
      <c r="AT17" s="33">
        <v>181.32432405984392</v>
      </c>
      <c r="AU17" s="33">
        <v>181.36739410657449</v>
      </c>
      <c r="AV17" s="33">
        <v>181.41047438375224</v>
      </c>
      <c r="AW17" s="33">
        <v>181.45356489380725</v>
      </c>
      <c r="AX17" s="33">
        <v>181.49666563917015</v>
      </c>
      <c r="AY17" s="33">
        <v>181.53977662227209</v>
      </c>
      <c r="AZ17" s="33">
        <v>181.58289784554486</v>
      </c>
      <c r="BA17" s="33">
        <v>181.62602931142087</v>
      </c>
      <c r="BB17" s="33">
        <v>181.66917102233299</v>
      </c>
      <c r="BC17" s="33">
        <v>181.71232298071473</v>
      </c>
      <c r="BD17" s="33">
        <v>181.75548518900024</v>
      </c>
      <c r="BE17" s="33">
        <v>181.79865764962409</v>
      </c>
      <c r="BF17" s="33">
        <v>181.84184036502162</v>
      </c>
      <c r="BG17" s="33">
        <v>181.88503333762856</v>
      </c>
      <c r="BH17" s="33">
        <v>181.92823656988134</v>
      </c>
    </row>
    <row r="18" spans="1:62" ht="21" customHeight="1" x14ac:dyDescent="0.25">
      <c r="A18" s="32" t="s">
        <v>101</v>
      </c>
      <c r="B18" s="33">
        <v>561368.41042103234</v>
      </c>
      <c r="C18" s="33">
        <v>561501.75250734785</v>
      </c>
      <c r="D18" s="33">
        <v>561635.12626646797</v>
      </c>
      <c r="E18" s="33">
        <v>561768.53170591593</v>
      </c>
      <c r="F18" s="33">
        <v>561901.96883321682</v>
      </c>
      <c r="G18" s="33">
        <v>562035.43765589746</v>
      </c>
      <c r="H18" s="33">
        <v>562168.93818148645</v>
      </c>
      <c r="I18" s="33">
        <v>562302.47041751421</v>
      </c>
      <c r="J18" s="33">
        <v>562436.03437151294</v>
      </c>
      <c r="K18" s="33">
        <v>562569.63005101669</v>
      </c>
      <c r="L18" s="33">
        <v>562703.25746356114</v>
      </c>
      <c r="M18" s="33">
        <v>562836.91661668383</v>
      </c>
      <c r="N18" s="33">
        <v>562970.60751792416</v>
      </c>
      <c r="O18" s="33">
        <v>563104.33017482329</v>
      </c>
      <c r="P18" s="33">
        <v>563238.08459492412</v>
      </c>
      <c r="Q18" s="33">
        <v>563371.8707857714</v>
      </c>
      <c r="R18" s="33">
        <v>563505.68875491165</v>
      </c>
      <c r="S18" s="33">
        <v>563639.53850989323</v>
      </c>
      <c r="T18" s="33">
        <v>563773.42005826614</v>
      </c>
      <c r="U18" s="33">
        <v>563907.33340758237</v>
      </c>
      <c r="V18" s="33">
        <v>564041.27856539551</v>
      </c>
      <c r="W18" s="33">
        <v>564175.25553926115</v>
      </c>
      <c r="X18" s="33">
        <v>564309.26433673652</v>
      </c>
      <c r="Y18" s="33">
        <v>564443.3049653807</v>
      </c>
      <c r="Z18" s="33">
        <v>564577.37743275461</v>
      </c>
      <c r="AA18" s="33">
        <v>564711.48174642085</v>
      </c>
      <c r="AB18" s="33">
        <v>564845.61791394395</v>
      </c>
      <c r="AC18" s="33">
        <v>564979.7859428901</v>
      </c>
      <c r="AD18" s="33">
        <v>565113.98584082734</v>
      </c>
      <c r="AE18" s="33">
        <v>565248.21761532559</v>
      </c>
      <c r="AF18" s="33">
        <v>565382.48127395648</v>
      </c>
      <c r="AG18" s="33">
        <v>565516.77682429343</v>
      </c>
      <c r="AH18" s="33">
        <v>565651.1042739118</v>
      </c>
      <c r="AI18" s="33">
        <v>565785.46363038861</v>
      </c>
      <c r="AJ18" s="33">
        <v>565919.85490130261</v>
      </c>
      <c r="AK18" s="33">
        <v>566054.27809423453</v>
      </c>
      <c r="AL18" s="33">
        <v>566188.73321676673</v>
      </c>
      <c r="AM18" s="33">
        <v>566323.22027648357</v>
      </c>
      <c r="AN18" s="33">
        <v>566457.73928097112</v>
      </c>
      <c r="AO18" s="33">
        <v>566592.2902378171</v>
      </c>
      <c r="AP18" s="33">
        <v>566726.87315461133</v>
      </c>
      <c r="AQ18" s="33">
        <v>566861.48803894513</v>
      </c>
      <c r="AR18" s="33">
        <v>566996.13489841181</v>
      </c>
      <c r="AS18" s="33">
        <v>567130.81374060654</v>
      </c>
      <c r="AT18" s="33">
        <v>567265.52457312611</v>
      </c>
      <c r="AU18" s="33">
        <v>567400.26740356919</v>
      </c>
      <c r="AV18" s="33">
        <v>567535.04223953618</v>
      </c>
      <c r="AW18" s="33">
        <v>567669.84908862947</v>
      </c>
      <c r="AX18" s="33">
        <v>567804.68795845308</v>
      </c>
      <c r="AY18" s="33">
        <v>567939.558856613</v>
      </c>
      <c r="AZ18" s="33">
        <v>568074.46179071686</v>
      </c>
      <c r="BA18" s="33">
        <v>568209.39676837425</v>
      </c>
      <c r="BB18" s="33">
        <v>568344.36379719642</v>
      </c>
      <c r="BC18" s="33">
        <v>568479.36288479657</v>
      </c>
      <c r="BD18" s="33">
        <v>568614.39403878956</v>
      </c>
      <c r="BE18" s="33">
        <v>568749.45726679219</v>
      </c>
      <c r="BF18" s="33">
        <v>568884.55257642292</v>
      </c>
      <c r="BG18" s="33">
        <v>569019.67997530219</v>
      </c>
      <c r="BH18" s="33">
        <v>569154.83947105217</v>
      </c>
    </row>
    <row r="19" spans="1:62" ht="21" customHeight="1" x14ac:dyDescent="0.25">
      <c r="A19" s="34" t="s">
        <v>102</v>
      </c>
      <c r="B19" s="35">
        <v>15.376304109589041</v>
      </c>
      <c r="C19" s="35">
        <v>15.379956449891298</v>
      </c>
      <c r="D19" s="35">
        <v>15.383609657735558</v>
      </c>
      <c r="E19" s="35">
        <v>15.38726373332789</v>
      </c>
      <c r="F19" s="35">
        <v>15.39091867687441</v>
      </c>
      <c r="G19" s="35">
        <v>15.394574488581283</v>
      </c>
      <c r="H19" s="35">
        <v>15.398231168654725</v>
      </c>
      <c r="I19" s="35">
        <v>15.401888717300999</v>
      </c>
      <c r="J19" s="35">
        <v>15.405547134726417</v>
      </c>
      <c r="K19" s="35">
        <v>15.409206421137341</v>
      </c>
      <c r="L19" s="35">
        <v>15.412866576740184</v>
      </c>
      <c r="M19" s="35">
        <v>15.416527601741402</v>
      </c>
      <c r="N19" s="35">
        <v>15.420189496347502</v>
      </c>
      <c r="O19" s="35">
        <v>15.423852260765045</v>
      </c>
      <c r="P19" s="35">
        <v>15.427515895200639</v>
      </c>
      <c r="Q19" s="35">
        <v>15.431180399860935</v>
      </c>
      <c r="R19" s="35">
        <v>15.434845774952642</v>
      </c>
      <c r="S19" s="35">
        <v>15.438512020682511</v>
      </c>
      <c r="T19" s="35">
        <v>15.44217913725735</v>
      </c>
      <c r="U19" s="35">
        <v>15.445847124884004</v>
      </c>
      <c r="V19" s="35">
        <v>15.449515983769381</v>
      </c>
      <c r="W19" s="35">
        <v>15.453185714120425</v>
      </c>
      <c r="X19" s="35">
        <v>15.456856316144142</v>
      </c>
      <c r="Y19" s="35">
        <v>15.460527790047577</v>
      </c>
      <c r="Z19" s="35">
        <v>15.464200136037828</v>
      </c>
      <c r="AA19" s="35">
        <v>15.467873354322045</v>
      </c>
      <c r="AB19" s="35">
        <v>15.47154744510742</v>
      </c>
      <c r="AC19" s="35">
        <v>15.475222408601205</v>
      </c>
      <c r="AD19" s="35">
        <v>15.478898245010688</v>
      </c>
      <c r="AE19" s="35">
        <v>15.482574954543216</v>
      </c>
      <c r="AF19" s="35">
        <v>15.48625253740618</v>
      </c>
      <c r="AG19" s="35">
        <v>15.489930993807027</v>
      </c>
      <c r="AH19" s="35">
        <v>15.493610323953245</v>
      </c>
      <c r="AI19" s="35">
        <v>15.497290528052378</v>
      </c>
      <c r="AJ19" s="35">
        <v>15.500971606312017</v>
      </c>
      <c r="AK19" s="35">
        <v>15.504653558939799</v>
      </c>
      <c r="AL19" s="35">
        <v>15.508336386143412</v>
      </c>
      <c r="AM19" s="35">
        <v>15.512020088130596</v>
      </c>
      <c r="AN19" s="35">
        <v>15.515704665109139</v>
      </c>
      <c r="AO19" s="35">
        <v>15.51939011728688</v>
      </c>
      <c r="AP19" s="35">
        <v>15.523076444871702</v>
      </c>
      <c r="AQ19" s="35">
        <v>15.526763648071544</v>
      </c>
      <c r="AR19" s="35">
        <v>15.530451727094388</v>
      </c>
      <c r="AS19" s="35">
        <v>15.534140682148269</v>
      </c>
      <c r="AT19" s="35">
        <v>15.537830513441275</v>
      </c>
      <c r="AU19" s="35">
        <v>15.541521221181538</v>
      </c>
      <c r="AV19" s="35">
        <v>15.545212805577238</v>
      </c>
      <c r="AW19" s="35">
        <v>15.548905266836607</v>
      </c>
      <c r="AX19" s="35">
        <v>15.552598605167931</v>
      </c>
      <c r="AY19" s="35">
        <v>15.556292820779538</v>
      </c>
      <c r="AZ19" s="35">
        <v>15.559987913879809</v>
      </c>
      <c r="BA19" s="35">
        <v>15.563683884677175</v>
      </c>
      <c r="BB19" s="35">
        <v>15.567380733380118</v>
      </c>
      <c r="BC19" s="35">
        <v>15.571078460197162</v>
      </c>
      <c r="BD19" s="35">
        <v>15.574777065336892</v>
      </c>
      <c r="BE19" s="35">
        <v>15.578476549007933</v>
      </c>
      <c r="BF19" s="35">
        <v>15.582176911418964</v>
      </c>
      <c r="BG19" s="35">
        <v>15.58587815277871</v>
      </c>
      <c r="BH19" s="35">
        <v>15.589580273295951</v>
      </c>
    </row>
    <row r="20" spans="1:62" ht="21" customHeight="1" x14ac:dyDescent="0.25">
      <c r="A20" s="34" t="s">
        <v>103</v>
      </c>
      <c r="B20" s="35">
        <v>30.752608219178082</v>
      </c>
      <c r="C20" s="35">
        <v>30.759912899782595</v>
      </c>
      <c r="D20" s="35">
        <v>30.767219315471117</v>
      </c>
      <c r="E20" s="35">
        <v>30.77452746665578</v>
      </c>
      <c r="F20" s="35">
        <v>30.78183735374882</v>
      </c>
      <c r="G20" s="35">
        <v>30.789148977162565</v>
      </c>
      <c r="H20" s="35">
        <v>30.79646233730945</v>
      </c>
      <c r="I20" s="35">
        <v>30.803777434601997</v>
      </c>
      <c r="J20" s="35">
        <v>30.811094269452834</v>
      </c>
      <c r="K20" s="35">
        <v>30.818412842274682</v>
      </c>
      <c r="L20" s="35">
        <v>30.825733153480368</v>
      </c>
      <c r="M20" s="35">
        <v>30.833055203482804</v>
      </c>
      <c r="N20" s="35">
        <v>30.840378992695005</v>
      </c>
      <c r="O20" s="35">
        <v>30.84770452153009</v>
      </c>
      <c r="P20" s="35">
        <v>30.855031790401277</v>
      </c>
      <c r="Q20" s="35">
        <v>30.86236079972187</v>
      </c>
      <c r="R20" s="35">
        <v>30.869691549905284</v>
      </c>
      <c r="S20" s="35">
        <v>30.877024041365022</v>
      </c>
      <c r="T20" s="35">
        <v>30.8843582745147</v>
      </c>
      <c r="U20" s="35">
        <v>30.891694249768008</v>
      </c>
      <c r="V20" s="35">
        <v>30.899031967538761</v>
      </c>
      <c r="W20" s="35">
        <v>30.906371428240849</v>
      </c>
      <c r="X20" s="35">
        <v>30.913712632288284</v>
      </c>
      <c r="Y20" s="35">
        <v>30.921055580095153</v>
      </c>
      <c r="Z20" s="35">
        <v>30.928400272075656</v>
      </c>
      <c r="AA20" s="35">
        <v>30.935746708644089</v>
      </c>
      <c r="AB20" s="35">
        <v>30.943094890214841</v>
      </c>
      <c r="AC20" s="35">
        <v>30.95044481720241</v>
      </c>
      <c r="AD20" s="35">
        <v>30.957796490021376</v>
      </c>
      <c r="AE20" s="35">
        <v>30.965149909086431</v>
      </c>
      <c r="AF20" s="35">
        <v>30.972505074812361</v>
      </c>
      <c r="AG20" s="35">
        <v>30.979861987614054</v>
      </c>
      <c r="AH20" s="35">
        <v>30.98722064790649</v>
      </c>
      <c r="AI20" s="35">
        <v>30.994581056104757</v>
      </c>
      <c r="AJ20" s="35">
        <v>31.001943212624035</v>
      </c>
      <c r="AK20" s="35">
        <v>31.009307117879597</v>
      </c>
      <c r="AL20" s="35">
        <v>31.016672772286825</v>
      </c>
      <c r="AM20" s="35">
        <v>31.024040176261192</v>
      </c>
      <c r="AN20" s="35">
        <v>31.031409330218278</v>
      </c>
      <c r="AO20" s="35">
        <v>31.03878023457376</v>
      </c>
      <c r="AP20" s="35">
        <v>31.046152889743404</v>
      </c>
      <c r="AQ20" s="35">
        <v>31.053527296143088</v>
      </c>
      <c r="AR20" s="35">
        <v>31.060903454188775</v>
      </c>
      <c r="AS20" s="35">
        <v>31.068281364296539</v>
      </c>
      <c r="AT20" s="35">
        <v>31.07566102688255</v>
      </c>
      <c r="AU20" s="35">
        <v>31.083042442363077</v>
      </c>
      <c r="AV20" s="35">
        <v>31.090425611154476</v>
      </c>
      <c r="AW20" s="35">
        <v>31.097810533673215</v>
      </c>
      <c r="AX20" s="35">
        <v>31.105197210335863</v>
      </c>
      <c r="AY20" s="35">
        <v>31.112585641559075</v>
      </c>
      <c r="AZ20" s="35">
        <v>31.119975827759617</v>
      </c>
      <c r="BA20" s="35">
        <v>31.12736776935435</v>
      </c>
      <c r="BB20" s="35">
        <v>31.134761466760235</v>
      </c>
      <c r="BC20" s="35">
        <v>31.142156920394324</v>
      </c>
      <c r="BD20" s="35">
        <v>31.149554130673785</v>
      </c>
      <c r="BE20" s="35">
        <v>31.156953098015865</v>
      </c>
      <c r="BF20" s="35">
        <v>31.164353822837928</v>
      </c>
      <c r="BG20" s="35">
        <v>31.17175630555742</v>
      </c>
      <c r="BH20" s="35">
        <v>31.179160546591902</v>
      </c>
    </row>
    <row r="21" spans="1:62" ht="21" customHeight="1" x14ac:dyDescent="0.25">
      <c r="A21" s="34" t="s">
        <v>104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5">
        <v>0</v>
      </c>
      <c r="AW21" s="35">
        <v>0</v>
      </c>
      <c r="AX21" s="35">
        <v>0</v>
      </c>
      <c r="AY21" s="35">
        <v>0</v>
      </c>
      <c r="AZ21" s="35">
        <v>0</v>
      </c>
      <c r="BA21" s="35">
        <v>0</v>
      </c>
      <c r="BB21" s="35">
        <v>0</v>
      </c>
      <c r="BC21" s="35">
        <v>0</v>
      </c>
      <c r="BD21" s="35">
        <v>0</v>
      </c>
      <c r="BE21" s="35">
        <v>0</v>
      </c>
      <c r="BF21" s="35">
        <v>0</v>
      </c>
      <c r="BG21" s="35">
        <v>0</v>
      </c>
      <c r="BH21" s="35">
        <v>0</v>
      </c>
    </row>
    <row r="22" spans="1:62" ht="21" customHeight="1" x14ac:dyDescent="0.25">
      <c r="A22" s="36" t="s">
        <v>105</v>
      </c>
      <c r="B22" s="37">
        <v>133.31042103234398</v>
      </c>
      <c r="C22" s="37">
        <v>133.34208631549507</v>
      </c>
      <c r="D22" s="37">
        <v>133.37375912011481</v>
      </c>
      <c r="E22" s="37">
        <v>133.40543944798983</v>
      </c>
      <c r="F22" s="37">
        <v>133.43712730090709</v>
      </c>
      <c r="G22" s="37">
        <v>133.46882268065409</v>
      </c>
      <c r="H22" s="37">
        <v>133.50052558901859</v>
      </c>
      <c r="I22" s="37">
        <v>133.53223602778891</v>
      </c>
      <c r="J22" s="37">
        <v>133.56395399875376</v>
      </c>
      <c r="K22" s="37">
        <v>133.59567950370223</v>
      </c>
      <c r="L22" s="37">
        <v>133.62741254442395</v>
      </c>
      <c r="M22" s="37">
        <v>133.6591531227088</v>
      </c>
      <c r="N22" s="37">
        <v>133.69090124034724</v>
      </c>
      <c r="O22" s="37">
        <v>133.72265689913007</v>
      </c>
      <c r="P22" s="37">
        <v>133.75442010084853</v>
      </c>
      <c r="Q22" s="37">
        <v>133.78619084729434</v>
      </c>
      <c r="R22" s="37">
        <v>133.81796914025952</v>
      </c>
      <c r="S22" s="37">
        <v>133.84975498153673</v>
      </c>
      <c r="T22" s="37">
        <v>133.88154837291881</v>
      </c>
      <c r="U22" s="37">
        <v>133.9133493161992</v>
      </c>
      <c r="V22" s="37">
        <v>133.94515781317165</v>
      </c>
      <c r="W22" s="37">
        <v>133.97697386563047</v>
      </c>
      <c r="X22" s="37">
        <v>134.00879747537022</v>
      </c>
      <c r="Y22" s="37">
        <v>134.04062864418609</v>
      </c>
      <c r="Z22" s="37">
        <v>134.07246737387351</v>
      </c>
      <c r="AA22" s="37">
        <v>134.10431366622848</v>
      </c>
      <c r="AB22" s="37">
        <v>134.13616752304728</v>
      </c>
      <c r="AC22" s="37">
        <v>134.16802894612681</v>
      </c>
      <c r="AD22" s="37">
        <v>134.19989793726418</v>
      </c>
      <c r="AE22" s="37">
        <v>134.2317744982571</v>
      </c>
      <c r="AF22" s="37">
        <v>134.26365863090362</v>
      </c>
      <c r="AG22" s="37">
        <v>134.29555033700223</v>
      </c>
      <c r="AH22" s="37">
        <v>134.32744961835186</v>
      </c>
      <c r="AI22" s="37">
        <v>134.35935647675188</v>
      </c>
      <c r="AJ22" s="37">
        <v>134.39127091400206</v>
      </c>
      <c r="AK22" s="37">
        <v>134.42319293190263</v>
      </c>
      <c r="AL22" s="37">
        <v>134.45512253225419</v>
      </c>
      <c r="AM22" s="37">
        <v>134.4870597168578</v>
      </c>
      <c r="AN22" s="37">
        <v>134.51900448751496</v>
      </c>
      <c r="AO22" s="37">
        <v>134.55095684602762</v>
      </c>
      <c r="AP22" s="37">
        <v>134.5829167941981</v>
      </c>
      <c r="AQ22" s="37">
        <v>134.61488433382917</v>
      </c>
      <c r="AR22" s="37">
        <v>134.64685946672404</v>
      </c>
      <c r="AS22" s="37">
        <v>134.6788421946863</v>
      </c>
      <c r="AT22" s="37">
        <v>134.7108325195201</v>
      </c>
      <c r="AU22" s="37">
        <v>134.74283044302987</v>
      </c>
      <c r="AV22" s="37">
        <v>134.77483596702052</v>
      </c>
      <c r="AW22" s="37">
        <v>134.80684909329744</v>
      </c>
      <c r="AX22" s="37">
        <v>134.83886982366636</v>
      </c>
      <c r="AY22" s="37">
        <v>134.87089815993346</v>
      </c>
      <c r="AZ22" s="37">
        <v>134.90293410390544</v>
      </c>
      <c r="BA22" s="37">
        <v>134.93497765738934</v>
      </c>
      <c r="BB22" s="37">
        <v>134.96702882219265</v>
      </c>
      <c r="BC22" s="37">
        <v>134.99908760012323</v>
      </c>
      <c r="BD22" s="37">
        <v>135.03115399298957</v>
      </c>
      <c r="BE22" s="37">
        <v>135.06322800260028</v>
      </c>
      <c r="BF22" s="37">
        <v>135.09530963076475</v>
      </c>
      <c r="BG22" s="37">
        <v>135.12739887929243</v>
      </c>
      <c r="BH22" s="37">
        <v>135.15949574999348</v>
      </c>
    </row>
    <row r="23" spans="1:62" ht="24" customHeight="1" x14ac:dyDescent="0.25">
      <c r="A23" s="38" t="s">
        <v>106</v>
      </c>
      <c r="B23" s="39">
        <v>561368.41042103234</v>
      </c>
      <c r="C23" s="39">
        <v>561501.75250734785</v>
      </c>
      <c r="D23" s="39">
        <v>561635.12626646797</v>
      </c>
      <c r="E23" s="39">
        <v>561768.53170591593</v>
      </c>
      <c r="F23" s="39">
        <v>561901.96883321682</v>
      </c>
      <c r="G23" s="39">
        <v>562035.43765589746</v>
      </c>
      <c r="H23" s="39">
        <v>562168.93818148645</v>
      </c>
      <c r="I23" s="39">
        <v>562302.47041751421</v>
      </c>
      <c r="J23" s="39">
        <v>562436.03437151294</v>
      </c>
      <c r="K23" s="39">
        <v>562569.63005101669</v>
      </c>
      <c r="L23" s="39">
        <v>562703.25746356114</v>
      </c>
      <c r="M23" s="39">
        <v>562836.91661668383</v>
      </c>
      <c r="N23" s="39">
        <v>562970.60751792416</v>
      </c>
      <c r="O23" s="39">
        <v>563104.33017482329</v>
      </c>
      <c r="P23" s="39">
        <v>563238.08459492412</v>
      </c>
      <c r="Q23" s="39">
        <v>563371.8707857714</v>
      </c>
      <c r="R23" s="39">
        <v>563505.68875491165</v>
      </c>
      <c r="S23" s="39">
        <v>563639.53850989323</v>
      </c>
      <c r="T23" s="39">
        <v>563773.42005826614</v>
      </c>
      <c r="U23" s="39">
        <v>563907.33340758237</v>
      </c>
      <c r="V23" s="39">
        <v>564041.27856539551</v>
      </c>
      <c r="W23" s="39">
        <v>564175.25553926115</v>
      </c>
      <c r="X23" s="39">
        <v>564309.26433673652</v>
      </c>
      <c r="Y23" s="39">
        <v>564443.3049653807</v>
      </c>
      <c r="Z23" s="39">
        <v>564577.37743275461</v>
      </c>
      <c r="AA23" s="39">
        <v>564711.48174642085</v>
      </c>
      <c r="AB23" s="39">
        <v>564845.61791394395</v>
      </c>
      <c r="AC23" s="39">
        <v>564979.7859428901</v>
      </c>
      <c r="AD23" s="39">
        <v>565113.98584082734</v>
      </c>
      <c r="AE23" s="39">
        <v>565248.21761532559</v>
      </c>
      <c r="AF23" s="39">
        <v>565382.48127395648</v>
      </c>
      <c r="AG23" s="39">
        <v>565516.77682429343</v>
      </c>
      <c r="AH23" s="39">
        <v>565651.1042739118</v>
      </c>
      <c r="AI23" s="39">
        <v>565785.46363038861</v>
      </c>
      <c r="AJ23" s="39">
        <v>565919.85490130261</v>
      </c>
      <c r="AK23" s="39">
        <v>566054.27809423453</v>
      </c>
      <c r="AL23" s="39">
        <v>566188.73321676673</v>
      </c>
      <c r="AM23" s="39">
        <v>566323.22027648357</v>
      </c>
      <c r="AN23" s="39">
        <v>566457.73928097112</v>
      </c>
      <c r="AO23" s="39">
        <v>566592.2902378171</v>
      </c>
      <c r="AP23" s="39">
        <v>566726.87315461133</v>
      </c>
      <c r="AQ23" s="39">
        <v>566861.48803894513</v>
      </c>
      <c r="AR23" s="39">
        <v>566996.13489841181</v>
      </c>
      <c r="AS23" s="39">
        <v>567130.81374060654</v>
      </c>
      <c r="AT23" s="39">
        <v>567265.52457312611</v>
      </c>
      <c r="AU23" s="39">
        <v>567400.26740356919</v>
      </c>
      <c r="AV23" s="39">
        <v>567535.04223953618</v>
      </c>
      <c r="AW23" s="39">
        <v>567669.84908862947</v>
      </c>
      <c r="AX23" s="39">
        <v>567804.68795845308</v>
      </c>
      <c r="AY23" s="39">
        <v>567939.558856613</v>
      </c>
      <c r="AZ23" s="39">
        <v>568074.46179071686</v>
      </c>
      <c r="BA23" s="39">
        <v>568209.39676837425</v>
      </c>
      <c r="BB23" s="39">
        <v>568344.36379719642</v>
      </c>
      <c r="BC23" s="39">
        <v>568479.36288479657</v>
      </c>
      <c r="BD23" s="39">
        <v>568614.39403878956</v>
      </c>
      <c r="BE23" s="39">
        <v>568749.45726679219</v>
      </c>
      <c r="BF23" s="39">
        <v>568884.55257642292</v>
      </c>
      <c r="BG23" s="39">
        <v>569019.67997530219</v>
      </c>
      <c r="BH23" s="39">
        <v>569154.83947105217</v>
      </c>
    </row>
    <row r="24" spans="1:62" ht="24" customHeight="1" x14ac:dyDescent="0.25">
      <c r="A24" s="19" t="s">
        <v>107</v>
      </c>
      <c r="B24" s="20">
        <v>1.0002375304414004</v>
      </c>
      <c r="C24" s="20">
        <v>1.0004751173035114</v>
      </c>
      <c r="D24" s="20">
        <v>1.0007127605997344</v>
      </c>
      <c r="E24" s="20">
        <v>1.0009504603434745</v>
      </c>
      <c r="F24" s="20">
        <v>1.0011882165481396</v>
      </c>
      <c r="G24" s="20">
        <v>1.0014260292271411</v>
      </c>
      <c r="H24" s="20">
        <v>1.0016638983938932</v>
      </c>
      <c r="I24" s="20">
        <v>1.0019018240618134</v>
      </c>
      <c r="J24" s="20">
        <v>1.0021398062443225</v>
      </c>
      <c r="K24" s="20">
        <v>1.0023778449548446</v>
      </c>
      <c r="L24" s="20">
        <v>1.0026159402068067</v>
      </c>
      <c r="M24" s="20">
        <v>1.0028540920136388</v>
      </c>
      <c r="N24" s="20">
        <v>1.0030923003887751</v>
      </c>
      <c r="O24" s="20">
        <v>1.0033305653456517</v>
      </c>
      <c r="P24" s="20">
        <v>1.0035688868977086</v>
      </c>
      <c r="Q24" s="20">
        <v>1.0038072650583889</v>
      </c>
      <c r="R24" s="20">
        <v>1.0040456998411391</v>
      </c>
      <c r="S24" s="20">
        <v>1.0042841912594085</v>
      </c>
      <c r="T24" s="20">
        <v>1.0045227393266496</v>
      </c>
      <c r="U24" s="20">
        <v>1.0047613440563186</v>
      </c>
      <c r="V24" s="20">
        <v>1.0050000054618742</v>
      </c>
      <c r="W24" s="20">
        <v>1.005238723556779</v>
      </c>
      <c r="X24" s="20">
        <v>1.0054774983544981</v>
      </c>
      <c r="Y24" s="20">
        <v>1.0057163298685003</v>
      </c>
      <c r="Z24" s="20">
        <v>1.0059552181122575</v>
      </c>
      <c r="AA24" s="20">
        <v>1.0061941630992446</v>
      </c>
      <c r="AB24" s="20">
        <v>1.0064331648429401</v>
      </c>
      <c r="AC24" s="20">
        <v>1.0066722233568253</v>
      </c>
      <c r="AD24" s="20">
        <v>1.0069113386543844</v>
      </c>
      <c r="AE24" s="20">
        <v>1.0071505107491061</v>
      </c>
      <c r="AF24" s="20">
        <v>1.0073897396544809</v>
      </c>
      <c r="AG24" s="20">
        <v>1.007629025384003</v>
      </c>
      <c r="AH24" s="20">
        <v>1.0078683679511702</v>
      </c>
      <c r="AI24" s="20">
        <v>1.0081077673694832</v>
      </c>
      <c r="AJ24" s="20">
        <v>1.0083472236524456</v>
      </c>
      <c r="AK24" s="20">
        <v>1.0085867368135646</v>
      </c>
      <c r="AL24" s="20">
        <v>1.0088263068663503</v>
      </c>
      <c r="AM24" s="20">
        <v>1.0090659338243164</v>
      </c>
      <c r="AN24" s="20">
        <v>1.0093056177009798</v>
      </c>
      <c r="AO24" s="20">
        <v>1.0095453585098599</v>
      </c>
      <c r="AP24" s="20">
        <v>1.0097851562644806</v>
      </c>
      <c r="AQ24" s="20">
        <v>1.0100250109783675</v>
      </c>
      <c r="AR24" s="20">
        <v>1.0102649226650504</v>
      </c>
      <c r="AS24" s="20">
        <v>1.0105048913380623</v>
      </c>
      <c r="AT24" s="20">
        <v>1.010744917010939</v>
      </c>
      <c r="AU24" s="20">
        <v>1.01098499969722</v>
      </c>
      <c r="AV24" s="20">
        <v>1.011225139410447</v>
      </c>
      <c r="AW24" s="20">
        <v>1.0114653361641663</v>
      </c>
      <c r="AX24" s="20">
        <v>1.0117055899719265</v>
      </c>
      <c r="AY24" s="20">
        <v>1.0119459008472795</v>
      </c>
      <c r="AZ24" s="20">
        <v>1.012186268803781</v>
      </c>
      <c r="BA24" s="20">
        <v>1.0124266938549893</v>
      </c>
      <c r="BB24" s="20">
        <v>1.0126671760144661</v>
      </c>
      <c r="BC24" s="20">
        <v>1.0129077152957764</v>
      </c>
      <c r="BD24" s="20">
        <v>1.0131483117124884</v>
      </c>
      <c r="BE24" s="20">
        <v>1.0133889652781736</v>
      </c>
      <c r="BF24" s="20">
        <v>1.0136296760064061</v>
      </c>
      <c r="BG24" s="20">
        <v>1.0138704439107644</v>
      </c>
      <c r="BH24" s="20">
        <v>1.0141112690048291</v>
      </c>
    </row>
    <row r="25" spans="1:62" x14ac:dyDescent="0.25">
      <c r="L25" s="55">
        <f>+L24-K24</f>
        <v>2.3809525196205605E-4</v>
      </c>
      <c r="M25" s="55">
        <f t="shared" ref="M25:N25" si="0">+M24-L24</f>
        <v>2.381518068321764E-4</v>
      </c>
      <c r="N25" s="55">
        <f t="shared" si="0"/>
        <v>2.382083751362174E-4</v>
      </c>
    </row>
    <row r="27" spans="1:62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</row>
    <row r="28" spans="1:62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</row>
    <row r="29" spans="1:62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</row>
    <row r="32" spans="1:62" ht="21" customHeight="1" x14ac:dyDescent="0.25">
      <c r="A32" s="28" t="s">
        <v>93</v>
      </c>
      <c r="B32" s="41">
        <v>621235.10555351956</v>
      </c>
      <c r="C32" s="22">
        <f>+B62</f>
        <v>621429.52825070405</v>
      </c>
      <c r="D32" s="22">
        <f t="shared" ref="D32:BH32" si="1">+C62</f>
        <v>621624.01179471577</v>
      </c>
      <c r="E32" s="22">
        <f t="shared" si="1"/>
        <v>621818.55620459758</v>
      </c>
      <c r="F32" s="22">
        <f t="shared" si="1"/>
        <v>622013.16149939806</v>
      </c>
      <c r="G32" s="22">
        <f t="shared" si="1"/>
        <v>622207.82769817184</v>
      </c>
      <c r="H32" s="22">
        <f t="shared" si="1"/>
        <v>622402.55481997959</v>
      </c>
      <c r="I32" s="22">
        <f t="shared" si="1"/>
        <v>622597.34288388782</v>
      </c>
      <c r="J32" s="22">
        <f t="shared" si="1"/>
        <v>622792.19190896908</v>
      </c>
      <c r="K32" s="22">
        <f t="shared" si="1"/>
        <v>622987.10191430186</v>
      </c>
      <c r="L32" s="22">
        <f t="shared" si="1"/>
        <v>623182.07291897072</v>
      </c>
      <c r="M32" s="22">
        <f t="shared" si="1"/>
        <v>623377.10494206601</v>
      </c>
      <c r="N32" s="22">
        <f t="shared" si="1"/>
        <v>623572.19800268416</v>
      </c>
      <c r="O32" s="22">
        <f t="shared" si="1"/>
        <v>623767.35211992764</v>
      </c>
      <c r="P32" s="22">
        <f t="shared" si="1"/>
        <v>623962.56731290475</v>
      </c>
      <c r="Q32" s="22">
        <f t="shared" si="1"/>
        <v>624157.84360072983</v>
      </c>
      <c r="R32" s="22">
        <f t="shared" si="1"/>
        <v>624353.18100252328</v>
      </c>
      <c r="S32" s="22">
        <f t="shared" si="1"/>
        <v>624548.57953741134</v>
      </c>
      <c r="T32" s="22">
        <f t="shared" si="1"/>
        <v>624744.03922452638</v>
      </c>
      <c r="U32" s="22">
        <f t="shared" si="1"/>
        <v>624939.56008300674</v>
      </c>
      <c r="V32" s="22">
        <f t="shared" si="1"/>
        <v>625135.14213199669</v>
      </c>
      <c r="W32" s="22">
        <f t="shared" si="1"/>
        <v>625330.78539064643</v>
      </c>
      <c r="X32" s="22">
        <f t="shared" si="1"/>
        <v>625526.48987811222</v>
      </c>
      <c r="Y32" s="22">
        <f t="shared" si="1"/>
        <v>625722.25561355636</v>
      </c>
      <c r="Z32" s="22">
        <f t="shared" si="1"/>
        <v>625918.08261614724</v>
      </c>
      <c r="AA32" s="22">
        <f t="shared" si="1"/>
        <v>626113.9709050589</v>
      </c>
      <c r="AB32" s="22">
        <f t="shared" si="1"/>
        <v>626309.92049947171</v>
      </c>
      <c r="AC32" s="22">
        <f t="shared" si="1"/>
        <v>626505.93141857197</v>
      </c>
      <c r="AD32" s="22">
        <f t="shared" si="1"/>
        <v>626702.0036815519</v>
      </c>
      <c r="AE32" s="22">
        <f t="shared" si="1"/>
        <v>626898.13730760978</v>
      </c>
      <c r="AF32" s="22">
        <f t="shared" si="1"/>
        <v>627094.33231594996</v>
      </c>
      <c r="AG32" s="22">
        <f t="shared" si="1"/>
        <v>627290.58872578258</v>
      </c>
      <c r="AH32" s="22">
        <f t="shared" si="1"/>
        <v>627486.9065563241</v>
      </c>
      <c r="AI32" s="22">
        <f t="shared" si="1"/>
        <v>627683.28582679678</v>
      </c>
      <c r="AJ32" s="22">
        <f t="shared" si="1"/>
        <v>627879.72655642894</v>
      </c>
      <c r="AK32" s="22">
        <f t="shared" si="1"/>
        <v>628076.22876445495</v>
      </c>
      <c r="AL32" s="22">
        <f t="shared" si="1"/>
        <v>628272.79247011524</v>
      </c>
      <c r="AM32" s="22">
        <f t="shared" si="1"/>
        <v>628469.41769265605</v>
      </c>
      <c r="AN32" s="22">
        <f t="shared" si="1"/>
        <v>628666.10445132991</v>
      </c>
      <c r="AO32" s="22">
        <f t="shared" si="1"/>
        <v>628862.85276539531</v>
      </c>
      <c r="AP32" s="22">
        <f t="shared" si="1"/>
        <v>629059.66265411663</v>
      </c>
      <c r="AQ32" s="22">
        <f t="shared" si="1"/>
        <v>629256.53413676436</v>
      </c>
      <c r="AR32" s="22">
        <f t="shared" si="1"/>
        <v>629453.4672326151</v>
      </c>
      <c r="AS32" s="22">
        <f t="shared" si="1"/>
        <v>629650.46196095133</v>
      </c>
      <c r="AT32" s="22">
        <f t="shared" si="1"/>
        <v>629847.51834106178</v>
      </c>
      <c r="AU32" s="22">
        <f t="shared" si="1"/>
        <v>630044.63639224099</v>
      </c>
      <c r="AV32" s="22">
        <f t="shared" si="1"/>
        <v>630241.8161337896</v>
      </c>
      <c r="AW32" s="22">
        <f t="shared" si="1"/>
        <v>630439.05758501438</v>
      </c>
      <c r="AX32" s="22">
        <f t="shared" si="1"/>
        <v>630636.36076522805</v>
      </c>
      <c r="AY32" s="22">
        <f t="shared" si="1"/>
        <v>630833.7256937495</v>
      </c>
      <c r="AZ32" s="22">
        <f t="shared" si="1"/>
        <v>631031.15238990344</v>
      </c>
      <c r="BA32" s="22">
        <f t="shared" si="1"/>
        <v>631228.64087302086</v>
      </c>
      <c r="BB32" s="22">
        <f t="shared" si="1"/>
        <v>631426.19116243871</v>
      </c>
      <c r="BC32" s="22">
        <f t="shared" si="1"/>
        <v>631623.80327749997</v>
      </c>
      <c r="BD32" s="22">
        <f t="shared" si="1"/>
        <v>631821.47723755368</v>
      </c>
      <c r="BE32" s="22">
        <f t="shared" si="1"/>
        <v>632019.21306195494</v>
      </c>
      <c r="BF32" s="22">
        <f t="shared" si="1"/>
        <v>632217.0107700649</v>
      </c>
      <c r="BG32" s="22">
        <f t="shared" si="1"/>
        <v>632414.87038125074</v>
      </c>
      <c r="BH32" s="22">
        <f t="shared" si="1"/>
        <v>632612.79191488575</v>
      </c>
      <c r="BJ32" s="22"/>
    </row>
    <row r="33" spans="1:64" ht="21" customHeight="1" x14ac:dyDescent="0.25">
      <c r="A33" s="30" t="s">
        <v>94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</row>
    <row r="34" spans="1:64" ht="21" customHeight="1" x14ac:dyDescent="0.25">
      <c r="A34" s="32" t="s">
        <v>95</v>
      </c>
      <c r="B34" s="33">
        <f>+B32+B33</f>
        <v>621235.10555351956</v>
      </c>
      <c r="C34" s="33">
        <f>+C32+C33</f>
        <v>621429.52825070405</v>
      </c>
      <c r="D34" s="33">
        <f t="shared" ref="D34:BH34" si="2">+D32+D33</f>
        <v>621624.01179471577</v>
      </c>
      <c r="E34" s="33">
        <f t="shared" si="2"/>
        <v>621818.55620459758</v>
      </c>
      <c r="F34" s="33">
        <f t="shared" si="2"/>
        <v>622013.16149939806</v>
      </c>
      <c r="G34" s="33">
        <f t="shared" si="2"/>
        <v>622207.82769817184</v>
      </c>
      <c r="H34" s="33">
        <f t="shared" si="2"/>
        <v>622402.55481997959</v>
      </c>
      <c r="I34" s="33">
        <f t="shared" si="2"/>
        <v>622597.34288388782</v>
      </c>
      <c r="J34" s="33">
        <f t="shared" si="2"/>
        <v>622792.19190896908</v>
      </c>
      <c r="K34" s="33">
        <f t="shared" si="2"/>
        <v>622987.10191430186</v>
      </c>
      <c r="L34" s="33">
        <f t="shared" si="2"/>
        <v>623182.07291897072</v>
      </c>
      <c r="M34" s="33">
        <f t="shared" si="2"/>
        <v>623377.10494206601</v>
      </c>
      <c r="N34" s="33">
        <f t="shared" si="2"/>
        <v>623572.19800268416</v>
      </c>
      <c r="O34" s="33">
        <f t="shared" si="2"/>
        <v>623767.35211992764</v>
      </c>
      <c r="P34" s="33">
        <f t="shared" si="2"/>
        <v>623962.56731290475</v>
      </c>
      <c r="Q34" s="33">
        <f t="shared" si="2"/>
        <v>624157.84360072983</v>
      </c>
      <c r="R34" s="33">
        <f t="shared" si="2"/>
        <v>624353.18100252328</v>
      </c>
      <c r="S34" s="33">
        <f t="shared" si="2"/>
        <v>624548.57953741134</v>
      </c>
      <c r="T34" s="33">
        <f t="shared" si="2"/>
        <v>624744.03922452638</v>
      </c>
      <c r="U34" s="33">
        <f t="shared" si="2"/>
        <v>624939.56008300674</v>
      </c>
      <c r="V34" s="33">
        <f t="shared" si="2"/>
        <v>625135.14213199669</v>
      </c>
      <c r="W34" s="33">
        <f t="shared" si="2"/>
        <v>625330.78539064643</v>
      </c>
      <c r="X34" s="33">
        <f t="shared" si="2"/>
        <v>625526.48987811222</v>
      </c>
      <c r="Y34" s="33">
        <f t="shared" si="2"/>
        <v>625722.25561355636</v>
      </c>
      <c r="Z34" s="33">
        <f t="shared" si="2"/>
        <v>625918.08261614724</v>
      </c>
      <c r="AA34" s="33">
        <f t="shared" si="2"/>
        <v>626113.9709050589</v>
      </c>
      <c r="AB34" s="33">
        <f t="shared" si="2"/>
        <v>626309.92049947171</v>
      </c>
      <c r="AC34" s="33">
        <f t="shared" si="2"/>
        <v>626505.93141857197</v>
      </c>
      <c r="AD34" s="33">
        <f t="shared" si="2"/>
        <v>626702.0036815519</v>
      </c>
      <c r="AE34" s="33">
        <f t="shared" si="2"/>
        <v>626898.13730760978</v>
      </c>
      <c r="AF34" s="33">
        <f t="shared" si="2"/>
        <v>627094.33231594996</v>
      </c>
      <c r="AG34" s="33">
        <f t="shared" si="2"/>
        <v>627290.58872578258</v>
      </c>
      <c r="AH34" s="33">
        <f t="shared" si="2"/>
        <v>627486.9065563241</v>
      </c>
      <c r="AI34" s="33">
        <f t="shared" si="2"/>
        <v>627683.28582679678</v>
      </c>
      <c r="AJ34" s="33">
        <f t="shared" si="2"/>
        <v>627879.72655642894</v>
      </c>
      <c r="AK34" s="33">
        <f t="shared" si="2"/>
        <v>628076.22876445495</v>
      </c>
      <c r="AL34" s="33">
        <f t="shared" si="2"/>
        <v>628272.79247011524</v>
      </c>
      <c r="AM34" s="33">
        <f t="shared" si="2"/>
        <v>628469.41769265605</v>
      </c>
      <c r="AN34" s="33">
        <f t="shared" si="2"/>
        <v>628666.10445132991</v>
      </c>
      <c r="AO34" s="33">
        <f t="shared" si="2"/>
        <v>628862.85276539531</v>
      </c>
      <c r="AP34" s="33">
        <f t="shared" si="2"/>
        <v>629059.66265411663</v>
      </c>
      <c r="AQ34" s="33">
        <f t="shared" si="2"/>
        <v>629256.53413676436</v>
      </c>
      <c r="AR34" s="33">
        <f t="shared" si="2"/>
        <v>629453.4672326151</v>
      </c>
      <c r="AS34" s="33">
        <f t="shared" si="2"/>
        <v>629650.46196095133</v>
      </c>
      <c r="AT34" s="33">
        <f t="shared" si="2"/>
        <v>629847.51834106178</v>
      </c>
      <c r="AU34" s="33">
        <f t="shared" si="2"/>
        <v>630044.63639224099</v>
      </c>
      <c r="AV34" s="33">
        <f t="shared" si="2"/>
        <v>630241.8161337896</v>
      </c>
      <c r="AW34" s="33">
        <f t="shared" si="2"/>
        <v>630439.05758501438</v>
      </c>
      <c r="AX34" s="33">
        <f t="shared" si="2"/>
        <v>630636.36076522805</v>
      </c>
      <c r="AY34" s="33">
        <f t="shared" si="2"/>
        <v>630833.7256937495</v>
      </c>
      <c r="AZ34" s="33">
        <f t="shared" si="2"/>
        <v>631031.15238990344</v>
      </c>
      <c r="BA34" s="33">
        <f t="shared" si="2"/>
        <v>631228.64087302086</v>
      </c>
      <c r="BB34" s="33">
        <f t="shared" si="2"/>
        <v>631426.19116243871</v>
      </c>
      <c r="BC34" s="33">
        <f t="shared" si="2"/>
        <v>631623.80327749997</v>
      </c>
      <c r="BD34" s="33">
        <f t="shared" si="2"/>
        <v>631821.47723755368</v>
      </c>
      <c r="BE34" s="33">
        <f t="shared" si="2"/>
        <v>632019.21306195494</v>
      </c>
      <c r="BF34" s="33">
        <f t="shared" si="2"/>
        <v>632217.0107700649</v>
      </c>
      <c r="BG34" s="33">
        <f t="shared" si="2"/>
        <v>632414.87038125074</v>
      </c>
      <c r="BH34" s="33">
        <f t="shared" si="2"/>
        <v>632612.79191488575</v>
      </c>
    </row>
    <row r="35" spans="1:64" ht="21" customHeight="1" x14ac:dyDescent="0.25">
      <c r="A35" s="28" t="s">
        <v>96</v>
      </c>
      <c r="B35" s="41">
        <v>621232</v>
      </c>
      <c r="C35" s="33">
        <f>+B37</f>
        <v>621232</v>
      </c>
      <c r="D35" s="33">
        <f t="shared" ref="D35:BH35" si="3">+C37</f>
        <v>621232</v>
      </c>
      <c r="E35" s="33">
        <f t="shared" si="3"/>
        <v>621232</v>
      </c>
      <c r="F35" s="33">
        <f t="shared" si="3"/>
        <v>621232</v>
      </c>
      <c r="G35" s="33">
        <f t="shared" si="3"/>
        <v>621232</v>
      </c>
      <c r="H35" s="33">
        <f t="shared" si="3"/>
        <v>621232</v>
      </c>
      <c r="I35" s="33">
        <f t="shared" si="3"/>
        <v>621232</v>
      </c>
      <c r="J35" s="33">
        <f t="shared" si="3"/>
        <v>621232</v>
      </c>
      <c r="K35" s="33">
        <f t="shared" si="3"/>
        <v>621232</v>
      </c>
      <c r="L35" s="33">
        <f t="shared" si="3"/>
        <v>621232</v>
      </c>
      <c r="M35" s="33">
        <f t="shared" si="3"/>
        <v>621232</v>
      </c>
      <c r="N35" s="33">
        <f t="shared" si="3"/>
        <v>621232</v>
      </c>
      <c r="O35" s="33">
        <f t="shared" si="3"/>
        <v>621232</v>
      </c>
      <c r="P35" s="33">
        <f t="shared" si="3"/>
        <v>621232</v>
      </c>
      <c r="Q35" s="33">
        <f t="shared" si="3"/>
        <v>621232</v>
      </c>
      <c r="R35" s="33">
        <f t="shared" si="3"/>
        <v>621232</v>
      </c>
      <c r="S35" s="33">
        <f t="shared" si="3"/>
        <v>621232</v>
      </c>
      <c r="T35" s="33">
        <f t="shared" si="3"/>
        <v>621232</v>
      </c>
      <c r="U35" s="33">
        <f t="shared" si="3"/>
        <v>621232</v>
      </c>
      <c r="V35" s="33">
        <f t="shared" si="3"/>
        <v>621232</v>
      </c>
      <c r="W35" s="33">
        <f t="shared" si="3"/>
        <v>621232</v>
      </c>
      <c r="X35" s="33">
        <f t="shared" si="3"/>
        <v>621232</v>
      </c>
      <c r="Y35" s="33">
        <f t="shared" si="3"/>
        <v>621232</v>
      </c>
      <c r="Z35" s="33">
        <f t="shared" si="3"/>
        <v>621232</v>
      </c>
      <c r="AA35" s="33">
        <f t="shared" si="3"/>
        <v>621232</v>
      </c>
      <c r="AB35" s="33">
        <f t="shared" si="3"/>
        <v>621232</v>
      </c>
      <c r="AC35" s="33">
        <f t="shared" si="3"/>
        <v>621232</v>
      </c>
      <c r="AD35" s="33">
        <f t="shared" si="3"/>
        <v>621232</v>
      </c>
      <c r="AE35" s="33">
        <f t="shared" si="3"/>
        <v>621232</v>
      </c>
      <c r="AF35" s="33">
        <f t="shared" si="3"/>
        <v>621232</v>
      </c>
      <c r="AG35" s="33">
        <f t="shared" si="3"/>
        <v>621232</v>
      </c>
      <c r="AH35" s="33">
        <f t="shared" si="3"/>
        <v>621232</v>
      </c>
      <c r="AI35" s="33">
        <f t="shared" si="3"/>
        <v>621232</v>
      </c>
      <c r="AJ35" s="33">
        <f t="shared" si="3"/>
        <v>621232</v>
      </c>
      <c r="AK35" s="33">
        <f t="shared" si="3"/>
        <v>621232</v>
      </c>
      <c r="AL35" s="33">
        <f t="shared" si="3"/>
        <v>621232</v>
      </c>
      <c r="AM35" s="33">
        <f t="shared" si="3"/>
        <v>621232</v>
      </c>
      <c r="AN35" s="33">
        <f t="shared" si="3"/>
        <v>621232</v>
      </c>
      <c r="AO35" s="33">
        <f t="shared" si="3"/>
        <v>621232</v>
      </c>
      <c r="AP35" s="33">
        <f t="shared" si="3"/>
        <v>621232</v>
      </c>
      <c r="AQ35" s="33">
        <f t="shared" si="3"/>
        <v>621232</v>
      </c>
      <c r="AR35" s="33">
        <f t="shared" si="3"/>
        <v>621232</v>
      </c>
      <c r="AS35" s="33">
        <f t="shared" si="3"/>
        <v>621232</v>
      </c>
      <c r="AT35" s="33">
        <f t="shared" si="3"/>
        <v>621232</v>
      </c>
      <c r="AU35" s="33">
        <f t="shared" si="3"/>
        <v>621232</v>
      </c>
      <c r="AV35" s="33">
        <f t="shared" si="3"/>
        <v>621232</v>
      </c>
      <c r="AW35" s="33">
        <f t="shared" si="3"/>
        <v>621232</v>
      </c>
      <c r="AX35" s="33">
        <f t="shared" si="3"/>
        <v>621232</v>
      </c>
      <c r="AY35" s="33">
        <f t="shared" si="3"/>
        <v>621232</v>
      </c>
      <c r="AZ35" s="33">
        <f t="shared" si="3"/>
        <v>621232</v>
      </c>
      <c r="BA35" s="33">
        <f t="shared" si="3"/>
        <v>621232</v>
      </c>
      <c r="BB35" s="33">
        <f t="shared" si="3"/>
        <v>621232</v>
      </c>
      <c r="BC35" s="33">
        <f t="shared" si="3"/>
        <v>621232</v>
      </c>
      <c r="BD35" s="33">
        <f t="shared" si="3"/>
        <v>621232</v>
      </c>
      <c r="BE35" s="33">
        <f t="shared" si="3"/>
        <v>621232</v>
      </c>
      <c r="BF35" s="33">
        <f t="shared" si="3"/>
        <v>621232</v>
      </c>
      <c r="BG35" s="33">
        <f t="shared" si="3"/>
        <v>621232</v>
      </c>
      <c r="BH35" s="33">
        <f t="shared" si="3"/>
        <v>621232</v>
      </c>
    </row>
    <row r="36" spans="1:64" ht="21" customHeight="1" x14ac:dyDescent="0.25">
      <c r="A36" s="30" t="s">
        <v>97</v>
      </c>
      <c r="B36" s="42">
        <v>0</v>
      </c>
      <c r="C36" s="42">
        <f>INT(+C33/B$63)</f>
        <v>0</v>
      </c>
      <c r="D36" s="42">
        <f t="shared" ref="D36:BH36" si="4">INT(+D33/C$63)</f>
        <v>0</v>
      </c>
      <c r="E36" s="42">
        <f t="shared" si="4"/>
        <v>0</v>
      </c>
      <c r="F36" s="42">
        <f t="shared" si="4"/>
        <v>0</v>
      </c>
      <c r="G36" s="42">
        <f t="shared" si="4"/>
        <v>0</v>
      </c>
      <c r="H36" s="42">
        <f t="shared" si="4"/>
        <v>0</v>
      </c>
      <c r="I36" s="42">
        <f t="shared" si="4"/>
        <v>0</v>
      </c>
      <c r="J36" s="42">
        <f t="shared" si="4"/>
        <v>0</v>
      </c>
      <c r="K36" s="42">
        <f t="shared" si="4"/>
        <v>0</v>
      </c>
      <c r="L36" s="42">
        <f t="shared" si="4"/>
        <v>0</v>
      </c>
      <c r="M36" s="42">
        <f t="shared" si="4"/>
        <v>0</v>
      </c>
      <c r="N36" s="42">
        <f t="shared" si="4"/>
        <v>0</v>
      </c>
      <c r="O36" s="42">
        <f t="shared" si="4"/>
        <v>0</v>
      </c>
      <c r="P36" s="42">
        <f t="shared" si="4"/>
        <v>0</v>
      </c>
      <c r="Q36" s="42">
        <f t="shared" si="4"/>
        <v>0</v>
      </c>
      <c r="R36" s="42">
        <f t="shared" si="4"/>
        <v>0</v>
      </c>
      <c r="S36" s="42">
        <f t="shared" si="4"/>
        <v>0</v>
      </c>
      <c r="T36" s="42">
        <f t="shared" si="4"/>
        <v>0</v>
      </c>
      <c r="U36" s="42">
        <f t="shared" si="4"/>
        <v>0</v>
      </c>
      <c r="V36" s="42">
        <f t="shared" si="4"/>
        <v>0</v>
      </c>
      <c r="W36" s="42">
        <f t="shared" si="4"/>
        <v>0</v>
      </c>
      <c r="X36" s="42">
        <f t="shared" si="4"/>
        <v>0</v>
      </c>
      <c r="Y36" s="42">
        <f t="shared" si="4"/>
        <v>0</v>
      </c>
      <c r="Z36" s="42">
        <f t="shared" si="4"/>
        <v>0</v>
      </c>
      <c r="AA36" s="42">
        <f t="shared" si="4"/>
        <v>0</v>
      </c>
      <c r="AB36" s="42">
        <f t="shared" si="4"/>
        <v>0</v>
      </c>
      <c r="AC36" s="42">
        <f t="shared" si="4"/>
        <v>0</v>
      </c>
      <c r="AD36" s="42">
        <f t="shared" si="4"/>
        <v>0</v>
      </c>
      <c r="AE36" s="42">
        <f t="shared" si="4"/>
        <v>0</v>
      </c>
      <c r="AF36" s="42">
        <f t="shared" si="4"/>
        <v>0</v>
      </c>
      <c r="AG36" s="42">
        <f t="shared" si="4"/>
        <v>0</v>
      </c>
      <c r="AH36" s="42">
        <f t="shared" si="4"/>
        <v>0</v>
      </c>
      <c r="AI36" s="42">
        <f t="shared" si="4"/>
        <v>0</v>
      </c>
      <c r="AJ36" s="42">
        <f t="shared" si="4"/>
        <v>0</v>
      </c>
      <c r="AK36" s="42">
        <f t="shared" si="4"/>
        <v>0</v>
      </c>
      <c r="AL36" s="42">
        <f t="shared" si="4"/>
        <v>0</v>
      </c>
      <c r="AM36" s="42">
        <f t="shared" si="4"/>
        <v>0</v>
      </c>
      <c r="AN36" s="42">
        <f t="shared" si="4"/>
        <v>0</v>
      </c>
      <c r="AO36" s="42">
        <f t="shared" si="4"/>
        <v>0</v>
      </c>
      <c r="AP36" s="42">
        <f t="shared" si="4"/>
        <v>0</v>
      </c>
      <c r="AQ36" s="42">
        <f t="shared" si="4"/>
        <v>0</v>
      </c>
      <c r="AR36" s="42">
        <f t="shared" si="4"/>
        <v>0</v>
      </c>
      <c r="AS36" s="42">
        <f t="shared" si="4"/>
        <v>0</v>
      </c>
      <c r="AT36" s="42">
        <f t="shared" si="4"/>
        <v>0</v>
      </c>
      <c r="AU36" s="42">
        <f t="shared" si="4"/>
        <v>0</v>
      </c>
      <c r="AV36" s="42">
        <f t="shared" si="4"/>
        <v>0</v>
      </c>
      <c r="AW36" s="42">
        <f t="shared" si="4"/>
        <v>0</v>
      </c>
      <c r="AX36" s="42">
        <f t="shared" si="4"/>
        <v>0</v>
      </c>
      <c r="AY36" s="42">
        <f t="shared" si="4"/>
        <v>0</v>
      </c>
      <c r="AZ36" s="42">
        <f t="shared" si="4"/>
        <v>0</v>
      </c>
      <c r="BA36" s="42">
        <f t="shared" si="4"/>
        <v>0</v>
      </c>
      <c r="BB36" s="42">
        <f t="shared" si="4"/>
        <v>0</v>
      </c>
      <c r="BC36" s="42">
        <f t="shared" si="4"/>
        <v>0</v>
      </c>
      <c r="BD36" s="42">
        <f t="shared" si="4"/>
        <v>0</v>
      </c>
      <c r="BE36" s="42">
        <f t="shared" si="4"/>
        <v>0</v>
      </c>
      <c r="BF36" s="42">
        <f t="shared" si="4"/>
        <v>0</v>
      </c>
      <c r="BG36" s="42">
        <f t="shared" si="4"/>
        <v>0</v>
      </c>
      <c r="BH36" s="42">
        <f t="shared" si="4"/>
        <v>0</v>
      </c>
    </row>
    <row r="37" spans="1:64" ht="21" customHeight="1" x14ac:dyDescent="0.25">
      <c r="A37" s="32" t="s">
        <v>98</v>
      </c>
      <c r="B37" s="33">
        <f>+B35+B36</f>
        <v>621232</v>
      </c>
      <c r="C37" s="33">
        <f t="shared" ref="C37:BH37" si="5">+C35+C36</f>
        <v>621232</v>
      </c>
      <c r="D37" s="33">
        <f t="shared" si="5"/>
        <v>621232</v>
      </c>
      <c r="E37" s="33">
        <f t="shared" si="5"/>
        <v>621232</v>
      </c>
      <c r="F37" s="33">
        <f t="shared" si="5"/>
        <v>621232</v>
      </c>
      <c r="G37" s="33">
        <f t="shared" si="5"/>
        <v>621232</v>
      </c>
      <c r="H37" s="33">
        <f t="shared" si="5"/>
        <v>621232</v>
      </c>
      <c r="I37" s="33">
        <f t="shared" si="5"/>
        <v>621232</v>
      </c>
      <c r="J37" s="33">
        <f t="shared" si="5"/>
        <v>621232</v>
      </c>
      <c r="K37" s="33">
        <f t="shared" si="5"/>
        <v>621232</v>
      </c>
      <c r="L37" s="33">
        <f t="shared" si="5"/>
        <v>621232</v>
      </c>
      <c r="M37" s="33">
        <f t="shared" si="5"/>
        <v>621232</v>
      </c>
      <c r="N37" s="33">
        <f t="shared" si="5"/>
        <v>621232</v>
      </c>
      <c r="O37" s="33">
        <f t="shared" si="5"/>
        <v>621232</v>
      </c>
      <c r="P37" s="33">
        <f t="shared" si="5"/>
        <v>621232</v>
      </c>
      <c r="Q37" s="33">
        <f t="shared" si="5"/>
        <v>621232</v>
      </c>
      <c r="R37" s="33">
        <f t="shared" si="5"/>
        <v>621232</v>
      </c>
      <c r="S37" s="33">
        <f t="shared" si="5"/>
        <v>621232</v>
      </c>
      <c r="T37" s="33">
        <f t="shared" si="5"/>
        <v>621232</v>
      </c>
      <c r="U37" s="33">
        <f t="shared" si="5"/>
        <v>621232</v>
      </c>
      <c r="V37" s="33">
        <f t="shared" si="5"/>
        <v>621232</v>
      </c>
      <c r="W37" s="33">
        <f t="shared" si="5"/>
        <v>621232</v>
      </c>
      <c r="X37" s="33">
        <f t="shared" si="5"/>
        <v>621232</v>
      </c>
      <c r="Y37" s="33">
        <f t="shared" si="5"/>
        <v>621232</v>
      </c>
      <c r="Z37" s="33">
        <f t="shared" si="5"/>
        <v>621232</v>
      </c>
      <c r="AA37" s="33">
        <f t="shared" si="5"/>
        <v>621232</v>
      </c>
      <c r="AB37" s="33">
        <f t="shared" si="5"/>
        <v>621232</v>
      </c>
      <c r="AC37" s="33">
        <f t="shared" si="5"/>
        <v>621232</v>
      </c>
      <c r="AD37" s="33">
        <f t="shared" si="5"/>
        <v>621232</v>
      </c>
      <c r="AE37" s="33">
        <f t="shared" si="5"/>
        <v>621232</v>
      </c>
      <c r="AF37" s="33">
        <f t="shared" si="5"/>
        <v>621232</v>
      </c>
      <c r="AG37" s="33">
        <f t="shared" si="5"/>
        <v>621232</v>
      </c>
      <c r="AH37" s="33">
        <f t="shared" si="5"/>
        <v>621232</v>
      </c>
      <c r="AI37" s="33">
        <f t="shared" si="5"/>
        <v>621232</v>
      </c>
      <c r="AJ37" s="33">
        <f t="shared" si="5"/>
        <v>621232</v>
      </c>
      <c r="AK37" s="33">
        <f t="shared" si="5"/>
        <v>621232</v>
      </c>
      <c r="AL37" s="33">
        <f t="shared" si="5"/>
        <v>621232</v>
      </c>
      <c r="AM37" s="33">
        <f t="shared" si="5"/>
        <v>621232</v>
      </c>
      <c r="AN37" s="33">
        <f t="shared" si="5"/>
        <v>621232</v>
      </c>
      <c r="AO37" s="33">
        <f t="shared" si="5"/>
        <v>621232</v>
      </c>
      <c r="AP37" s="33">
        <f t="shared" si="5"/>
        <v>621232</v>
      </c>
      <c r="AQ37" s="33">
        <f t="shared" si="5"/>
        <v>621232</v>
      </c>
      <c r="AR37" s="33">
        <f t="shared" si="5"/>
        <v>621232</v>
      </c>
      <c r="AS37" s="33">
        <f t="shared" si="5"/>
        <v>621232</v>
      </c>
      <c r="AT37" s="33">
        <f t="shared" si="5"/>
        <v>621232</v>
      </c>
      <c r="AU37" s="33">
        <f t="shared" si="5"/>
        <v>621232</v>
      </c>
      <c r="AV37" s="33">
        <f t="shared" si="5"/>
        <v>621232</v>
      </c>
      <c r="AW37" s="33">
        <f t="shared" si="5"/>
        <v>621232</v>
      </c>
      <c r="AX37" s="33">
        <f t="shared" si="5"/>
        <v>621232</v>
      </c>
      <c r="AY37" s="33">
        <f t="shared" si="5"/>
        <v>621232</v>
      </c>
      <c r="AZ37" s="33">
        <f t="shared" si="5"/>
        <v>621232</v>
      </c>
      <c r="BA37" s="33">
        <f t="shared" si="5"/>
        <v>621232</v>
      </c>
      <c r="BB37" s="33">
        <f t="shared" si="5"/>
        <v>621232</v>
      </c>
      <c r="BC37" s="33">
        <f t="shared" si="5"/>
        <v>621232</v>
      </c>
      <c r="BD37" s="33">
        <f t="shared" si="5"/>
        <v>621232</v>
      </c>
      <c r="BE37" s="33">
        <f t="shared" si="5"/>
        <v>621232</v>
      </c>
      <c r="BF37" s="33">
        <f t="shared" si="5"/>
        <v>621232</v>
      </c>
      <c r="BG37" s="33">
        <f t="shared" si="5"/>
        <v>621232</v>
      </c>
      <c r="BH37" s="33">
        <f t="shared" si="5"/>
        <v>621232</v>
      </c>
    </row>
    <row r="38" spans="1:64" ht="24" customHeight="1" x14ac:dyDescent="0.25">
      <c r="A38" s="28" t="s">
        <v>99</v>
      </c>
      <c r="B38" s="43">
        <v>1</v>
      </c>
      <c r="C38" s="20">
        <f>+B63</f>
        <v>1.0003179621312233</v>
      </c>
      <c r="D38" s="20">
        <f t="shared" ref="D38:BH38" si="6">+C63</f>
        <v>1.0006310231841176</v>
      </c>
      <c r="E38" s="20">
        <f t="shared" si="6"/>
        <v>1.0009441822130825</v>
      </c>
      <c r="F38" s="20">
        <f t="shared" si="6"/>
        <v>1.0012574392487799</v>
      </c>
      <c r="G38" s="20">
        <f t="shared" si="6"/>
        <v>1.0015707943218828</v>
      </c>
      <c r="H38" s="20">
        <f t="shared" si="6"/>
        <v>1.0018842474630727</v>
      </c>
      <c r="I38" s="20">
        <f t="shared" si="6"/>
        <v>1.0021977987030415</v>
      </c>
      <c r="J38" s="20">
        <f t="shared" si="6"/>
        <v>1.0025114480724899</v>
      </c>
      <c r="K38" s="20">
        <f t="shared" si="6"/>
        <v>1.002825195602129</v>
      </c>
      <c r="L38" s="20">
        <f t="shared" si="6"/>
        <v>1.0031390413226793</v>
      </c>
      <c r="M38" s="20">
        <f t="shared" si="6"/>
        <v>1.0034529852648704</v>
      </c>
      <c r="N38" s="20">
        <f t="shared" si="6"/>
        <v>1.0037670274594421</v>
      </c>
      <c r="O38" s="20">
        <f t="shared" si="6"/>
        <v>1.0040811679371437</v>
      </c>
      <c r="P38" s="20">
        <f t="shared" si="6"/>
        <v>1.0043954067287337</v>
      </c>
      <c r="Q38" s="20">
        <f t="shared" si="6"/>
        <v>1.004709743864981</v>
      </c>
      <c r="R38" s="20">
        <f t="shared" si="6"/>
        <v>1.0050241793766632</v>
      </c>
      <c r="S38" s="20">
        <f t="shared" si="6"/>
        <v>1.0053387132945684</v>
      </c>
      <c r="T38" s="20">
        <f t="shared" si="6"/>
        <v>1.0056533456494938</v>
      </c>
      <c r="U38" s="20">
        <f t="shared" si="6"/>
        <v>1.0059680764722467</v>
      </c>
      <c r="V38" s="20">
        <f t="shared" si="6"/>
        <v>1.0062829057936433</v>
      </c>
      <c r="W38" s="20">
        <f t="shared" si="6"/>
        <v>1.0065978336445103</v>
      </c>
      <c r="X38" s="20">
        <f t="shared" si="6"/>
        <v>1.0069128600556831</v>
      </c>
      <c r="Y38" s="20">
        <f t="shared" si="6"/>
        <v>1.0072279850580079</v>
      </c>
      <c r="Z38" s="20">
        <f t="shared" si="6"/>
        <v>1.0075432086823397</v>
      </c>
      <c r="AA38" s="20">
        <f t="shared" si="6"/>
        <v>1.0078585309595431</v>
      </c>
      <c r="AB38" s="20">
        <f t="shared" si="6"/>
        <v>1.0081739519204931</v>
      </c>
      <c r="AC38" s="20">
        <f t="shared" si="6"/>
        <v>1.0084894715960735</v>
      </c>
      <c r="AD38" s="20">
        <f t="shared" si="6"/>
        <v>1.0088050900171786</v>
      </c>
      <c r="AE38" s="20">
        <f t="shared" si="6"/>
        <v>1.0091208072147118</v>
      </c>
      <c r="AF38" s="20">
        <f t="shared" si="6"/>
        <v>1.0094366232195862</v>
      </c>
      <c r="AG38" s="20">
        <f t="shared" si="6"/>
        <v>1.0097525380627246</v>
      </c>
      <c r="AH38" s="20">
        <f t="shared" si="6"/>
        <v>1.0100685517750601</v>
      </c>
      <c r="AI38" s="20">
        <f t="shared" si="6"/>
        <v>1.0103846643875345</v>
      </c>
      <c r="AJ38" s="20">
        <f t="shared" si="6"/>
        <v>1.0107008759310998</v>
      </c>
      <c r="AK38" s="20">
        <f t="shared" si="6"/>
        <v>1.0110171864367177</v>
      </c>
      <c r="AL38" s="20">
        <f t="shared" si="6"/>
        <v>1.0113335959353595</v>
      </c>
      <c r="AM38" s="20">
        <f t="shared" si="6"/>
        <v>1.0116501044580062</v>
      </c>
      <c r="AN38" s="20">
        <f t="shared" si="6"/>
        <v>1.0119667120356484</v>
      </c>
      <c r="AO38" s="20">
        <f t="shared" si="6"/>
        <v>1.0122834186992868</v>
      </c>
      <c r="AP38" s="20">
        <f t="shared" si="6"/>
        <v>1.0126002244799313</v>
      </c>
      <c r="AQ38" s="20">
        <f t="shared" si="6"/>
        <v>1.0129171294086015</v>
      </c>
      <c r="AR38" s="20">
        <f t="shared" si="6"/>
        <v>1.0132341335163273</v>
      </c>
      <c r="AS38" s="20">
        <f t="shared" si="6"/>
        <v>1.0135512368341479</v>
      </c>
      <c r="AT38" s="20">
        <f t="shared" si="6"/>
        <v>1.0138684393931121</v>
      </c>
      <c r="AU38" s="20">
        <f t="shared" si="6"/>
        <v>1.0141857412242785</v>
      </c>
      <c r="AV38" s="20">
        <f t="shared" si="6"/>
        <v>1.0145031423587156</v>
      </c>
      <c r="AW38" s="20">
        <f t="shared" si="6"/>
        <v>1.0148206428275015</v>
      </c>
      <c r="AX38" s="20">
        <f t="shared" si="6"/>
        <v>1.0151382426617239</v>
      </c>
      <c r="AY38" s="20">
        <f t="shared" si="6"/>
        <v>1.0154559418924807</v>
      </c>
      <c r="AZ38" s="20">
        <f t="shared" si="6"/>
        <v>1.0157737405508787</v>
      </c>
      <c r="BA38" s="20">
        <f t="shared" si="6"/>
        <v>1.0160916386680352</v>
      </c>
      <c r="BB38" s="20">
        <f t="shared" si="6"/>
        <v>1.0164096362750772</v>
      </c>
      <c r="BC38" s="20">
        <f t="shared" si="6"/>
        <v>1.0167277334031408</v>
      </c>
      <c r="BD38" s="20">
        <f t="shared" si="6"/>
        <v>1.0170459300833725</v>
      </c>
      <c r="BE38" s="20">
        <f t="shared" si="6"/>
        <v>1.0173642263469282</v>
      </c>
      <c r="BF38" s="20">
        <f t="shared" si="6"/>
        <v>1.0176826222249737</v>
      </c>
      <c r="BG38" s="20">
        <f t="shared" si="6"/>
        <v>1.0180011177486845</v>
      </c>
      <c r="BH38" s="20">
        <f t="shared" si="6"/>
        <v>1.0183197129492456</v>
      </c>
    </row>
    <row r="39" spans="1:64" s="45" customFormat="1" ht="24" customHeight="1" x14ac:dyDescent="0.25">
      <c r="A39" s="44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</row>
    <row r="40" spans="1:64" s="45" customFormat="1" ht="24" customHeight="1" x14ac:dyDescent="0.25">
      <c r="A40" s="28" t="s">
        <v>283</v>
      </c>
      <c r="B40" s="46">
        <v>0.11423096318599132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</row>
    <row r="41" spans="1:64" s="45" customFormat="1" ht="24" customHeight="1" x14ac:dyDescent="0.25">
      <c r="A41" s="47" t="s">
        <v>275</v>
      </c>
      <c r="B41" s="48">
        <f>+B40/365</f>
        <v>3.1296154297531868E-4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</row>
    <row r="42" spans="1:64" s="45" customFormat="1" ht="24" customHeight="1" x14ac:dyDescent="0.25">
      <c r="A42" s="47" t="s">
        <v>274</v>
      </c>
      <c r="B42" s="49">
        <f>+$B$41*B$32</f>
        <v>194.42269718446445</v>
      </c>
      <c r="C42" s="49">
        <f t="shared" ref="C42:BH42" si="7">+$B$41*C$32</f>
        <v>194.48354401176474</v>
      </c>
      <c r="D42" s="49">
        <f t="shared" si="7"/>
        <v>194.54440988178195</v>
      </c>
      <c r="E42" s="49">
        <f t="shared" si="7"/>
        <v>194.60529480047578</v>
      </c>
      <c r="F42" s="49">
        <f t="shared" si="7"/>
        <v>194.66619877380771</v>
      </c>
      <c r="G42" s="49">
        <f t="shared" si="7"/>
        <v>194.7271218077411</v>
      </c>
      <c r="H42" s="49">
        <f t="shared" si="7"/>
        <v>194.78806390824118</v>
      </c>
      <c r="I42" s="49">
        <f t="shared" si="7"/>
        <v>194.84902508127507</v>
      </c>
      <c r="J42" s="49">
        <f t="shared" si="7"/>
        <v>194.91000533281175</v>
      </c>
      <c r="K42" s="49">
        <f t="shared" si="7"/>
        <v>194.97100466882202</v>
      </c>
      <c r="L42" s="49">
        <f t="shared" si="7"/>
        <v>195.03202309527865</v>
      </c>
      <c r="M42" s="49">
        <f t="shared" si="7"/>
        <v>195.09306061815613</v>
      </c>
      <c r="N42" s="49">
        <f t="shared" si="7"/>
        <v>195.15411724343096</v>
      </c>
      <c r="O42" s="49">
        <f t="shared" si="7"/>
        <v>195.21519297708147</v>
      </c>
      <c r="P42" s="49">
        <f t="shared" si="7"/>
        <v>195.27628782508782</v>
      </c>
      <c r="Q42" s="49">
        <f t="shared" si="7"/>
        <v>195.33740179343204</v>
      </c>
      <c r="R42" s="49">
        <f t="shared" si="7"/>
        <v>195.39853488809811</v>
      </c>
      <c r="S42" s="49">
        <f t="shared" si="7"/>
        <v>195.4596871150718</v>
      </c>
      <c r="T42" s="49">
        <f t="shared" si="7"/>
        <v>195.52085848034079</v>
      </c>
      <c r="U42" s="49">
        <f t="shared" si="7"/>
        <v>195.58204898989467</v>
      </c>
      <c r="V42" s="49">
        <f t="shared" si="7"/>
        <v>195.64325864972483</v>
      </c>
      <c r="W42" s="49">
        <f t="shared" si="7"/>
        <v>195.70448746582457</v>
      </c>
      <c r="X42" s="49">
        <f t="shared" si="7"/>
        <v>195.76573544418906</v>
      </c>
      <c r="Y42" s="49">
        <f t="shared" si="7"/>
        <v>195.82700259081537</v>
      </c>
      <c r="Z42" s="49">
        <f t="shared" si="7"/>
        <v>195.88828891170243</v>
      </c>
      <c r="AA42" s="49">
        <f t="shared" si="7"/>
        <v>195.94959441285101</v>
      </c>
      <c r="AB42" s="49">
        <f t="shared" si="7"/>
        <v>196.01091910026383</v>
      </c>
      <c r="AC42" s="49">
        <f t="shared" si="7"/>
        <v>196.07226297994546</v>
      </c>
      <c r="AD42" s="49">
        <f t="shared" si="7"/>
        <v>196.13362605790232</v>
      </c>
      <c r="AE42" s="49">
        <f t="shared" si="7"/>
        <v>196.19500834014275</v>
      </c>
      <c r="AF42" s="49">
        <f t="shared" si="7"/>
        <v>196.25640983267695</v>
      </c>
      <c r="AG42" s="49">
        <f t="shared" si="7"/>
        <v>196.31783054151697</v>
      </c>
      <c r="AH42" s="49">
        <f t="shared" si="7"/>
        <v>196.37927047267681</v>
      </c>
      <c r="AI42" s="49">
        <f t="shared" si="7"/>
        <v>196.44072963217229</v>
      </c>
      <c r="AJ42" s="49">
        <f t="shared" si="7"/>
        <v>196.50220802602118</v>
      </c>
      <c r="AK42" s="49">
        <f t="shared" si="7"/>
        <v>196.56370566024304</v>
      </c>
      <c r="AL42" s="49">
        <f t="shared" si="7"/>
        <v>196.62522254085945</v>
      </c>
      <c r="AM42" s="49">
        <f t="shared" si="7"/>
        <v>196.68675867389368</v>
      </c>
      <c r="AN42" s="49">
        <f t="shared" si="7"/>
        <v>196.74831406537106</v>
      </c>
      <c r="AO42" s="49">
        <f t="shared" si="7"/>
        <v>196.80988872131877</v>
      </c>
      <c r="AP42" s="49">
        <f t="shared" si="7"/>
        <v>196.87148264776579</v>
      </c>
      <c r="AQ42" s="49">
        <f t="shared" si="7"/>
        <v>196.93309585074306</v>
      </c>
      <c r="AR42" s="49">
        <f t="shared" si="7"/>
        <v>196.99472833628343</v>
      </c>
      <c r="AS42" s="49">
        <f t="shared" si="7"/>
        <v>197.05638011042154</v>
      </c>
      <c r="AT42" s="49">
        <f t="shared" si="7"/>
        <v>197.11805117919403</v>
      </c>
      <c r="AU42" s="49">
        <f t="shared" si="7"/>
        <v>197.17974154863936</v>
      </c>
      <c r="AV42" s="49">
        <f t="shared" si="7"/>
        <v>197.24145122479788</v>
      </c>
      <c r="AW42" s="49">
        <f t="shared" si="7"/>
        <v>197.3031802137119</v>
      </c>
      <c r="AX42" s="49">
        <f t="shared" si="7"/>
        <v>197.3649285214255</v>
      </c>
      <c r="AY42" s="49">
        <f t="shared" si="7"/>
        <v>197.42669615398478</v>
      </c>
      <c r="AZ42" s="49">
        <f t="shared" si="7"/>
        <v>197.48848311743762</v>
      </c>
      <c r="BA42" s="49">
        <f t="shared" si="7"/>
        <v>197.55028941783391</v>
      </c>
      <c r="BB42" s="49">
        <f t="shared" si="7"/>
        <v>197.61211506122535</v>
      </c>
      <c r="BC42" s="49">
        <f t="shared" si="7"/>
        <v>197.67396005366555</v>
      </c>
      <c r="BD42" s="49">
        <f t="shared" si="7"/>
        <v>197.73582440120998</v>
      </c>
      <c r="BE42" s="49">
        <f t="shared" si="7"/>
        <v>197.7977081099161</v>
      </c>
      <c r="BF42" s="49">
        <f t="shared" si="7"/>
        <v>197.85961118584316</v>
      </c>
      <c r="BG42" s="49">
        <f t="shared" si="7"/>
        <v>197.92153363505238</v>
      </c>
      <c r="BH42" s="49">
        <f t="shared" si="7"/>
        <v>197.98347546360685</v>
      </c>
      <c r="BJ42" s="22">
        <f>SUM(B42:BI42)</f>
        <v>11575.669836829926</v>
      </c>
      <c r="BL42" s="22">
        <f>+BJ42-BJ60</f>
        <v>-3.3651303965598345E-9</v>
      </c>
    </row>
    <row r="43" spans="1:64" ht="20.100000000000001" hidden="1" customHeight="1" outlineLevel="1" x14ac:dyDescent="0.25">
      <c r="A43" s="58" t="s">
        <v>213</v>
      </c>
      <c r="B43" s="50">
        <v>16.937463000000001</v>
      </c>
      <c r="C43" s="50">
        <v>16.937463000000001</v>
      </c>
      <c r="D43" s="50">
        <v>16.937463000000001</v>
      </c>
      <c r="E43" s="50">
        <v>16.937463000000001</v>
      </c>
      <c r="F43" s="50">
        <v>16.937463000000001</v>
      </c>
      <c r="G43" s="50">
        <v>16.937463000000001</v>
      </c>
      <c r="H43" s="50">
        <v>16.937463000000001</v>
      </c>
      <c r="I43" s="50">
        <v>16.937463000000001</v>
      </c>
      <c r="J43" s="50">
        <v>16.937463000000001</v>
      </c>
      <c r="K43" s="50">
        <v>16.937463000000001</v>
      </c>
      <c r="L43" s="50">
        <v>16.937463000000001</v>
      </c>
      <c r="M43" s="50">
        <v>16.937463000000001</v>
      </c>
      <c r="N43" s="50">
        <v>16.937463000000001</v>
      </c>
      <c r="O43" s="50">
        <v>16.937463000000001</v>
      </c>
      <c r="P43" s="50">
        <v>16.937463000000001</v>
      </c>
      <c r="Q43" s="50">
        <v>16.937463000000001</v>
      </c>
      <c r="R43" s="50">
        <v>16.937463000000001</v>
      </c>
      <c r="S43" s="50">
        <v>16.937463000000001</v>
      </c>
      <c r="T43" s="50">
        <v>16.937463000000001</v>
      </c>
      <c r="U43" s="50">
        <v>16.937463000000001</v>
      </c>
      <c r="V43" s="50">
        <v>16.937463000000001</v>
      </c>
      <c r="W43" s="50">
        <v>16.937463000000001</v>
      </c>
      <c r="X43" s="50">
        <v>16.937463000000001</v>
      </c>
      <c r="Y43" s="50">
        <v>16.937463000000001</v>
      </c>
      <c r="Z43" s="50">
        <v>16.937463000000001</v>
      </c>
      <c r="AA43" s="50">
        <v>16.937463000000001</v>
      </c>
      <c r="AB43" s="50">
        <v>16.937463000000001</v>
      </c>
      <c r="AC43" s="50">
        <v>16.937463000000001</v>
      </c>
      <c r="AD43" s="50">
        <v>16.937463000000001</v>
      </c>
      <c r="AE43" s="50">
        <v>16.937463000000001</v>
      </c>
      <c r="AF43" s="50">
        <v>16.937463000000001</v>
      </c>
      <c r="AG43" s="50">
        <v>16.937463000000001</v>
      </c>
      <c r="AH43" s="50">
        <v>16.937463000000001</v>
      </c>
      <c r="AI43" s="50">
        <v>16.937463000000001</v>
      </c>
      <c r="AJ43" s="50">
        <v>16.937463000000001</v>
      </c>
      <c r="AK43" s="50">
        <v>16.937463000000001</v>
      </c>
      <c r="AL43" s="50">
        <v>16.937463000000001</v>
      </c>
      <c r="AM43" s="50">
        <v>16.937463000000001</v>
      </c>
      <c r="AN43" s="50">
        <v>16.937463000000001</v>
      </c>
      <c r="AO43" s="50">
        <v>16.937463000000001</v>
      </c>
      <c r="AP43" s="50">
        <v>16.937463000000001</v>
      </c>
      <c r="AQ43" s="50">
        <v>16.937463000000001</v>
      </c>
      <c r="AR43" s="50">
        <v>16.937463000000001</v>
      </c>
      <c r="AS43" s="50">
        <v>16.937463000000001</v>
      </c>
      <c r="AT43" s="50">
        <v>16.937463000000001</v>
      </c>
      <c r="AU43" s="50">
        <v>16.937463000000001</v>
      </c>
      <c r="AV43" s="50">
        <v>16.937463000000001</v>
      </c>
      <c r="AW43" s="50">
        <v>16.937463000000001</v>
      </c>
      <c r="AX43" s="50">
        <v>16.937463000000001</v>
      </c>
      <c r="AY43" s="50">
        <v>16.937463000000001</v>
      </c>
      <c r="AZ43" s="50">
        <v>16.937463000000001</v>
      </c>
      <c r="BA43" s="50">
        <v>16.937463000000001</v>
      </c>
      <c r="BB43" s="50">
        <v>16.937463000000001</v>
      </c>
      <c r="BC43" s="50">
        <v>16.937463000000001</v>
      </c>
      <c r="BD43" s="50">
        <v>16.937463000000001</v>
      </c>
      <c r="BE43" s="50">
        <v>16.937463000000001</v>
      </c>
      <c r="BF43" s="50">
        <v>16.937463000000001</v>
      </c>
      <c r="BG43" s="50">
        <v>16.937463000000001</v>
      </c>
      <c r="BH43" s="50">
        <v>16.937463000000001</v>
      </c>
      <c r="BI43" s="50"/>
      <c r="BJ43" s="50"/>
    </row>
    <row r="44" spans="1:64" ht="20.100000000000001" hidden="1" customHeight="1" outlineLevel="1" x14ac:dyDescent="0.25">
      <c r="A44" s="58" t="s">
        <v>214</v>
      </c>
      <c r="B44" s="50">
        <v>6.9863010000000001</v>
      </c>
      <c r="C44" s="50">
        <v>6.9863010000000001</v>
      </c>
      <c r="D44" s="50">
        <v>6.9863010000000001</v>
      </c>
      <c r="E44" s="50">
        <v>6.9863010000000001</v>
      </c>
      <c r="F44" s="50">
        <v>6.9863010000000001</v>
      </c>
      <c r="G44" s="50">
        <v>6.9863010000000001</v>
      </c>
      <c r="H44" s="50">
        <v>6.9863010000000001</v>
      </c>
      <c r="I44" s="50">
        <v>6.9863010000000001</v>
      </c>
      <c r="J44" s="50">
        <v>6.9863010000000001</v>
      </c>
      <c r="K44" s="50">
        <v>6.9863010000000001</v>
      </c>
      <c r="L44" s="50">
        <v>6.9863010000000001</v>
      </c>
      <c r="M44" s="50">
        <v>6.9863010000000001</v>
      </c>
      <c r="N44" s="50">
        <v>6.9863010000000001</v>
      </c>
      <c r="O44" s="50">
        <v>6.9863010000000001</v>
      </c>
      <c r="P44" s="50">
        <v>6.9863010000000001</v>
      </c>
      <c r="Q44" s="50">
        <v>6.9863010000000001</v>
      </c>
      <c r="R44" s="50">
        <v>6.9863010000000001</v>
      </c>
      <c r="S44" s="50">
        <v>6.9863010000000001</v>
      </c>
      <c r="T44" s="50">
        <v>6.9863010000000001</v>
      </c>
      <c r="U44" s="50">
        <v>6.9863010000000001</v>
      </c>
      <c r="V44" s="50">
        <v>6.9863010000000001</v>
      </c>
      <c r="W44" s="50">
        <v>6.9863010000000001</v>
      </c>
      <c r="X44" s="50">
        <v>6.9863010000000001</v>
      </c>
      <c r="Y44" s="50">
        <v>6.9863010000000001</v>
      </c>
      <c r="Z44" s="50">
        <v>6.9863010000000001</v>
      </c>
      <c r="AA44" s="50">
        <v>6.9863010000000001</v>
      </c>
      <c r="AB44" s="50">
        <v>6.9863010000000001</v>
      </c>
      <c r="AC44" s="50">
        <v>6.9863010000000001</v>
      </c>
      <c r="AD44" s="50">
        <v>6.9863010000000001</v>
      </c>
      <c r="AE44" s="50">
        <v>6.9863010000000001</v>
      </c>
      <c r="AF44" s="50">
        <v>6.9863010000000001</v>
      </c>
      <c r="AG44" s="50">
        <v>6.9863010000000001</v>
      </c>
      <c r="AH44" s="50">
        <v>6.9863010000000001</v>
      </c>
      <c r="AI44" s="50">
        <v>6.9863010000000001</v>
      </c>
      <c r="AJ44" s="50">
        <v>6.9863010000000001</v>
      </c>
      <c r="AK44" s="50">
        <v>6.9863010000000001</v>
      </c>
      <c r="AL44" s="50">
        <v>6.9863010000000001</v>
      </c>
      <c r="AM44" s="50">
        <v>6.9863010000000001</v>
      </c>
      <c r="AN44" s="50">
        <v>6.9863010000000001</v>
      </c>
      <c r="AO44" s="50">
        <v>6.9863010000000001</v>
      </c>
      <c r="AP44" s="50">
        <v>6.9863010000000001</v>
      </c>
      <c r="AQ44" s="50">
        <v>6.9863010000000001</v>
      </c>
      <c r="AR44" s="50">
        <v>6.9863010000000001</v>
      </c>
      <c r="AS44" s="50">
        <v>6.9863010000000001</v>
      </c>
      <c r="AT44" s="50">
        <v>6.9863010000000001</v>
      </c>
      <c r="AU44" s="50">
        <v>6.9863010000000001</v>
      </c>
      <c r="AV44" s="50">
        <v>6.9863010000000001</v>
      </c>
      <c r="AW44" s="50">
        <v>6.9863010000000001</v>
      </c>
      <c r="AX44" s="50">
        <v>6.9863010000000001</v>
      </c>
      <c r="AY44" s="50">
        <v>6.9863010000000001</v>
      </c>
      <c r="AZ44" s="50">
        <v>6.9863010000000001</v>
      </c>
      <c r="BA44" s="50">
        <v>6.9863010000000001</v>
      </c>
      <c r="BB44" s="50">
        <v>6.9863010000000001</v>
      </c>
      <c r="BC44" s="50">
        <v>6.9863010000000001</v>
      </c>
      <c r="BD44" s="50">
        <v>6.9863010000000001</v>
      </c>
      <c r="BE44" s="50">
        <v>6.9863010000000001</v>
      </c>
      <c r="BF44" s="50">
        <v>6.9863010000000001</v>
      </c>
      <c r="BG44" s="50">
        <v>6.9863010000000001</v>
      </c>
      <c r="BH44" s="50">
        <v>6.9863010000000001</v>
      </c>
      <c r="BI44" s="50"/>
      <c r="BJ44" s="50"/>
    </row>
    <row r="45" spans="1:64" ht="20.100000000000001" hidden="1" customHeight="1" outlineLevel="1" x14ac:dyDescent="0.25">
      <c r="A45" s="58" t="s">
        <v>215</v>
      </c>
      <c r="B45" s="50">
        <v>20.842466000000002</v>
      </c>
      <c r="C45" s="50">
        <v>20.842466000000002</v>
      </c>
      <c r="D45" s="50">
        <v>20.842466000000002</v>
      </c>
      <c r="E45" s="50">
        <v>20.842466000000002</v>
      </c>
      <c r="F45" s="50">
        <v>20.842466000000002</v>
      </c>
      <c r="G45" s="50">
        <v>20.842466000000002</v>
      </c>
      <c r="H45" s="50">
        <v>20.842466000000002</v>
      </c>
      <c r="I45" s="50">
        <v>20.842466000000002</v>
      </c>
      <c r="J45" s="50">
        <v>20.842466000000002</v>
      </c>
      <c r="K45" s="50">
        <v>20.842466000000002</v>
      </c>
      <c r="L45" s="50">
        <v>20.842466000000002</v>
      </c>
      <c r="M45" s="50">
        <v>20.842466000000002</v>
      </c>
      <c r="N45" s="50">
        <v>20.842466000000002</v>
      </c>
      <c r="O45" s="50">
        <v>20.842466000000002</v>
      </c>
      <c r="P45" s="50">
        <v>20.842466000000002</v>
      </c>
      <c r="Q45" s="50">
        <v>20.842466000000002</v>
      </c>
      <c r="R45" s="50">
        <v>20.842466000000002</v>
      </c>
      <c r="S45" s="50">
        <v>20.842466000000002</v>
      </c>
      <c r="T45" s="50">
        <v>20.842466000000002</v>
      </c>
      <c r="U45" s="50">
        <v>20.842466000000002</v>
      </c>
      <c r="V45" s="50">
        <v>20.842466000000002</v>
      </c>
      <c r="W45" s="50">
        <v>20.842466000000002</v>
      </c>
      <c r="X45" s="50">
        <v>20.842466000000002</v>
      </c>
      <c r="Y45" s="50">
        <v>20.842466000000002</v>
      </c>
      <c r="Z45" s="50">
        <v>20.842466000000002</v>
      </c>
      <c r="AA45" s="50">
        <v>20.842466000000002</v>
      </c>
      <c r="AB45" s="50">
        <v>20.842466000000002</v>
      </c>
      <c r="AC45" s="50">
        <v>20.842466000000002</v>
      </c>
      <c r="AD45" s="50">
        <v>20.842466000000002</v>
      </c>
      <c r="AE45" s="50">
        <v>20.842466000000002</v>
      </c>
      <c r="AF45" s="50">
        <v>20.842466000000002</v>
      </c>
      <c r="AG45" s="50">
        <v>20.842466000000002</v>
      </c>
      <c r="AH45" s="50">
        <v>20.842466000000002</v>
      </c>
      <c r="AI45" s="50">
        <v>20.842466000000002</v>
      </c>
      <c r="AJ45" s="50">
        <v>20.842466000000002</v>
      </c>
      <c r="AK45" s="50">
        <v>20.842466000000002</v>
      </c>
      <c r="AL45" s="50">
        <v>20.842466000000002</v>
      </c>
      <c r="AM45" s="50">
        <v>20.842466000000002</v>
      </c>
      <c r="AN45" s="50">
        <v>20.842466000000002</v>
      </c>
      <c r="AO45" s="50">
        <v>20.842466000000002</v>
      </c>
      <c r="AP45" s="50">
        <v>20.842466000000002</v>
      </c>
      <c r="AQ45" s="50">
        <v>20.842466000000002</v>
      </c>
      <c r="AR45" s="50">
        <v>20.842466000000002</v>
      </c>
      <c r="AS45" s="50">
        <v>20.842466000000002</v>
      </c>
      <c r="AT45" s="50">
        <v>20.842466000000002</v>
      </c>
      <c r="AU45" s="50">
        <v>20.842466000000002</v>
      </c>
      <c r="AV45" s="50">
        <v>20.842466000000002</v>
      </c>
      <c r="AW45" s="50">
        <v>20.842466000000002</v>
      </c>
      <c r="AX45" s="50">
        <v>20.842466000000002</v>
      </c>
      <c r="AY45" s="50">
        <v>20.842466000000002</v>
      </c>
      <c r="AZ45" s="50">
        <v>20.842466000000002</v>
      </c>
      <c r="BA45" s="50">
        <v>20.842466000000002</v>
      </c>
      <c r="BB45" s="50">
        <v>20.842466000000002</v>
      </c>
      <c r="BC45" s="50">
        <v>20.842466000000002</v>
      </c>
      <c r="BD45" s="50">
        <v>20.842466000000002</v>
      </c>
      <c r="BE45" s="50">
        <v>20.842466000000002</v>
      </c>
      <c r="BF45" s="50">
        <v>20.842466000000002</v>
      </c>
      <c r="BG45" s="50">
        <v>20.842466000000002</v>
      </c>
      <c r="BH45" s="50">
        <v>20.842466000000002</v>
      </c>
      <c r="BI45" s="50"/>
      <c r="BJ45" s="50"/>
    </row>
    <row r="46" spans="1:64" ht="20.100000000000001" hidden="1" customHeight="1" outlineLevel="1" x14ac:dyDescent="0.25">
      <c r="A46" s="58" t="s">
        <v>216</v>
      </c>
      <c r="B46" s="50">
        <v>12.981156</v>
      </c>
      <c r="C46" s="50">
        <v>12.981156</v>
      </c>
      <c r="D46" s="50">
        <v>12.981156</v>
      </c>
      <c r="E46" s="50">
        <v>12.981156</v>
      </c>
      <c r="F46" s="50">
        <v>12.981156</v>
      </c>
      <c r="G46" s="50">
        <v>12.981156</v>
      </c>
      <c r="H46" s="50">
        <v>12.981156</v>
      </c>
      <c r="I46" s="50">
        <v>12.981156</v>
      </c>
      <c r="J46" s="50">
        <v>12.981156</v>
      </c>
      <c r="K46" s="50">
        <v>12.981156</v>
      </c>
      <c r="L46" s="50">
        <v>12.981156</v>
      </c>
      <c r="M46" s="50">
        <v>12.981156</v>
      </c>
      <c r="N46" s="50">
        <v>12.981156</v>
      </c>
      <c r="O46" s="50">
        <v>12.981156</v>
      </c>
      <c r="P46" s="50">
        <v>12.981156</v>
      </c>
      <c r="Q46" s="50">
        <v>12.981156</v>
      </c>
      <c r="R46" s="50">
        <v>12.981156</v>
      </c>
      <c r="S46" s="50">
        <v>12.981156</v>
      </c>
      <c r="T46" s="50">
        <v>12.981156</v>
      </c>
      <c r="U46" s="50">
        <v>12.981156</v>
      </c>
      <c r="V46" s="50">
        <v>12.981156</v>
      </c>
      <c r="W46" s="50">
        <v>12.981156</v>
      </c>
      <c r="X46" s="50">
        <v>12.981156</v>
      </c>
      <c r="Y46" s="50">
        <v>12.981156</v>
      </c>
      <c r="Z46" s="50">
        <v>12.981156</v>
      </c>
      <c r="AA46" s="50">
        <v>12.981156</v>
      </c>
      <c r="AB46" s="50">
        <v>12.981156</v>
      </c>
      <c r="AC46" s="50">
        <v>12.981156</v>
      </c>
      <c r="AD46" s="50">
        <v>12.981156</v>
      </c>
      <c r="AE46" s="50">
        <v>12.981156</v>
      </c>
      <c r="AF46" s="50">
        <v>12.981156</v>
      </c>
      <c r="AG46" s="50">
        <v>12.981156</v>
      </c>
      <c r="AH46" s="50">
        <v>12.981156</v>
      </c>
      <c r="AI46" s="50">
        <v>12.981156</v>
      </c>
      <c r="AJ46" s="50">
        <v>12.981156</v>
      </c>
      <c r="AK46" s="50">
        <v>12.981156</v>
      </c>
      <c r="AL46" s="50">
        <v>12.981156</v>
      </c>
      <c r="AM46" s="50">
        <v>12.981156</v>
      </c>
      <c r="AN46" s="50">
        <v>12.981156</v>
      </c>
      <c r="AO46" s="50">
        <v>12.981156</v>
      </c>
      <c r="AP46" s="50">
        <v>12.981156</v>
      </c>
      <c r="AQ46" s="50">
        <v>12.981156</v>
      </c>
      <c r="AR46" s="50">
        <v>12.981156</v>
      </c>
      <c r="AS46" s="50">
        <v>12.981156</v>
      </c>
      <c r="AT46" s="50">
        <v>12.981156</v>
      </c>
      <c r="AU46" s="50">
        <v>12.981156</v>
      </c>
      <c r="AV46" s="50">
        <v>12.981156</v>
      </c>
      <c r="AW46" s="50">
        <v>12.981156</v>
      </c>
      <c r="AX46" s="50">
        <v>12.981156</v>
      </c>
      <c r="AY46" s="50">
        <v>12.981156</v>
      </c>
      <c r="AZ46" s="50">
        <v>12.981156</v>
      </c>
      <c r="BA46" s="50">
        <v>12.981156</v>
      </c>
      <c r="BB46" s="50">
        <v>12.981156</v>
      </c>
      <c r="BC46" s="50">
        <v>12.981156</v>
      </c>
      <c r="BD46" s="50">
        <v>12.981156</v>
      </c>
      <c r="BE46" s="50">
        <v>12.981156</v>
      </c>
      <c r="BF46" s="50">
        <v>12.981156</v>
      </c>
      <c r="BG46" s="50">
        <v>12.981156</v>
      </c>
      <c r="BH46" s="50">
        <v>12.981156</v>
      </c>
      <c r="BI46" s="50"/>
      <c r="BJ46" s="50"/>
    </row>
    <row r="47" spans="1:64" ht="20.100000000000001" hidden="1" customHeight="1" outlineLevel="1" x14ac:dyDescent="0.25">
      <c r="A47" s="58" t="s">
        <v>217</v>
      </c>
      <c r="B47" s="50">
        <v>18.750094000000001</v>
      </c>
      <c r="C47" s="50">
        <v>18.750094000000001</v>
      </c>
      <c r="D47" s="50">
        <v>18.750094000000001</v>
      </c>
      <c r="E47" s="50">
        <v>18.750094000000001</v>
      </c>
      <c r="F47" s="50">
        <v>18.750094000000001</v>
      </c>
      <c r="G47" s="50">
        <v>18.750094000000001</v>
      </c>
      <c r="H47" s="50">
        <v>18.750094000000001</v>
      </c>
      <c r="I47" s="50">
        <v>18.750094000000001</v>
      </c>
      <c r="J47" s="50">
        <v>18.750094000000001</v>
      </c>
      <c r="K47" s="50">
        <v>18.750094000000001</v>
      </c>
      <c r="L47" s="50">
        <v>18.750094000000001</v>
      </c>
      <c r="M47" s="50">
        <v>18.750094000000001</v>
      </c>
      <c r="N47" s="50">
        <v>18.750094000000001</v>
      </c>
      <c r="O47" s="50">
        <v>18.750094000000001</v>
      </c>
      <c r="P47" s="50">
        <v>18.750094000000001</v>
      </c>
      <c r="Q47" s="50">
        <v>18.750094000000001</v>
      </c>
      <c r="R47" s="50">
        <v>18.750094000000001</v>
      </c>
      <c r="S47" s="50">
        <v>18.750094000000001</v>
      </c>
      <c r="T47" s="50">
        <v>18.750094000000001</v>
      </c>
      <c r="U47" s="50">
        <v>18.750094000000001</v>
      </c>
      <c r="V47" s="50">
        <v>18.750094000000001</v>
      </c>
      <c r="W47" s="50">
        <v>18.750094000000001</v>
      </c>
      <c r="X47" s="50">
        <v>18.750094000000001</v>
      </c>
      <c r="Y47" s="50">
        <v>18.750094000000001</v>
      </c>
      <c r="Z47" s="50">
        <v>18.750094000000001</v>
      </c>
      <c r="AA47" s="50">
        <v>18.750094000000001</v>
      </c>
      <c r="AB47" s="50">
        <v>18.750094000000001</v>
      </c>
      <c r="AC47" s="50">
        <v>18.750094000000001</v>
      </c>
      <c r="AD47" s="50">
        <v>18.750094000000001</v>
      </c>
      <c r="AE47" s="50">
        <v>18.750094000000001</v>
      </c>
      <c r="AF47" s="50">
        <v>18.750094000000001</v>
      </c>
      <c r="AG47" s="50">
        <v>18.750094000000001</v>
      </c>
      <c r="AH47" s="50">
        <v>18.750094000000001</v>
      </c>
      <c r="AI47" s="50">
        <v>18.750094000000001</v>
      </c>
      <c r="AJ47" s="50">
        <v>18.750094000000001</v>
      </c>
      <c r="AK47" s="50">
        <v>18.750094000000001</v>
      </c>
      <c r="AL47" s="50">
        <v>18.750094000000001</v>
      </c>
      <c r="AM47" s="50">
        <v>18.750094000000001</v>
      </c>
      <c r="AN47" s="50">
        <v>18.750094000000001</v>
      </c>
      <c r="AO47" s="50">
        <v>18.750094000000001</v>
      </c>
      <c r="AP47" s="50">
        <v>18.750094000000001</v>
      </c>
      <c r="AQ47" s="50">
        <v>18.750094000000001</v>
      </c>
      <c r="AR47" s="50">
        <v>18.750094000000001</v>
      </c>
      <c r="AS47" s="50">
        <v>18.750094000000001</v>
      </c>
      <c r="AT47" s="50">
        <v>18.750094000000001</v>
      </c>
      <c r="AU47" s="50">
        <v>18.750094000000001</v>
      </c>
      <c r="AV47" s="50">
        <v>18.750094000000001</v>
      </c>
      <c r="AW47" s="50">
        <v>18.750094000000001</v>
      </c>
      <c r="AX47" s="50">
        <v>18.750094000000001</v>
      </c>
      <c r="AY47" s="50">
        <v>18.750094000000001</v>
      </c>
      <c r="AZ47" s="50">
        <v>18.750094000000001</v>
      </c>
      <c r="BA47" s="50">
        <v>18.750094000000001</v>
      </c>
      <c r="BB47" s="50">
        <v>18.750094000000001</v>
      </c>
      <c r="BC47" s="50">
        <v>18.750094000000001</v>
      </c>
      <c r="BD47" s="50">
        <v>18.750094000000001</v>
      </c>
      <c r="BE47" s="50">
        <v>18.750094000000001</v>
      </c>
      <c r="BF47" s="50">
        <v>18.750094000000001</v>
      </c>
      <c r="BG47" s="50">
        <v>18.750094000000001</v>
      </c>
      <c r="BH47" s="50">
        <v>18.750094000000001</v>
      </c>
      <c r="BI47" s="50"/>
      <c r="BJ47" s="50"/>
    </row>
    <row r="48" spans="1:64" ht="20.100000000000001" hidden="1" customHeight="1" outlineLevel="1" x14ac:dyDescent="0.25">
      <c r="A48" s="58" t="s">
        <v>218</v>
      </c>
      <c r="B48" s="50">
        <v>10.479452</v>
      </c>
      <c r="C48" s="50">
        <v>10.479452</v>
      </c>
      <c r="D48" s="50">
        <v>10.479452</v>
      </c>
      <c r="E48" s="50">
        <v>10.479452</v>
      </c>
      <c r="F48" s="50">
        <v>10.479452</v>
      </c>
      <c r="G48" s="50">
        <v>10.479452</v>
      </c>
      <c r="H48" s="50">
        <v>10.479452</v>
      </c>
      <c r="I48" s="50">
        <v>10.479452</v>
      </c>
      <c r="J48" s="50">
        <v>10.479452</v>
      </c>
      <c r="K48" s="50">
        <v>10.479452</v>
      </c>
      <c r="L48" s="50">
        <v>10.479452</v>
      </c>
      <c r="M48" s="50">
        <v>10.479452</v>
      </c>
      <c r="N48" s="50">
        <v>10.479452</v>
      </c>
      <c r="O48" s="50">
        <v>10.479452</v>
      </c>
      <c r="P48" s="50">
        <v>10.479452</v>
      </c>
      <c r="Q48" s="50">
        <v>10.479452</v>
      </c>
      <c r="R48" s="50">
        <v>10.479452</v>
      </c>
      <c r="S48" s="50">
        <v>10.479452</v>
      </c>
      <c r="T48" s="50">
        <v>10.479452</v>
      </c>
      <c r="U48" s="50">
        <v>10.479452</v>
      </c>
      <c r="V48" s="50">
        <v>10.479452</v>
      </c>
      <c r="W48" s="50">
        <v>10.479452</v>
      </c>
      <c r="X48" s="50">
        <v>10.479452</v>
      </c>
      <c r="Y48" s="50">
        <v>10.479452</v>
      </c>
      <c r="Z48" s="50">
        <v>10.479452</v>
      </c>
      <c r="AA48" s="50">
        <v>10.479452</v>
      </c>
      <c r="AB48" s="50">
        <v>10.479452</v>
      </c>
      <c r="AC48" s="50">
        <v>10.479452</v>
      </c>
      <c r="AD48" s="50">
        <v>10.479452</v>
      </c>
      <c r="AE48" s="50">
        <v>10.479452</v>
      </c>
      <c r="AF48" s="50">
        <v>10.479452</v>
      </c>
      <c r="AG48" s="50">
        <v>10.479452</v>
      </c>
      <c r="AH48" s="50">
        <v>10.479452</v>
      </c>
      <c r="AI48" s="50">
        <v>10.479452</v>
      </c>
      <c r="AJ48" s="50">
        <v>10.479452</v>
      </c>
      <c r="AK48" s="50">
        <v>10.479452</v>
      </c>
      <c r="AL48" s="50">
        <v>10.479452</v>
      </c>
      <c r="AM48" s="50">
        <v>10.479452</v>
      </c>
      <c r="AN48" s="50">
        <v>10.479452</v>
      </c>
      <c r="AO48" s="50">
        <v>10.479452</v>
      </c>
      <c r="AP48" s="50">
        <v>10.479452</v>
      </c>
      <c r="AQ48" s="50">
        <v>10.479452</v>
      </c>
      <c r="AR48" s="50">
        <v>10.479452</v>
      </c>
      <c r="AS48" s="50">
        <v>10.479452</v>
      </c>
      <c r="AT48" s="50">
        <v>10.479452</v>
      </c>
      <c r="AU48" s="50">
        <v>10.479452</v>
      </c>
      <c r="AV48" s="50">
        <v>10.479452</v>
      </c>
      <c r="AW48" s="50">
        <v>10.479452</v>
      </c>
      <c r="AX48" s="50">
        <v>10.479452</v>
      </c>
      <c r="AY48" s="50">
        <v>10.479452</v>
      </c>
      <c r="AZ48" s="50">
        <v>10.479452</v>
      </c>
      <c r="BA48" s="50">
        <v>10.479452</v>
      </c>
      <c r="BB48" s="50">
        <v>10.479452</v>
      </c>
      <c r="BC48" s="50">
        <v>10.479452</v>
      </c>
      <c r="BD48" s="50">
        <v>10.479452</v>
      </c>
      <c r="BE48" s="50">
        <v>10.479452</v>
      </c>
      <c r="BF48" s="50">
        <v>10.479452</v>
      </c>
      <c r="BG48" s="50">
        <v>10.479452</v>
      </c>
      <c r="BH48" s="50">
        <v>10.479452</v>
      </c>
      <c r="BI48" s="50"/>
      <c r="BJ48" s="50"/>
    </row>
    <row r="49" spans="1:64" ht="20.100000000000001" hidden="1" customHeight="1" outlineLevel="1" x14ac:dyDescent="0.25">
      <c r="A49" s="58" t="s">
        <v>219</v>
      </c>
      <c r="B49" s="50">
        <v>25.091515999999999</v>
      </c>
      <c r="C49" s="50">
        <v>25.091515999999999</v>
      </c>
      <c r="D49" s="50">
        <v>25.091515999999999</v>
      </c>
      <c r="E49" s="50">
        <v>25.091515999999999</v>
      </c>
      <c r="F49" s="50">
        <v>25.091515999999999</v>
      </c>
      <c r="G49" s="50">
        <v>25.091515999999999</v>
      </c>
      <c r="H49" s="50">
        <v>25.091515999999999</v>
      </c>
      <c r="I49" s="50">
        <v>25.091515999999999</v>
      </c>
      <c r="J49" s="50">
        <v>25.091515999999999</v>
      </c>
      <c r="K49" s="50">
        <v>25.091515999999999</v>
      </c>
      <c r="L49" s="50">
        <v>25.091515999999999</v>
      </c>
      <c r="M49" s="50">
        <v>25.091515999999999</v>
      </c>
      <c r="N49" s="50">
        <v>25.091515999999999</v>
      </c>
      <c r="O49" s="50">
        <v>25.091515999999999</v>
      </c>
      <c r="P49" s="50">
        <v>25.091515999999999</v>
      </c>
      <c r="Q49" s="50">
        <v>25.091515999999999</v>
      </c>
      <c r="R49" s="50">
        <v>25.091515999999999</v>
      </c>
      <c r="S49" s="50">
        <v>25.091515999999999</v>
      </c>
      <c r="T49" s="50">
        <v>25.091515999999999</v>
      </c>
      <c r="U49" s="50">
        <v>25.091515999999999</v>
      </c>
      <c r="V49" s="50">
        <v>25.091515999999999</v>
      </c>
      <c r="W49" s="50">
        <v>25.091515999999999</v>
      </c>
      <c r="X49" s="50">
        <v>25.091515999999999</v>
      </c>
      <c r="Y49" s="50">
        <v>25.091515999999999</v>
      </c>
      <c r="Z49" s="50">
        <v>25.091515999999999</v>
      </c>
      <c r="AA49" s="50">
        <v>25.091515999999999</v>
      </c>
      <c r="AB49" s="50">
        <v>25.091515999999999</v>
      </c>
      <c r="AC49" s="50">
        <v>25.091515999999999</v>
      </c>
      <c r="AD49" s="50">
        <v>25.091515999999999</v>
      </c>
      <c r="AE49" s="50">
        <v>25.091515999999999</v>
      </c>
      <c r="AF49" s="50">
        <v>25.091515999999999</v>
      </c>
      <c r="AG49" s="50">
        <v>25.091515999999999</v>
      </c>
      <c r="AH49" s="50">
        <v>25.091515999999999</v>
      </c>
      <c r="AI49" s="50">
        <v>25.091515999999999</v>
      </c>
      <c r="AJ49" s="50">
        <v>25.091515999999999</v>
      </c>
      <c r="AK49" s="50">
        <v>25.091515999999999</v>
      </c>
      <c r="AL49" s="50">
        <v>25.091515999999999</v>
      </c>
      <c r="AM49" s="50">
        <v>25.091515999999999</v>
      </c>
      <c r="AN49" s="50">
        <v>25.091515999999999</v>
      </c>
      <c r="AO49" s="50">
        <v>25.091515999999999</v>
      </c>
      <c r="AP49" s="50">
        <v>25.091515999999999</v>
      </c>
      <c r="AQ49" s="50">
        <v>25.091515999999999</v>
      </c>
      <c r="AR49" s="50">
        <v>25.091515999999999</v>
      </c>
      <c r="AS49" s="50">
        <v>25.091515999999999</v>
      </c>
      <c r="AT49" s="50">
        <v>25.091515999999999</v>
      </c>
      <c r="AU49" s="50">
        <v>25.091515999999999</v>
      </c>
      <c r="AV49" s="50">
        <v>25.091515999999999</v>
      </c>
      <c r="AW49" s="50">
        <v>25.091515999999999</v>
      </c>
      <c r="AX49" s="50">
        <v>25.091515999999999</v>
      </c>
      <c r="AY49" s="50">
        <v>25.091515999999999</v>
      </c>
      <c r="AZ49" s="50">
        <v>25.091515999999999</v>
      </c>
      <c r="BA49" s="50">
        <v>25.091515999999999</v>
      </c>
      <c r="BB49" s="50">
        <v>25.091515999999999</v>
      </c>
      <c r="BC49" s="50">
        <v>25.091515999999999</v>
      </c>
      <c r="BD49" s="50">
        <v>25.091515999999999</v>
      </c>
      <c r="BE49" s="50">
        <v>25.091515999999999</v>
      </c>
      <c r="BF49" s="50">
        <v>25.091515999999999</v>
      </c>
      <c r="BG49" s="50">
        <v>25.091515999999999</v>
      </c>
      <c r="BH49" s="50">
        <v>25.091515999999999</v>
      </c>
      <c r="BI49" s="50"/>
      <c r="BJ49" s="50"/>
    </row>
    <row r="50" spans="1:64" ht="20.100000000000001" hidden="1" customHeight="1" outlineLevel="1" x14ac:dyDescent="0.25">
      <c r="A50" s="58" t="s">
        <v>296</v>
      </c>
      <c r="B50" s="50">
        <v>13.972602999999999</v>
      </c>
      <c r="C50" s="50">
        <v>13.972602999999999</v>
      </c>
      <c r="D50" s="50">
        <v>13.972602999999999</v>
      </c>
      <c r="E50" s="50">
        <v>13.972602999999999</v>
      </c>
      <c r="F50" s="50">
        <v>13.972602999999999</v>
      </c>
      <c r="G50" s="50">
        <v>13.972602999999999</v>
      </c>
      <c r="H50" s="50">
        <v>13.972602999999999</v>
      </c>
      <c r="I50" s="50">
        <v>13.972602999999999</v>
      </c>
      <c r="J50" s="50">
        <v>13.972602999999999</v>
      </c>
      <c r="K50" s="50">
        <v>13.972602999999999</v>
      </c>
      <c r="L50" s="50">
        <v>13.972602999999999</v>
      </c>
      <c r="M50" s="50">
        <v>13.972602999999999</v>
      </c>
      <c r="N50" s="50">
        <v>13.972602999999999</v>
      </c>
      <c r="O50" s="50">
        <v>13.972602999999999</v>
      </c>
      <c r="P50" s="50">
        <v>13.972602999999999</v>
      </c>
      <c r="Q50" s="50">
        <v>13.972602999999999</v>
      </c>
      <c r="R50" s="50">
        <v>13.972602999999999</v>
      </c>
      <c r="S50" s="50">
        <v>13.972602999999999</v>
      </c>
      <c r="T50" s="50">
        <v>13.972602999999999</v>
      </c>
      <c r="U50" s="50">
        <v>13.972602999999999</v>
      </c>
      <c r="V50" s="50">
        <v>13.972602999999999</v>
      </c>
      <c r="W50" s="50">
        <v>13.972602999999999</v>
      </c>
      <c r="X50" s="50">
        <v>13.972602999999999</v>
      </c>
      <c r="Y50" s="50">
        <v>13.972602999999999</v>
      </c>
      <c r="Z50" s="50">
        <v>13.972602999999999</v>
      </c>
      <c r="AA50" s="50">
        <v>13.972602999999999</v>
      </c>
      <c r="AB50" s="50">
        <v>13.972602999999999</v>
      </c>
      <c r="AC50" s="50">
        <v>13.972602999999999</v>
      </c>
      <c r="AD50" s="50">
        <v>13.972602999999999</v>
      </c>
      <c r="AE50" s="50">
        <v>13.972602999999999</v>
      </c>
      <c r="AF50" s="50">
        <v>13.972602999999999</v>
      </c>
      <c r="AG50" s="50">
        <v>13.972602999999999</v>
      </c>
      <c r="AH50" s="50">
        <v>13.972602999999999</v>
      </c>
      <c r="AI50" s="50">
        <v>13.972602999999999</v>
      </c>
      <c r="AJ50" s="50">
        <v>13.972602999999999</v>
      </c>
      <c r="AK50" s="50">
        <v>13.972602999999999</v>
      </c>
      <c r="AL50" s="50">
        <v>13.972602999999999</v>
      </c>
      <c r="AM50" s="50">
        <v>13.972602999999999</v>
      </c>
      <c r="AN50" s="50">
        <v>13.972602999999999</v>
      </c>
      <c r="AO50" s="50">
        <v>13.972602999999999</v>
      </c>
      <c r="AP50" s="50">
        <v>13.972602999999999</v>
      </c>
      <c r="AQ50" s="50">
        <v>13.972602999999999</v>
      </c>
      <c r="AR50" s="50">
        <v>13.972602999999999</v>
      </c>
      <c r="AS50" s="50">
        <v>13.972602999999999</v>
      </c>
      <c r="AT50" s="50">
        <v>13.972602999999999</v>
      </c>
      <c r="AU50" s="50">
        <v>13.972602999999999</v>
      </c>
      <c r="AV50" s="50">
        <v>13.972602999999999</v>
      </c>
      <c r="AW50" s="50">
        <v>13.972602999999999</v>
      </c>
      <c r="AX50" s="50">
        <v>13.972602999999999</v>
      </c>
      <c r="AY50" s="50">
        <v>13.972602999999999</v>
      </c>
      <c r="AZ50" s="50">
        <v>13.972602999999999</v>
      </c>
      <c r="BA50" s="50">
        <v>13.972602999999999</v>
      </c>
      <c r="BB50" s="50">
        <v>13.972602999999999</v>
      </c>
      <c r="BC50" s="50">
        <v>13.972602999999999</v>
      </c>
      <c r="BD50" s="50">
        <v>13.972602999999999</v>
      </c>
      <c r="BE50" s="50">
        <v>13.972602999999999</v>
      </c>
      <c r="BF50" s="50">
        <v>13.972602999999999</v>
      </c>
      <c r="BG50" s="50">
        <v>13.972602999999999</v>
      </c>
      <c r="BH50" s="50">
        <v>13.972602999999999</v>
      </c>
      <c r="BI50" s="50"/>
      <c r="BJ50" s="50"/>
    </row>
    <row r="51" spans="1:64" ht="20.100000000000001" hidden="1" customHeight="1" outlineLevel="1" x14ac:dyDescent="0.25">
      <c r="A51" s="58" t="s">
        <v>220</v>
      </c>
      <c r="B51" s="50">
        <v>18.630137000000001</v>
      </c>
      <c r="C51" s="50">
        <v>18.630137000000001</v>
      </c>
      <c r="D51" s="50">
        <v>18.630137000000001</v>
      </c>
      <c r="E51" s="50">
        <v>18.630137000000001</v>
      </c>
      <c r="F51" s="50">
        <v>18.630137000000001</v>
      </c>
      <c r="G51" s="50">
        <v>18.630137000000001</v>
      </c>
      <c r="H51" s="50">
        <v>18.630137000000001</v>
      </c>
      <c r="I51" s="50">
        <v>18.630137000000001</v>
      </c>
      <c r="J51" s="50">
        <v>18.630137000000001</v>
      </c>
      <c r="K51" s="50">
        <v>18.630137000000001</v>
      </c>
      <c r="L51" s="50">
        <v>18.630137000000001</v>
      </c>
      <c r="M51" s="50">
        <v>18.630137000000001</v>
      </c>
      <c r="N51" s="50">
        <v>18.630137000000001</v>
      </c>
      <c r="O51" s="50">
        <v>18.630137000000001</v>
      </c>
      <c r="P51" s="50">
        <v>18.630137000000001</v>
      </c>
      <c r="Q51" s="50">
        <v>18.630137000000001</v>
      </c>
      <c r="R51" s="50">
        <v>18.630137000000001</v>
      </c>
      <c r="S51" s="50">
        <v>18.630137000000001</v>
      </c>
      <c r="T51" s="50">
        <v>18.630137000000001</v>
      </c>
      <c r="U51" s="50">
        <v>18.630137000000001</v>
      </c>
      <c r="V51" s="50">
        <v>18.630137000000001</v>
      </c>
      <c r="W51" s="50">
        <v>18.630137000000001</v>
      </c>
      <c r="X51" s="50">
        <v>18.630137000000001</v>
      </c>
      <c r="Y51" s="50">
        <v>18.630137000000001</v>
      </c>
      <c r="Z51" s="50">
        <v>18.630137000000001</v>
      </c>
      <c r="AA51" s="50">
        <v>18.630137000000001</v>
      </c>
      <c r="AB51" s="50">
        <v>18.630137000000001</v>
      </c>
      <c r="AC51" s="50">
        <v>18.630137000000001</v>
      </c>
      <c r="AD51" s="50">
        <v>18.630137000000001</v>
      </c>
      <c r="AE51" s="50">
        <v>18.630137000000001</v>
      </c>
      <c r="AF51" s="50">
        <v>18.630137000000001</v>
      </c>
      <c r="AG51" s="50">
        <v>18.630137000000001</v>
      </c>
      <c r="AH51" s="50">
        <v>18.630137000000001</v>
      </c>
      <c r="AI51" s="50">
        <v>18.630137000000001</v>
      </c>
      <c r="AJ51" s="50">
        <v>18.630137000000001</v>
      </c>
      <c r="AK51" s="50">
        <v>18.630137000000001</v>
      </c>
      <c r="AL51" s="50">
        <v>18.630137000000001</v>
      </c>
      <c r="AM51" s="50">
        <v>18.630137000000001</v>
      </c>
      <c r="AN51" s="50">
        <v>18.630137000000001</v>
      </c>
      <c r="AO51" s="50">
        <v>18.630137000000001</v>
      </c>
      <c r="AP51" s="50">
        <v>18.630137000000001</v>
      </c>
      <c r="AQ51" s="50">
        <v>18.630137000000001</v>
      </c>
      <c r="AR51" s="50">
        <v>18.630137000000001</v>
      </c>
      <c r="AS51" s="50">
        <v>18.630137000000001</v>
      </c>
      <c r="AT51" s="50">
        <v>18.630137000000001</v>
      </c>
      <c r="AU51" s="50">
        <v>18.630137000000001</v>
      </c>
      <c r="AV51" s="50">
        <v>18.630137000000001</v>
      </c>
      <c r="AW51" s="50">
        <v>18.630137000000001</v>
      </c>
      <c r="AX51" s="50">
        <v>18.630137000000001</v>
      </c>
      <c r="AY51" s="50">
        <v>18.630137000000001</v>
      </c>
      <c r="AZ51" s="50">
        <v>18.630137000000001</v>
      </c>
      <c r="BA51" s="50">
        <v>18.630137000000001</v>
      </c>
      <c r="BB51" s="50">
        <v>18.630137000000001</v>
      </c>
      <c r="BC51" s="50">
        <v>18.630137000000001</v>
      </c>
      <c r="BD51" s="50">
        <v>18.630137000000001</v>
      </c>
      <c r="BE51" s="50">
        <v>18.630137000000001</v>
      </c>
      <c r="BF51" s="50">
        <v>18.630137000000001</v>
      </c>
      <c r="BG51" s="50">
        <v>18.630137000000001</v>
      </c>
      <c r="BH51" s="50">
        <v>18.630137000000001</v>
      </c>
      <c r="BI51" s="50"/>
      <c r="BJ51" s="50"/>
    </row>
    <row r="52" spans="1:64" s="45" customFormat="1" ht="24" customHeight="1" collapsed="1" x14ac:dyDescent="0.25">
      <c r="A52" s="47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J52" s="22"/>
      <c r="BL52" s="22"/>
    </row>
    <row r="53" spans="1:64" s="45" customFormat="1" ht="24" customHeight="1" x14ac:dyDescent="0.25">
      <c r="A53" s="47" t="s">
        <v>276</v>
      </c>
      <c r="B53" s="49">
        <f t="shared" ref="B53:E53" si="8">SUM(B43:B52)</f>
        <v>144.671188</v>
      </c>
      <c r="C53" s="49">
        <f t="shared" si="8"/>
        <v>144.671188</v>
      </c>
      <c r="D53" s="49">
        <f t="shared" si="8"/>
        <v>144.671188</v>
      </c>
      <c r="E53" s="49">
        <f t="shared" si="8"/>
        <v>144.671188</v>
      </c>
      <c r="F53" s="49">
        <f>SUM(F43:F52)</f>
        <v>144.671188</v>
      </c>
      <c r="G53" s="49">
        <f>SUM(G43:G52)</f>
        <v>144.671188</v>
      </c>
      <c r="H53" s="49">
        <f>SUM(H43:H52)</f>
        <v>144.671188</v>
      </c>
      <c r="I53" s="49">
        <f>SUM(I43:I52)</f>
        <v>144.671188</v>
      </c>
      <c r="J53" s="49">
        <f>SUM(J43:J52)</f>
        <v>144.671188</v>
      </c>
      <c r="K53" s="49">
        <f>SUM(K43:K52)</f>
        <v>144.671188</v>
      </c>
      <c r="L53" s="49">
        <f>SUM(L43:L52)</f>
        <v>144.671188</v>
      </c>
      <c r="M53" s="49">
        <f>SUM(M43:M52)</f>
        <v>144.671188</v>
      </c>
      <c r="N53" s="49">
        <f>SUM(N43:N52)</f>
        <v>144.671188</v>
      </c>
      <c r="O53" s="49">
        <f>SUM(O43:O52)</f>
        <v>144.671188</v>
      </c>
      <c r="P53" s="49">
        <f>SUM(P43:P52)</f>
        <v>144.671188</v>
      </c>
      <c r="Q53" s="49">
        <f>SUM(Q43:Q52)</f>
        <v>144.671188</v>
      </c>
      <c r="R53" s="49">
        <f>SUM(R43:R52)</f>
        <v>144.671188</v>
      </c>
      <c r="S53" s="49">
        <f>SUM(S43:S52)</f>
        <v>144.671188</v>
      </c>
      <c r="T53" s="49">
        <f>SUM(T43:T52)</f>
        <v>144.671188</v>
      </c>
      <c r="U53" s="49">
        <f>SUM(U43:U52)</f>
        <v>144.671188</v>
      </c>
      <c r="V53" s="49">
        <f>SUM(V43:V52)</f>
        <v>144.671188</v>
      </c>
      <c r="W53" s="49">
        <f>SUM(W43:W52)</f>
        <v>144.671188</v>
      </c>
      <c r="X53" s="49">
        <f>SUM(X43:X52)</f>
        <v>144.671188</v>
      </c>
      <c r="Y53" s="49">
        <f>SUM(Y43:Y52)</f>
        <v>144.671188</v>
      </c>
      <c r="Z53" s="49">
        <f>SUM(Z43:Z52)</f>
        <v>144.671188</v>
      </c>
      <c r="AA53" s="49">
        <f>SUM(AA43:AA52)</f>
        <v>144.671188</v>
      </c>
      <c r="AB53" s="49">
        <f>SUM(AB43:AB52)</f>
        <v>144.671188</v>
      </c>
      <c r="AC53" s="49">
        <f>SUM(AC43:AC52)</f>
        <v>144.671188</v>
      </c>
      <c r="AD53" s="49">
        <f>SUM(AD43:AD52)</f>
        <v>144.671188</v>
      </c>
      <c r="AE53" s="49">
        <f>SUM(AE43:AE52)</f>
        <v>144.671188</v>
      </c>
      <c r="AF53" s="49">
        <f>SUM(AF43:AF52)</f>
        <v>144.671188</v>
      </c>
      <c r="AG53" s="49">
        <f>SUM(AG43:AG52)</f>
        <v>144.671188</v>
      </c>
      <c r="AH53" s="49">
        <f>SUM(AH43:AH52)</f>
        <v>144.671188</v>
      </c>
      <c r="AI53" s="49">
        <f>SUM(AI43:AI52)</f>
        <v>144.671188</v>
      </c>
      <c r="AJ53" s="49">
        <f>SUM(AJ43:AJ52)</f>
        <v>144.671188</v>
      </c>
      <c r="AK53" s="49">
        <f>SUM(AK43:AK52)</f>
        <v>144.671188</v>
      </c>
      <c r="AL53" s="49">
        <f>SUM(AL43:AL52)</f>
        <v>144.671188</v>
      </c>
      <c r="AM53" s="49">
        <f>SUM(AM43:AM52)</f>
        <v>144.671188</v>
      </c>
      <c r="AN53" s="49">
        <f>SUM(AN43:AN52)</f>
        <v>144.671188</v>
      </c>
      <c r="AO53" s="49">
        <f>SUM(AO43:AO52)</f>
        <v>144.671188</v>
      </c>
      <c r="AP53" s="49">
        <f>SUM(AP43:AP52)</f>
        <v>144.671188</v>
      </c>
      <c r="AQ53" s="49">
        <f>SUM(AQ43:AQ52)</f>
        <v>144.671188</v>
      </c>
      <c r="AR53" s="49">
        <f>SUM(AR43:AR52)</f>
        <v>144.671188</v>
      </c>
      <c r="AS53" s="49">
        <f>SUM(AS43:AS52)</f>
        <v>144.671188</v>
      </c>
      <c r="AT53" s="49">
        <f>SUM(AT43:AT52)</f>
        <v>144.671188</v>
      </c>
      <c r="AU53" s="49">
        <f>SUM(AU43:AU52)</f>
        <v>144.671188</v>
      </c>
      <c r="AV53" s="49">
        <f>SUM(AV43:AV52)</f>
        <v>144.671188</v>
      </c>
      <c r="AW53" s="49">
        <f>SUM(AW43:AW52)</f>
        <v>144.671188</v>
      </c>
      <c r="AX53" s="49">
        <f>SUM(AX43:AX52)</f>
        <v>144.671188</v>
      </c>
      <c r="AY53" s="49">
        <f>SUM(AY43:AY52)</f>
        <v>144.671188</v>
      </c>
      <c r="AZ53" s="49">
        <f>SUM(AZ43:AZ52)</f>
        <v>144.671188</v>
      </c>
      <c r="BA53" s="49">
        <f>SUM(BA43:BA52)</f>
        <v>144.671188</v>
      </c>
      <c r="BB53" s="49">
        <f>SUM(BB43:BB52)</f>
        <v>144.671188</v>
      </c>
      <c r="BC53" s="49">
        <f>SUM(BC43:BC52)</f>
        <v>144.671188</v>
      </c>
      <c r="BD53" s="49">
        <f>SUM(BD43:BD52)</f>
        <v>144.671188</v>
      </c>
      <c r="BE53" s="49">
        <f>SUM(BE43:BE52)</f>
        <v>144.671188</v>
      </c>
      <c r="BF53" s="49">
        <f>SUM(BF43:BF52)</f>
        <v>144.671188</v>
      </c>
      <c r="BG53" s="49">
        <f>SUM(BG43:BG52)</f>
        <v>144.671188</v>
      </c>
      <c r="BH53" s="49">
        <f>SUM(BH43:BH52)</f>
        <v>144.671188</v>
      </c>
      <c r="BJ53" s="22">
        <f>SUM(B53:BI53)</f>
        <v>8535.6000920000042</v>
      </c>
      <c r="BL53" s="22"/>
    </row>
    <row r="54" spans="1:64" s="45" customFormat="1" ht="24" customHeight="1" x14ac:dyDescent="0.25">
      <c r="A54" s="28" t="s">
        <v>284</v>
      </c>
      <c r="B54" s="46">
        <v>0.01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</row>
    <row r="55" spans="1:64" ht="21" customHeight="1" x14ac:dyDescent="0.25">
      <c r="A55" s="34" t="s">
        <v>102</v>
      </c>
      <c r="B55" s="35">
        <f>+$B$54/365*B$32</f>
        <v>17.020139878178618</v>
      </c>
      <c r="C55" s="35">
        <f t="shared" ref="C55:BH55" si="9">+$B$54/365*C$32</f>
        <v>17.025466527416551</v>
      </c>
      <c r="D55" s="35">
        <f t="shared" si="9"/>
        <v>17.030794843690842</v>
      </c>
      <c r="E55" s="35">
        <f t="shared" si="9"/>
        <v>17.036124827523221</v>
      </c>
      <c r="F55" s="35">
        <f t="shared" si="9"/>
        <v>17.041456479435563</v>
      </c>
      <c r="G55" s="35">
        <f t="shared" si="9"/>
        <v>17.046789799949913</v>
      </c>
      <c r="H55" s="35">
        <f t="shared" si="9"/>
        <v>17.052124789588483</v>
      </c>
      <c r="I55" s="35">
        <f t="shared" si="9"/>
        <v>17.057461448873639</v>
      </c>
      <c r="J55" s="35">
        <f t="shared" si="9"/>
        <v>17.062799778327921</v>
      </c>
      <c r="K55" s="35">
        <f t="shared" si="9"/>
        <v>17.068139778474023</v>
      </c>
      <c r="L55" s="35">
        <f t="shared" si="9"/>
        <v>17.073481449834816</v>
      </c>
      <c r="M55" s="35">
        <f t="shared" si="9"/>
        <v>17.078824792933315</v>
      </c>
      <c r="N55" s="35">
        <f t="shared" si="9"/>
        <v>17.084169808292717</v>
      </c>
      <c r="O55" s="35">
        <f t="shared" si="9"/>
        <v>17.089516496436374</v>
      </c>
      <c r="P55" s="35">
        <f t="shared" si="9"/>
        <v>17.094864857887803</v>
      </c>
      <c r="Q55" s="35">
        <f t="shared" si="9"/>
        <v>17.10021489317068</v>
      </c>
      <c r="R55" s="35">
        <f t="shared" si="9"/>
        <v>17.105566602808857</v>
      </c>
      <c r="S55" s="35">
        <f t="shared" si="9"/>
        <v>17.110919987326337</v>
      </c>
      <c r="T55" s="35">
        <f t="shared" si="9"/>
        <v>17.116275047247299</v>
      </c>
      <c r="U55" s="35">
        <f t="shared" si="9"/>
        <v>17.121631783096074</v>
      </c>
      <c r="V55" s="35">
        <f t="shared" si="9"/>
        <v>17.12699019539717</v>
      </c>
      <c r="W55" s="35">
        <f t="shared" si="9"/>
        <v>17.132350284675244</v>
      </c>
      <c r="X55" s="35">
        <f t="shared" si="9"/>
        <v>17.137712051455129</v>
      </c>
      <c r="Y55" s="35">
        <f t="shared" si="9"/>
        <v>17.143075496261819</v>
      </c>
      <c r="Z55" s="35">
        <f t="shared" si="9"/>
        <v>17.148440619620473</v>
      </c>
      <c r="AA55" s="35">
        <f t="shared" si="9"/>
        <v>17.15380742205641</v>
      </c>
      <c r="AB55" s="35">
        <f t="shared" si="9"/>
        <v>17.159175904095115</v>
      </c>
      <c r="AC55" s="35">
        <f t="shared" si="9"/>
        <v>17.164546066262247</v>
      </c>
      <c r="AD55" s="35">
        <f t="shared" si="9"/>
        <v>17.169917909083615</v>
      </c>
      <c r="AE55" s="35">
        <f t="shared" si="9"/>
        <v>17.175291433085199</v>
      </c>
      <c r="AF55" s="35">
        <f t="shared" si="9"/>
        <v>17.180666638793149</v>
      </c>
      <c r="AG55" s="35">
        <f t="shared" si="9"/>
        <v>17.186043526733769</v>
      </c>
      <c r="AH55" s="35">
        <f t="shared" si="9"/>
        <v>17.191422097433538</v>
      </c>
      <c r="AI55" s="35">
        <f t="shared" si="9"/>
        <v>17.196802351419091</v>
      </c>
      <c r="AJ55" s="35">
        <f t="shared" si="9"/>
        <v>17.202184289217232</v>
      </c>
      <c r="AK55" s="35">
        <f t="shared" si="9"/>
        <v>17.207567911354932</v>
      </c>
      <c r="AL55" s="35">
        <f t="shared" si="9"/>
        <v>17.212953218359321</v>
      </c>
      <c r="AM55" s="35">
        <f t="shared" si="9"/>
        <v>17.218340210757699</v>
      </c>
      <c r="AN55" s="35">
        <f t="shared" si="9"/>
        <v>17.223728889077531</v>
      </c>
      <c r="AO55" s="35">
        <f t="shared" si="9"/>
        <v>17.229119253846449</v>
      </c>
      <c r="AP55" s="35">
        <f t="shared" si="9"/>
        <v>17.234511305592235</v>
      </c>
      <c r="AQ55" s="35">
        <f t="shared" si="9"/>
        <v>17.23990504484286</v>
      </c>
      <c r="AR55" s="35">
        <f t="shared" si="9"/>
        <v>17.245300472126441</v>
      </c>
      <c r="AS55" s="35">
        <f t="shared" si="9"/>
        <v>17.250697587971271</v>
      </c>
      <c r="AT55" s="35">
        <f t="shared" si="9"/>
        <v>17.256096392905803</v>
      </c>
      <c r="AU55" s="35">
        <f t="shared" si="9"/>
        <v>17.261496887458659</v>
      </c>
      <c r="AV55" s="35">
        <f t="shared" si="9"/>
        <v>17.266899072158619</v>
      </c>
      <c r="AW55" s="35">
        <f t="shared" si="9"/>
        <v>17.272302947534641</v>
      </c>
      <c r="AX55" s="35">
        <f t="shared" si="9"/>
        <v>17.277708514115837</v>
      </c>
      <c r="AY55" s="35">
        <f t="shared" si="9"/>
        <v>17.283115772431493</v>
      </c>
      <c r="AZ55" s="35">
        <f t="shared" si="9"/>
        <v>17.288524723011054</v>
      </c>
      <c r="BA55" s="35">
        <f t="shared" si="9"/>
        <v>17.293935366384133</v>
      </c>
      <c r="BB55" s="35">
        <f t="shared" si="9"/>
        <v>17.299347703080514</v>
      </c>
      <c r="BC55" s="35">
        <f t="shared" si="9"/>
        <v>17.304761733630137</v>
      </c>
      <c r="BD55" s="35">
        <f t="shared" si="9"/>
        <v>17.310177458563114</v>
      </c>
      <c r="BE55" s="35">
        <f t="shared" si="9"/>
        <v>17.315594878409726</v>
      </c>
      <c r="BF55" s="35">
        <f t="shared" si="9"/>
        <v>17.321013993700408</v>
      </c>
      <c r="BG55" s="35">
        <f t="shared" si="9"/>
        <v>17.326434804965775</v>
      </c>
      <c r="BH55" s="35">
        <f t="shared" si="9"/>
        <v>17.331857312736595</v>
      </c>
      <c r="BJ55" s="22">
        <f>SUM(B55:BI55)</f>
        <v>1013.3565816110972</v>
      </c>
      <c r="BL55" s="22"/>
    </row>
    <row r="56" spans="1:64" s="45" customFormat="1" ht="24" customHeight="1" x14ac:dyDescent="0.25">
      <c r="A56" s="28" t="s">
        <v>285</v>
      </c>
      <c r="B56" s="46">
        <v>0.02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</row>
    <row r="57" spans="1:64" ht="21" customHeight="1" x14ac:dyDescent="0.25">
      <c r="A57" s="34" t="s">
        <v>103</v>
      </c>
      <c r="B57" s="52">
        <f>$B$56/365*B$32</f>
        <v>34.040279756357236</v>
      </c>
      <c r="C57" s="52">
        <f t="shared" ref="C57:BH57" si="10">$B$56/365*C$32</f>
        <v>34.050933054833102</v>
      </c>
      <c r="D57" s="52">
        <f t="shared" si="10"/>
        <v>34.061589687381684</v>
      </c>
      <c r="E57" s="52">
        <f t="shared" si="10"/>
        <v>34.072249655046441</v>
      </c>
      <c r="F57" s="52">
        <f t="shared" si="10"/>
        <v>34.082912958871127</v>
      </c>
      <c r="G57" s="52">
        <f t="shared" si="10"/>
        <v>34.093579599899826</v>
      </c>
      <c r="H57" s="52">
        <f t="shared" si="10"/>
        <v>34.104249579176965</v>
      </c>
      <c r="I57" s="52">
        <f t="shared" si="10"/>
        <v>34.114922897747277</v>
      </c>
      <c r="J57" s="52">
        <f t="shared" si="10"/>
        <v>34.125599556655843</v>
      </c>
      <c r="K57" s="52">
        <f t="shared" si="10"/>
        <v>34.136279556948047</v>
      </c>
      <c r="L57" s="52">
        <f t="shared" si="10"/>
        <v>34.146962899669631</v>
      </c>
      <c r="M57" s="52">
        <f t="shared" si="10"/>
        <v>34.157649585866629</v>
      </c>
      <c r="N57" s="52">
        <f t="shared" si="10"/>
        <v>34.168339616585435</v>
      </c>
      <c r="O57" s="52">
        <f t="shared" si="10"/>
        <v>34.179032992872749</v>
      </c>
      <c r="P57" s="52">
        <f t="shared" si="10"/>
        <v>34.189729715775606</v>
      </c>
      <c r="Q57" s="52">
        <f t="shared" si="10"/>
        <v>34.20042978634136</v>
      </c>
      <c r="R57" s="52">
        <f t="shared" si="10"/>
        <v>34.211133205617713</v>
      </c>
      <c r="S57" s="52">
        <f t="shared" si="10"/>
        <v>34.221839974652674</v>
      </c>
      <c r="T57" s="52">
        <f t="shared" si="10"/>
        <v>34.232550094494599</v>
      </c>
      <c r="U57" s="52">
        <f t="shared" si="10"/>
        <v>34.243263566192148</v>
      </c>
      <c r="V57" s="52">
        <f t="shared" si="10"/>
        <v>34.253980390794339</v>
      </c>
      <c r="W57" s="52">
        <f t="shared" si="10"/>
        <v>34.264700569350488</v>
      </c>
      <c r="X57" s="52">
        <f t="shared" si="10"/>
        <v>34.275424102910257</v>
      </c>
      <c r="Y57" s="52">
        <f t="shared" si="10"/>
        <v>34.286150992523638</v>
      </c>
      <c r="Z57" s="52">
        <f t="shared" si="10"/>
        <v>34.296881239240946</v>
      </c>
      <c r="AA57" s="52">
        <f t="shared" si="10"/>
        <v>34.30761484411282</v>
      </c>
      <c r="AB57" s="52">
        <f t="shared" si="10"/>
        <v>34.318351808190229</v>
      </c>
      <c r="AC57" s="52">
        <f t="shared" si="10"/>
        <v>34.329092132524494</v>
      </c>
      <c r="AD57" s="52">
        <f t="shared" si="10"/>
        <v>34.339835818167231</v>
      </c>
      <c r="AE57" s="52">
        <f t="shared" si="10"/>
        <v>34.350582866170399</v>
      </c>
      <c r="AF57" s="52">
        <f t="shared" si="10"/>
        <v>34.361333277586297</v>
      </c>
      <c r="AG57" s="52">
        <f t="shared" si="10"/>
        <v>34.372087053467538</v>
      </c>
      <c r="AH57" s="52">
        <f t="shared" si="10"/>
        <v>34.382844194867076</v>
      </c>
      <c r="AI57" s="52">
        <f t="shared" si="10"/>
        <v>34.393604702838182</v>
      </c>
      <c r="AJ57" s="52">
        <f t="shared" si="10"/>
        <v>34.404368578434465</v>
      </c>
      <c r="AK57" s="52">
        <f t="shared" si="10"/>
        <v>34.415135822709864</v>
      </c>
      <c r="AL57" s="52">
        <f t="shared" si="10"/>
        <v>34.425906436718641</v>
      </c>
      <c r="AM57" s="52">
        <f t="shared" si="10"/>
        <v>34.436680421515398</v>
      </c>
      <c r="AN57" s="52">
        <f t="shared" si="10"/>
        <v>34.447457778155062</v>
      </c>
      <c r="AO57" s="52">
        <f t="shared" si="10"/>
        <v>34.458238507692897</v>
      </c>
      <c r="AP57" s="52">
        <f t="shared" si="10"/>
        <v>34.469022611184471</v>
      </c>
      <c r="AQ57" s="52">
        <f t="shared" si="10"/>
        <v>34.479810089685721</v>
      </c>
      <c r="AR57" s="52">
        <f t="shared" si="10"/>
        <v>34.490600944252883</v>
      </c>
      <c r="AS57" s="52">
        <f t="shared" si="10"/>
        <v>34.501395175942541</v>
      </c>
      <c r="AT57" s="52">
        <f t="shared" si="10"/>
        <v>34.512192785811607</v>
      </c>
      <c r="AU57" s="52">
        <f t="shared" si="10"/>
        <v>34.522993774917317</v>
      </c>
      <c r="AV57" s="52">
        <f t="shared" si="10"/>
        <v>34.533798144317238</v>
      </c>
      <c r="AW57" s="52">
        <f t="shared" si="10"/>
        <v>34.544605895069282</v>
      </c>
      <c r="AX57" s="52">
        <f t="shared" si="10"/>
        <v>34.555417028231673</v>
      </c>
      <c r="AY57" s="52">
        <f t="shared" si="10"/>
        <v>34.566231544862987</v>
      </c>
      <c r="AZ57" s="52">
        <f t="shared" si="10"/>
        <v>34.577049446022109</v>
      </c>
      <c r="BA57" s="52">
        <f t="shared" si="10"/>
        <v>34.587870732768266</v>
      </c>
      <c r="BB57" s="52">
        <f t="shared" si="10"/>
        <v>34.598695406161028</v>
      </c>
      <c r="BC57" s="52">
        <f t="shared" si="10"/>
        <v>34.609523467260274</v>
      </c>
      <c r="BD57" s="52">
        <f t="shared" si="10"/>
        <v>34.620354917126228</v>
      </c>
      <c r="BE57" s="52">
        <f t="shared" si="10"/>
        <v>34.631189756819452</v>
      </c>
      <c r="BF57" s="52">
        <f t="shared" si="10"/>
        <v>34.642027987400816</v>
      </c>
      <c r="BG57" s="52">
        <f t="shared" si="10"/>
        <v>34.65286960993155</v>
      </c>
      <c r="BH57" s="52">
        <f t="shared" si="10"/>
        <v>34.66371462547319</v>
      </c>
      <c r="BJ57" s="22">
        <f>SUM(B57:BI57)</f>
        <v>2026.7131632221945</v>
      </c>
      <c r="BL57" s="22"/>
    </row>
    <row r="58" spans="1:64" s="45" customFormat="1" ht="24" customHeight="1" x14ac:dyDescent="0.25">
      <c r="A58" s="28" t="s">
        <v>286</v>
      </c>
      <c r="B58" s="46">
        <v>0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</row>
    <row r="59" spans="1:64" ht="21" customHeight="1" x14ac:dyDescent="0.25">
      <c r="A59" s="34" t="s">
        <v>104</v>
      </c>
      <c r="B59" s="52">
        <f>$B$58/365*B$32</f>
        <v>0</v>
      </c>
      <c r="C59" s="52">
        <f t="shared" ref="C59:BH59" si="11">$B$58/365*C$32</f>
        <v>0</v>
      </c>
      <c r="D59" s="52">
        <f t="shared" si="11"/>
        <v>0</v>
      </c>
      <c r="E59" s="52">
        <f t="shared" si="11"/>
        <v>0</v>
      </c>
      <c r="F59" s="52">
        <f t="shared" si="11"/>
        <v>0</v>
      </c>
      <c r="G59" s="52">
        <f t="shared" si="11"/>
        <v>0</v>
      </c>
      <c r="H59" s="52">
        <f t="shared" si="11"/>
        <v>0</v>
      </c>
      <c r="I59" s="52">
        <f t="shared" si="11"/>
        <v>0</v>
      </c>
      <c r="J59" s="52">
        <f t="shared" si="11"/>
        <v>0</v>
      </c>
      <c r="K59" s="52">
        <f t="shared" si="11"/>
        <v>0</v>
      </c>
      <c r="L59" s="52">
        <f t="shared" si="11"/>
        <v>0</v>
      </c>
      <c r="M59" s="52">
        <f t="shared" si="11"/>
        <v>0</v>
      </c>
      <c r="N59" s="52">
        <f t="shared" si="11"/>
        <v>0</v>
      </c>
      <c r="O59" s="52">
        <f t="shared" si="11"/>
        <v>0</v>
      </c>
      <c r="P59" s="52">
        <f t="shared" si="11"/>
        <v>0</v>
      </c>
      <c r="Q59" s="52">
        <f t="shared" si="11"/>
        <v>0</v>
      </c>
      <c r="R59" s="52">
        <f t="shared" si="11"/>
        <v>0</v>
      </c>
      <c r="S59" s="52">
        <f t="shared" si="11"/>
        <v>0</v>
      </c>
      <c r="T59" s="52">
        <f t="shared" si="11"/>
        <v>0</v>
      </c>
      <c r="U59" s="52">
        <f t="shared" si="11"/>
        <v>0</v>
      </c>
      <c r="V59" s="52">
        <f t="shared" si="11"/>
        <v>0</v>
      </c>
      <c r="W59" s="52">
        <f t="shared" si="11"/>
        <v>0</v>
      </c>
      <c r="X59" s="52">
        <f t="shared" si="11"/>
        <v>0</v>
      </c>
      <c r="Y59" s="52">
        <f t="shared" si="11"/>
        <v>0</v>
      </c>
      <c r="Z59" s="52">
        <f t="shared" si="11"/>
        <v>0</v>
      </c>
      <c r="AA59" s="52">
        <f t="shared" si="11"/>
        <v>0</v>
      </c>
      <c r="AB59" s="52">
        <f t="shared" si="11"/>
        <v>0</v>
      </c>
      <c r="AC59" s="52">
        <f t="shared" si="11"/>
        <v>0</v>
      </c>
      <c r="AD59" s="52">
        <f t="shared" si="11"/>
        <v>0</v>
      </c>
      <c r="AE59" s="52">
        <f t="shared" si="11"/>
        <v>0</v>
      </c>
      <c r="AF59" s="52">
        <f t="shared" si="11"/>
        <v>0</v>
      </c>
      <c r="AG59" s="52">
        <f t="shared" si="11"/>
        <v>0</v>
      </c>
      <c r="AH59" s="52">
        <f t="shared" si="11"/>
        <v>0</v>
      </c>
      <c r="AI59" s="52">
        <f t="shared" si="11"/>
        <v>0</v>
      </c>
      <c r="AJ59" s="52">
        <f t="shared" si="11"/>
        <v>0</v>
      </c>
      <c r="AK59" s="52">
        <f t="shared" si="11"/>
        <v>0</v>
      </c>
      <c r="AL59" s="52">
        <f t="shared" si="11"/>
        <v>0</v>
      </c>
      <c r="AM59" s="52">
        <f t="shared" si="11"/>
        <v>0</v>
      </c>
      <c r="AN59" s="52">
        <f t="shared" si="11"/>
        <v>0</v>
      </c>
      <c r="AO59" s="52">
        <f t="shared" si="11"/>
        <v>0</v>
      </c>
      <c r="AP59" s="52">
        <f t="shared" si="11"/>
        <v>0</v>
      </c>
      <c r="AQ59" s="52">
        <f t="shared" si="11"/>
        <v>0</v>
      </c>
      <c r="AR59" s="52">
        <f t="shared" si="11"/>
        <v>0</v>
      </c>
      <c r="AS59" s="52">
        <f t="shared" si="11"/>
        <v>0</v>
      </c>
      <c r="AT59" s="52">
        <f t="shared" si="11"/>
        <v>0</v>
      </c>
      <c r="AU59" s="52">
        <f t="shared" si="11"/>
        <v>0</v>
      </c>
      <c r="AV59" s="52">
        <f t="shared" si="11"/>
        <v>0</v>
      </c>
      <c r="AW59" s="52">
        <f t="shared" si="11"/>
        <v>0</v>
      </c>
      <c r="AX59" s="52">
        <f t="shared" si="11"/>
        <v>0</v>
      </c>
      <c r="AY59" s="52">
        <f t="shared" si="11"/>
        <v>0</v>
      </c>
      <c r="AZ59" s="52">
        <f t="shared" si="11"/>
        <v>0</v>
      </c>
      <c r="BA59" s="52">
        <f t="shared" si="11"/>
        <v>0</v>
      </c>
      <c r="BB59" s="52">
        <f t="shared" si="11"/>
        <v>0</v>
      </c>
      <c r="BC59" s="52">
        <f t="shared" si="11"/>
        <v>0</v>
      </c>
      <c r="BD59" s="52">
        <f t="shared" si="11"/>
        <v>0</v>
      </c>
      <c r="BE59" s="52">
        <f t="shared" si="11"/>
        <v>0</v>
      </c>
      <c r="BF59" s="52">
        <f t="shared" si="11"/>
        <v>0</v>
      </c>
      <c r="BG59" s="52">
        <f t="shared" si="11"/>
        <v>0</v>
      </c>
      <c r="BH59" s="52">
        <f t="shared" si="11"/>
        <v>0</v>
      </c>
      <c r="BJ59" s="22">
        <f>SUM(B59:BI59)</f>
        <v>0</v>
      </c>
      <c r="BL59" s="22"/>
    </row>
    <row r="60" spans="1:64" s="45" customFormat="1" ht="24" customHeight="1" x14ac:dyDescent="0.25">
      <c r="A60" s="47" t="s">
        <v>287</v>
      </c>
      <c r="B60" s="49">
        <f>+B53+B55+B57+B59</f>
        <v>195.73160763453586</v>
      </c>
      <c r="C60" s="49">
        <f t="shared" ref="C60:BH60" si="12">+C53+C55+C57+C59</f>
        <v>195.74758758224965</v>
      </c>
      <c r="D60" s="49">
        <f t="shared" si="12"/>
        <v>195.76357253107253</v>
      </c>
      <c r="E60" s="49">
        <f t="shared" si="12"/>
        <v>195.77956248256967</v>
      </c>
      <c r="F60" s="49">
        <f t="shared" si="12"/>
        <v>195.7955574383067</v>
      </c>
      <c r="G60" s="49">
        <f t="shared" si="12"/>
        <v>195.81155739984973</v>
      </c>
      <c r="H60" s="49">
        <f t="shared" si="12"/>
        <v>195.82756236876543</v>
      </c>
      <c r="I60" s="49">
        <f t="shared" si="12"/>
        <v>195.8435723466209</v>
      </c>
      <c r="J60" s="49">
        <f t="shared" si="12"/>
        <v>195.85958733498376</v>
      </c>
      <c r="K60" s="49">
        <f t="shared" si="12"/>
        <v>195.87560733542207</v>
      </c>
      <c r="L60" s="49">
        <f t="shared" si="12"/>
        <v>195.89163234950445</v>
      </c>
      <c r="M60" s="49">
        <f t="shared" si="12"/>
        <v>195.90766237879996</v>
      </c>
      <c r="N60" s="49">
        <f t="shared" si="12"/>
        <v>195.92369742487816</v>
      </c>
      <c r="O60" s="49">
        <f t="shared" si="12"/>
        <v>195.93973748930912</v>
      </c>
      <c r="P60" s="49">
        <f t="shared" si="12"/>
        <v>195.95578257366341</v>
      </c>
      <c r="Q60" s="49">
        <f t="shared" si="12"/>
        <v>195.97183267951203</v>
      </c>
      <c r="R60" s="49">
        <f t="shared" si="12"/>
        <v>195.98788780842659</v>
      </c>
      <c r="S60" s="49">
        <f t="shared" si="12"/>
        <v>196.00394796197901</v>
      </c>
      <c r="T60" s="49">
        <f t="shared" si="12"/>
        <v>196.02001314174188</v>
      </c>
      <c r="U60" s="49">
        <f t="shared" si="12"/>
        <v>196.03608334928822</v>
      </c>
      <c r="V60" s="49">
        <f t="shared" si="12"/>
        <v>196.0521585861915</v>
      </c>
      <c r="W60" s="49">
        <f t="shared" si="12"/>
        <v>196.06823885402574</v>
      </c>
      <c r="X60" s="49">
        <f t="shared" si="12"/>
        <v>196.08432415436539</v>
      </c>
      <c r="Y60" s="49">
        <f t="shared" si="12"/>
        <v>196.10041448878545</v>
      </c>
      <c r="Z60" s="49">
        <f t="shared" si="12"/>
        <v>196.11650985886141</v>
      </c>
      <c r="AA60" s="49">
        <f t="shared" si="12"/>
        <v>196.13261026616925</v>
      </c>
      <c r="AB60" s="49">
        <f t="shared" si="12"/>
        <v>196.14871571228537</v>
      </c>
      <c r="AC60" s="49">
        <f t="shared" si="12"/>
        <v>196.16482619878676</v>
      </c>
      <c r="AD60" s="49">
        <f t="shared" si="12"/>
        <v>196.18094172725085</v>
      </c>
      <c r="AE60" s="49">
        <f t="shared" si="12"/>
        <v>196.19706229925561</v>
      </c>
      <c r="AF60" s="49">
        <f t="shared" si="12"/>
        <v>196.21318791637947</v>
      </c>
      <c r="AG60" s="49">
        <f t="shared" si="12"/>
        <v>196.22931858020129</v>
      </c>
      <c r="AH60" s="49">
        <f t="shared" si="12"/>
        <v>196.24545429230062</v>
      </c>
      <c r="AI60" s="49">
        <f t="shared" si="12"/>
        <v>196.26159505425727</v>
      </c>
      <c r="AJ60" s="49">
        <f t="shared" si="12"/>
        <v>196.27774086765169</v>
      </c>
      <c r="AK60" s="49">
        <f t="shared" si="12"/>
        <v>196.2938917340648</v>
      </c>
      <c r="AL60" s="49">
        <f t="shared" si="12"/>
        <v>196.31004765507797</v>
      </c>
      <c r="AM60" s="49">
        <f t="shared" si="12"/>
        <v>196.32620863227311</v>
      </c>
      <c r="AN60" s="49">
        <f t="shared" si="12"/>
        <v>196.3423746672326</v>
      </c>
      <c r="AO60" s="49">
        <f t="shared" si="12"/>
        <v>196.35854576153935</v>
      </c>
      <c r="AP60" s="49">
        <f t="shared" si="12"/>
        <v>196.37472191677671</v>
      </c>
      <c r="AQ60" s="49">
        <f t="shared" si="12"/>
        <v>196.39090313452857</v>
      </c>
      <c r="AR60" s="49">
        <f t="shared" si="12"/>
        <v>196.40708941637934</v>
      </c>
      <c r="AS60" s="49">
        <f t="shared" si="12"/>
        <v>196.42328076391382</v>
      </c>
      <c r="AT60" s="49">
        <f t="shared" si="12"/>
        <v>196.4394771787174</v>
      </c>
      <c r="AU60" s="49">
        <f t="shared" si="12"/>
        <v>196.45567866237599</v>
      </c>
      <c r="AV60" s="49">
        <f t="shared" si="12"/>
        <v>196.47188521647587</v>
      </c>
      <c r="AW60" s="49">
        <f t="shared" si="12"/>
        <v>196.48809684260394</v>
      </c>
      <c r="AX60" s="49">
        <f t="shared" si="12"/>
        <v>196.50431354234752</v>
      </c>
      <c r="AY60" s="49">
        <f t="shared" si="12"/>
        <v>196.5205353172945</v>
      </c>
      <c r="AZ60" s="49">
        <f t="shared" si="12"/>
        <v>196.53676216903315</v>
      </c>
      <c r="BA60" s="49">
        <f t="shared" si="12"/>
        <v>196.55299409915241</v>
      </c>
      <c r="BB60" s="49">
        <f t="shared" si="12"/>
        <v>196.56923110924154</v>
      </c>
      <c r="BC60" s="49">
        <f t="shared" si="12"/>
        <v>196.58547320089042</v>
      </c>
      <c r="BD60" s="49">
        <f t="shared" si="12"/>
        <v>196.60172037568935</v>
      </c>
      <c r="BE60" s="49">
        <f t="shared" si="12"/>
        <v>196.61797263522917</v>
      </c>
      <c r="BF60" s="49">
        <f t="shared" si="12"/>
        <v>196.63422998110121</v>
      </c>
      <c r="BG60" s="49">
        <f t="shared" si="12"/>
        <v>196.65049241489731</v>
      </c>
      <c r="BH60" s="49">
        <f t="shared" si="12"/>
        <v>196.66675993820979</v>
      </c>
      <c r="BJ60" s="22">
        <f>SUM(B60:BI60)</f>
        <v>11575.669836833291</v>
      </c>
      <c r="BL60" s="22"/>
    </row>
    <row r="61" spans="1:64" ht="21" customHeight="1" x14ac:dyDescent="0.25">
      <c r="A61" s="36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</row>
    <row r="62" spans="1:64" ht="24" customHeight="1" x14ac:dyDescent="0.25">
      <c r="A62" s="38" t="s">
        <v>106</v>
      </c>
      <c r="B62" s="39">
        <f>+B$34+B$42</f>
        <v>621429.52825070405</v>
      </c>
      <c r="C62" s="39">
        <f t="shared" ref="C62:BH62" si="13">+C$34+C$42</f>
        <v>621624.01179471577</v>
      </c>
      <c r="D62" s="39">
        <f t="shared" si="13"/>
        <v>621818.55620459758</v>
      </c>
      <c r="E62" s="39">
        <f t="shared" si="13"/>
        <v>622013.16149939806</v>
      </c>
      <c r="F62" s="39">
        <f t="shared" si="13"/>
        <v>622207.82769817184</v>
      </c>
      <c r="G62" s="39">
        <f t="shared" si="13"/>
        <v>622402.55481997959</v>
      </c>
      <c r="H62" s="39">
        <f t="shared" si="13"/>
        <v>622597.34288388782</v>
      </c>
      <c r="I62" s="39">
        <f t="shared" si="13"/>
        <v>622792.19190896908</v>
      </c>
      <c r="J62" s="39">
        <f t="shared" si="13"/>
        <v>622987.10191430186</v>
      </c>
      <c r="K62" s="39">
        <f t="shared" si="13"/>
        <v>623182.07291897072</v>
      </c>
      <c r="L62" s="39">
        <f t="shared" si="13"/>
        <v>623377.10494206601</v>
      </c>
      <c r="M62" s="39">
        <f t="shared" si="13"/>
        <v>623572.19800268416</v>
      </c>
      <c r="N62" s="39">
        <f t="shared" si="13"/>
        <v>623767.35211992764</v>
      </c>
      <c r="O62" s="39">
        <f t="shared" si="13"/>
        <v>623962.56731290475</v>
      </c>
      <c r="P62" s="39">
        <f t="shared" si="13"/>
        <v>624157.84360072983</v>
      </c>
      <c r="Q62" s="39">
        <f t="shared" si="13"/>
        <v>624353.18100252328</v>
      </c>
      <c r="R62" s="39">
        <f t="shared" si="13"/>
        <v>624548.57953741134</v>
      </c>
      <c r="S62" s="39">
        <f t="shared" si="13"/>
        <v>624744.03922452638</v>
      </c>
      <c r="T62" s="39">
        <f t="shared" si="13"/>
        <v>624939.56008300674</v>
      </c>
      <c r="U62" s="39">
        <f t="shared" si="13"/>
        <v>625135.14213199669</v>
      </c>
      <c r="V62" s="39">
        <f t="shared" si="13"/>
        <v>625330.78539064643</v>
      </c>
      <c r="W62" s="39">
        <f t="shared" si="13"/>
        <v>625526.48987811222</v>
      </c>
      <c r="X62" s="39">
        <f t="shared" si="13"/>
        <v>625722.25561355636</v>
      </c>
      <c r="Y62" s="39">
        <f t="shared" si="13"/>
        <v>625918.08261614724</v>
      </c>
      <c r="Z62" s="39">
        <f t="shared" si="13"/>
        <v>626113.9709050589</v>
      </c>
      <c r="AA62" s="39">
        <f t="shared" si="13"/>
        <v>626309.92049947171</v>
      </c>
      <c r="AB62" s="39">
        <f t="shared" si="13"/>
        <v>626505.93141857197</v>
      </c>
      <c r="AC62" s="39">
        <f t="shared" si="13"/>
        <v>626702.0036815519</v>
      </c>
      <c r="AD62" s="39">
        <f t="shared" si="13"/>
        <v>626898.13730760978</v>
      </c>
      <c r="AE62" s="39">
        <f t="shared" si="13"/>
        <v>627094.33231594996</v>
      </c>
      <c r="AF62" s="39">
        <f t="shared" si="13"/>
        <v>627290.58872578258</v>
      </c>
      <c r="AG62" s="39">
        <f t="shared" si="13"/>
        <v>627486.9065563241</v>
      </c>
      <c r="AH62" s="39">
        <f t="shared" si="13"/>
        <v>627683.28582679678</v>
      </c>
      <c r="AI62" s="39">
        <f t="shared" si="13"/>
        <v>627879.72655642894</v>
      </c>
      <c r="AJ62" s="39">
        <f t="shared" si="13"/>
        <v>628076.22876445495</v>
      </c>
      <c r="AK62" s="39">
        <f t="shared" si="13"/>
        <v>628272.79247011524</v>
      </c>
      <c r="AL62" s="39">
        <f t="shared" si="13"/>
        <v>628469.41769265605</v>
      </c>
      <c r="AM62" s="39">
        <f t="shared" si="13"/>
        <v>628666.10445132991</v>
      </c>
      <c r="AN62" s="39">
        <f t="shared" si="13"/>
        <v>628862.85276539531</v>
      </c>
      <c r="AO62" s="39">
        <f t="shared" si="13"/>
        <v>629059.66265411663</v>
      </c>
      <c r="AP62" s="39">
        <f t="shared" si="13"/>
        <v>629256.53413676436</v>
      </c>
      <c r="AQ62" s="39">
        <f t="shared" si="13"/>
        <v>629453.4672326151</v>
      </c>
      <c r="AR62" s="39">
        <f t="shared" si="13"/>
        <v>629650.46196095133</v>
      </c>
      <c r="AS62" s="39">
        <f t="shared" si="13"/>
        <v>629847.51834106178</v>
      </c>
      <c r="AT62" s="39">
        <f t="shared" si="13"/>
        <v>630044.63639224099</v>
      </c>
      <c r="AU62" s="39">
        <f t="shared" si="13"/>
        <v>630241.8161337896</v>
      </c>
      <c r="AV62" s="39">
        <f t="shared" si="13"/>
        <v>630439.05758501438</v>
      </c>
      <c r="AW62" s="39">
        <f t="shared" si="13"/>
        <v>630636.36076522805</v>
      </c>
      <c r="AX62" s="39">
        <f t="shared" si="13"/>
        <v>630833.7256937495</v>
      </c>
      <c r="AY62" s="39">
        <f t="shared" si="13"/>
        <v>631031.15238990344</v>
      </c>
      <c r="AZ62" s="39">
        <f t="shared" si="13"/>
        <v>631228.64087302086</v>
      </c>
      <c r="BA62" s="39">
        <f t="shared" si="13"/>
        <v>631426.19116243871</v>
      </c>
      <c r="BB62" s="39">
        <f t="shared" si="13"/>
        <v>631623.80327749997</v>
      </c>
      <c r="BC62" s="39">
        <f t="shared" si="13"/>
        <v>631821.47723755368</v>
      </c>
      <c r="BD62" s="39">
        <f t="shared" si="13"/>
        <v>632019.21306195494</v>
      </c>
      <c r="BE62" s="39">
        <f t="shared" si="13"/>
        <v>632217.0107700649</v>
      </c>
      <c r="BF62" s="39">
        <f t="shared" si="13"/>
        <v>632414.87038125074</v>
      </c>
      <c r="BG62" s="39">
        <f t="shared" si="13"/>
        <v>632612.79191488575</v>
      </c>
      <c r="BH62" s="39">
        <f t="shared" si="13"/>
        <v>632810.77539034933</v>
      </c>
    </row>
    <row r="63" spans="1:64" ht="24" customHeight="1" x14ac:dyDescent="0.25">
      <c r="A63" s="19" t="s">
        <v>107</v>
      </c>
      <c r="B63" s="20">
        <f>+B62/B37</f>
        <v>1.0003179621312233</v>
      </c>
      <c r="C63" s="20">
        <f>+C62/C37</f>
        <v>1.0006310231841176</v>
      </c>
      <c r="D63" s="20">
        <f>+D62/D37</f>
        <v>1.0009441822130825</v>
      </c>
      <c r="E63" s="20">
        <f>+E62/E37</f>
        <v>1.0012574392487799</v>
      </c>
      <c r="F63" s="20">
        <f>+F62/F37</f>
        <v>1.0015707943218828</v>
      </c>
      <c r="G63" s="20">
        <f>+G62/G37</f>
        <v>1.0018842474630727</v>
      </c>
      <c r="H63" s="20">
        <f>+H62/H37</f>
        <v>1.0021977987030415</v>
      </c>
      <c r="I63" s="20">
        <f>+I62/I37</f>
        <v>1.0025114480724899</v>
      </c>
      <c r="J63" s="20">
        <f>+J62/J37</f>
        <v>1.002825195602129</v>
      </c>
      <c r="K63" s="20">
        <f>+K62/K37</f>
        <v>1.0031390413226793</v>
      </c>
      <c r="L63" s="20">
        <f>+L62/L37</f>
        <v>1.0034529852648704</v>
      </c>
      <c r="M63" s="20">
        <f>+M62/M37</f>
        <v>1.0037670274594421</v>
      </c>
      <c r="N63" s="20">
        <f>+N62/N37</f>
        <v>1.0040811679371437</v>
      </c>
      <c r="O63" s="20">
        <f>+O62/O37</f>
        <v>1.0043954067287337</v>
      </c>
      <c r="P63" s="20">
        <f>+P62/P37</f>
        <v>1.004709743864981</v>
      </c>
      <c r="Q63" s="20">
        <f>+Q62/Q37</f>
        <v>1.0050241793766632</v>
      </c>
      <c r="R63" s="20">
        <f>+R62/R37</f>
        <v>1.0053387132945684</v>
      </c>
      <c r="S63" s="20">
        <f>+S62/S37</f>
        <v>1.0056533456494938</v>
      </c>
      <c r="T63" s="20">
        <f>+T62/T37</f>
        <v>1.0059680764722467</v>
      </c>
      <c r="U63" s="20">
        <f>+U62/U37</f>
        <v>1.0062829057936433</v>
      </c>
      <c r="V63" s="20">
        <f>+V62/V37</f>
        <v>1.0065978336445103</v>
      </c>
      <c r="W63" s="20">
        <f>+W62/W37</f>
        <v>1.0069128600556831</v>
      </c>
      <c r="X63" s="20">
        <f>+X62/X37</f>
        <v>1.0072279850580079</v>
      </c>
      <c r="Y63" s="20">
        <f>+Y62/Y37</f>
        <v>1.0075432086823397</v>
      </c>
      <c r="Z63" s="20">
        <f>+Z62/Z37</f>
        <v>1.0078585309595431</v>
      </c>
      <c r="AA63" s="20">
        <f>+AA62/AA37</f>
        <v>1.0081739519204931</v>
      </c>
      <c r="AB63" s="20">
        <f>+AB62/AB37</f>
        <v>1.0084894715960735</v>
      </c>
      <c r="AC63" s="20">
        <f>+AC62/AC37</f>
        <v>1.0088050900171786</v>
      </c>
      <c r="AD63" s="20">
        <f>+AD62/AD37</f>
        <v>1.0091208072147118</v>
      </c>
      <c r="AE63" s="20">
        <f>+AE62/AE37</f>
        <v>1.0094366232195862</v>
      </c>
      <c r="AF63" s="20">
        <f>+AF62/AF37</f>
        <v>1.0097525380627246</v>
      </c>
      <c r="AG63" s="20">
        <f>+AG62/AG37</f>
        <v>1.0100685517750601</v>
      </c>
      <c r="AH63" s="20">
        <f>+AH62/AH37</f>
        <v>1.0103846643875345</v>
      </c>
      <c r="AI63" s="20">
        <f>+AI62/AI37</f>
        <v>1.0107008759310998</v>
      </c>
      <c r="AJ63" s="20">
        <f>+AJ62/AJ37</f>
        <v>1.0110171864367177</v>
      </c>
      <c r="AK63" s="20">
        <f>+AK62/AK37</f>
        <v>1.0113335959353595</v>
      </c>
      <c r="AL63" s="20">
        <f>+AL62/AL37</f>
        <v>1.0116501044580062</v>
      </c>
      <c r="AM63" s="20">
        <f>+AM62/AM37</f>
        <v>1.0119667120356484</v>
      </c>
      <c r="AN63" s="20">
        <f>+AN62/AN37</f>
        <v>1.0122834186992868</v>
      </c>
      <c r="AO63" s="20">
        <f>+AO62/AO37</f>
        <v>1.0126002244799313</v>
      </c>
      <c r="AP63" s="20">
        <f>+AP62/AP37</f>
        <v>1.0129171294086015</v>
      </c>
      <c r="AQ63" s="20">
        <f>+AQ62/AQ37</f>
        <v>1.0132341335163273</v>
      </c>
      <c r="AR63" s="20">
        <f>+AR62/AR37</f>
        <v>1.0135512368341479</v>
      </c>
      <c r="AS63" s="20">
        <f>+AS62/AS37</f>
        <v>1.0138684393931121</v>
      </c>
      <c r="AT63" s="20">
        <f>+AT62/AT37</f>
        <v>1.0141857412242785</v>
      </c>
      <c r="AU63" s="20">
        <f>+AU62/AU37</f>
        <v>1.0145031423587156</v>
      </c>
      <c r="AV63" s="20">
        <f>+AV62/AV37</f>
        <v>1.0148206428275015</v>
      </c>
      <c r="AW63" s="20">
        <f>+AW62/AW37</f>
        <v>1.0151382426617239</v>
      </c>
      <c r="AX63" s="20">
        <f>+AX62/AX37</f>
        <v>1.0154559418924807</v>
      </c>
      <c r="AY63" s="20">
        <f>+AY62/AY37</f>
        <v>1.0157737405508787</v>
      </c>
      <c r="AZ63" s="20">
        <f>+AZ62/AZ37</f>
        <v>1.0160916386680352</v>
      </c>
      <c r="BA63" s="20">
        <f>+BA62/BA37</f>
        <v>1.0164096362750772</v>
      </c>
      <c r="BB63" s="20">
        <f>+BB62/BB37</f>
        <v>1.0167277334031408</v>
      </c>
      <c r="BC63" s="20">
        <f>+BC62/BC37</f>
        <v>1.0170459300833725</v>
      </c>
      <c r="BD63" s="20">
        <f>+BD62/BD37</f>
        <v>1.0173642263469282</v>
      </c>
      <c r="BE63" s="20">
        <f>+BE62/BE37</f>
        <v>1.0176826222249737</v>
      </c>
      <c r="BF63" s="20">
        <f>+BF62/BF37</f>
        <v>1.0180011177486845</v>
      </c>
      <c r="BG63" s="20">
        <f>+BG62/BG37</f>
        <v>1.0183197129492456</v>
      </c>
      <c r="BH63" s="20">
        <f>+BH62/BH37</f>
        <v>1.0186384078578523</v>
      </c>
    </row>
    <row r="65" spans="2:62" x14ac:dyDescent="0.25">
      <c r="B65" s="55">
        <f>+B$63-B$38</f>
        <v>3.1796213122325945E-4</v>
      </c>
      <c r="C65" s="55">
        <f t="shared" ref="C65:BH65" si="14">+C$63-C$38</f>
        <v>3.1306105289430342E-4</v>
      </c>
      <c r="D65" s="55">
        <f t="shared" si="14"/>
        <v>3.1315902896489334E-4</v>
      </c>
      <c r="E65" s="55">
        <f t="shared" si="14"/>
        <v>3.1325703569740071E-4</v>
      </c>
      <c r="F65" s="55">
        <f t="shared" si="14"/>
        <v>3.1335507310292776E-4</v>
      </c>
      <c r="G65" s="55">
        <f t="shared" si="14"/>
        <v>3.1345314118991219E-4</v>
      </c>
      <c r="H65" s="55">
        <f t="shared" si="14"/>
        <v>3.1355123996879009E-4</v>
      </c>
      <c r="I65" s="55">
        <f t="shared" si="14"/>
        <v>3.1364936944844324E-4</v>
      </c>
      <c r="J65" s="55">
        <f t="shared" si="14"/>
        <v>3.137475296390857E-4</v>
      </c>
      <c r="K65" s="55">
        <f t="shared" si="14"/>
        <v>3.1384572055026538E-4</v>
      </c>
      <c r="L65" s="55">
        <f t="shared" si="14"/>
        <v>3.1394394219108612E-4</v>
      </c>
      <c r="M65" s="55">
        <f t="shared" si="14"/>
        <v>3.1404219457176197E-4</v>
      </c>
      <c r="N65" s="55">
        <f t="shared" si="14"/>
        <v>3.1414047770161879E-4</v>
      </c>
      <c r="O65" s="55">
        <f t="shared" si="14"/>
        <v>3.1423879158998247E-4</v>
      </c>
      <c r="P65" s="55">
        <f t="shared" si="14"/>
        <v>3.143371362472891E-4</v>
      </c>
      <c r="Q65" s="55">
        <f t="shared" si="14"/>
        <v>3.1443551168219841E-4</v>
      </c>
      <c r="R65" s="55">
        <f t="shared" si="14"/>
        <v>3.1453391790514651E-4</v>
      </c>
      <c r="S65" s="55">
        <f t="shared" si="14"/>
        <v>3.1463235492545927E-4</v>
      </c>
      <c r="T65" s="55">
        <f t="shared" si="14"/>
        <v>3.1473082275290665E-4</v>
      </c>
      <c r="U65" s="55">
        <f t="shared" si="14"/>
        <v>3.1482932139659248E-4</v>
      </c>
      <c r="V65" s="55">
        <f t="shared" si="14"/>
        <v>3.1492785086695285E-4</v>
      </c>
      <c r="W65" s="55">
        <f t="shared" si="14"/>
        <v>3.1502641117286956E-4</v>
      </c>
      <c r="X65" s="55">
        <f t="shared" si="14"/>
        <v>3.1512500232477869E-4</v>
      </c>
      <c r="Y65" s="55">
        <f t="shared" si="14"/>
        <v>3.1522362433178408E-4</v>
      </c>
      <c r="Z65" s="55">
        <f t="shared" si="14"/>
        <v>3.1532227720343364E-4</v>
      </c>
      <c r="AA65" s="55">
        <f t="shared" si="14"/>
        <v>3.1542096094994143E-4</v>
      </c>
      <c r="AB65" s="55">
        <f t="shared" si="14"/>
        <v>3.1551967558041127E-4</v>
      </c>
      <c r="AC65" s="55">
        <f t="shared" si="14"/>
        <v>3.1561842110505722E-4</v>
      </c>
      <c r="AD65" s="55">
        <f t="shared" si="14"/>
        <v>3.1571719753320515E-4</v>
      </c>
      <c r="AE65" s="55">
        <f t="shared" si="14"/>
        <v>3.1581600487440298E-4</v>
      </c>
      <c r="AF65" s="55">
        <f t="shared" si="14"/>
        <v>3.1591484313842066E-4</v>
      </c>
      <c r="AG65" s="55">
        <f t="shared" si="14"/>
        <v>3.1601371233547226E-4</v>
      </c>
      <c r="AH65" s="55">
        <f t="shared" si="14"/>
        <v>3.1611261247443956E-4</v>
      </c>
      <c r="AI65" s="55">
        <f t="shared" si="14"/>
        <v>3.1621154356531456E-4</v>
      </c>
      <c r="AJ65" s="55">
        <f t="shared" si="14"/>
        <v>3.1631050561786722E-4</v>
      </c>
      <c r="AK65" s="55">
        <f t="shared" si="14"/>
        <v>3.1640949864186751E-4</v>
      </c>
      <c r="AL65" s="55">
        <f t="shared" si="14"/>
        <v>3.1650852264664131E-4</v>
      </c>
      <c r="AM65" s="55">
        <f t="shared" si="14"/>
        <v>3.1660757764218062E-4</v>
      </c>
      <c r="AN65" s="55">
        <f t="shared" si="14"/>
        <v>3.1670666363847744E-4</v>
      </c>
      <c r="AO65" s="55">
        <f t="shared" si="14"/>
        <v>3.1680578064441356E-4</v>
      </c>
      <c r="AP65" s="55">
        <f t="shared" si="14"/>
        <v>3.1690492867020303E-4</v>
      </c>
      <c r="AQ65" s="55">
        <f t="shared" si="14"/>
        <v>3.1700410772583787E-4</v>
      </c>
      <c r="AR65" s="55">
        <f t="shared" si="14"/>
        <v>3.1710331782064394E-4</v>
      </c>
      <c r="AS65" s="55">
        <f t="shared" si="14"/>
        <v>3.1720255896416916E-4</v>
      </c>
      <c r="AT65" s="55">
        <f t="shared" si="14"/>
        <v>3.1730183116640553E-4</v>
      </c>
      <c r="AU65" s="55">
        <f t="shared" si="14"/>
        <v>3.1740113443712303E-4</v>
      </c>
      <c r="AV65" s="55">
        <f t="shared" si="14"/>
        <v>3.1750046878586957E-4</v>
      </c>
      <c r="AW65" s="55">
        <f t="shared" si="14"/>
        <v>3.1759983422241511E-4</v>
      </c>
      <c r="AX65" s="55">
        <f t="shared" si="14"/>
        <v>3.1769923075675166E-4</v>
      </c>
      <c r="AY65" s="55">
        <f t="shared" si="14"/>
        <v>3.1779865839798305E-4</v>
      </c>
      <c r="AZ65" s="55">
        <f t="shared" si="14"/>
        <v>3.1789811715654537E-4</v>
      </c>
      <c r="BA65" s="55">
        <f t="shared" si="14"/>
        <v>3.1799760704198654E-4</v>
      </c>
      <c r="BB65" s="55">
        <f t="shared" si="14"/>
        <v>3.1809712806363244E-4</v>
      </c>
      <c r="BC65" s="55">
        <f t="shared" si="14"/>
        <v>3.1819668023169712E-4</v>
      </c>
      <c r="BD65" s="55">
        <f t="shared" si="14"/>
        <v>3.1829626355572849E-4</v>
      </c>
      <c r="BE65" s="55">
        <f t="shared" si="14"/>
        <v>3.1839587804549652E-4</v>
      </c>
      <c r="BF65" s="55">
        <f t="shared" si="14"/>
        <v>3.1849552371077117E-4</v>
      </c>
      <c r="BG65" s="55">
        <f t="shared" si="14"/>
        <v>3.1859520056110036E-4</v>
      </c>
      <c r="BH65" s="55">
        <f t="shared" si="14"/>
        <v>3.1869490860669814E-4</v>
      </c>
      <c r="BJ65" s="22">
        <f>SUM(B65:BI65)</f>
        <v>1.8638407857852313E-2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O146"/>
  <sheetViews>
    <sheetView showGridLines="0" tabSelected="1" workbookViewId="0">
      <pane xSplit="1" ySplit="1" topLeftCell="B77" activePane="bottomRight" state="frozen"/>
      <selection pane="topRight"/>
      <selection pane="bottomLeft"/>
      <selection pane="bottomRight" activeCell="B144" sqref="B144"/>
    </sheetView>
  </sheetViews>
  <sheetFormatPr baseColWidth="10" defaultColWidth="9.140625" defaultRowHeight="15" outlineLevelRow="1" outlineLevelCol="1" x14ac:dyDescent="0.25"/>
  <cols>
    <col min="1" max="1" width="40" style="25" customWidth="1"/>
    <col min="2" max="2" width="15" style="25" customWidth="1"/>
    <col min="3" max="59" width="15" style="25" customWidth="1" outlineLevel="1"/>
    <col min="60" max="60" width="15" style="25" customWidth="1"/>
    <col min="61" max="61" width="9.140625" style="25"/>
    <col min="62" max="62" width="15.7109375" style="25" customWidth="1"/>
    <col min="63" max="63" width="9.140625" style="25"/>
    <col min="64" max="64" width="15.7109375" style="25" customWidth="1"/>
    <col min="65" max="16384" width="9.140625" style="25"/>
  </cols>
  <sheetData>
    <row r="1" spans="1:60" ht="27.95" customHeigh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</row>
    <row r="2" spans="1:60" ht="21" customHeight="1" x14ac:dyDescent="0.25">
      <c r="A2" s="26" t="s">
        <v>221</v>
      </c>
      <c r="B2" s="27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0</v>
      </c>
      <c r="AO2" s="27">
        <v>0</v>
      </c>
      <c r="AP2" s="27">
        <v>0</v>
      </c>
      <c r="AQ2" s="27">
        <v>0</v>
      </c>
      <c r="AR2" s="27">
        <v>0</v>
      </c>
      <c r="AS2" s="27">
        <v>0</v>
      </c>
      <c r="AT2" s="27">
        <v>0</v>
      </c>
      <c r="AU2" s="27">
        <v>0</v>
      </c>
      <c r="AV2" s="27">
        <v>0</v>
      </c>
      <c r="AW2" s="27">
        <v>0</v>
      </c>
      <c r="AX2" s="27">
        <v>0</v>
      </c>
      <c r="AY2" s="27">
        <v>0</v>
      </c>
      <c r="AZ2" s="27">
        <v>0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</row>
    <row r="3" spans="1:60" ht="21" customHeight="1" x14ac:dyDescent="0.25">
      <c r="A3" s="26" t="s">
        <v>222</v>
      </c>
      <c r="B3" s="27">
        <v>33.472222222222229</v>
      </c>
      <c r="C3" s="27">
        <v>33.472222222222229</v>
      </c>
      <c r="D3" s="27">
        <v>33.472222222222229</v>
      </c>
      <c r="E3" s="27">
        <v>33.472222222222229</v>
      </c>
      <c r="F3" s="27">
        <v>33.472222222222229</v>
      </c>
      <c r="G3" s="27">
        <v>33.472222222222229</v>
      </c>
      <c r="H3" s="27">
        <v>33.472222222222229</v>
      </c>
      <c r="I3" s="27">
        <v>33.472222222222229</v>
      </c>
      <c r="J3" s="27">
        <v>33.472222222222229</v>
      </c>
      <c r="K3" s="27">
        <v>33.472222222222229</v>
      </c>
      <c r="L3" s="27">
        <v>33.472222222222229</v>
      </c>
      <c r="M3" s="27">
        <v>33.472222222222229</v>
      </c>
      <c r="N3" s="27">
        <v>33.472222222222229</v>
      </c>
      <c r="O3" s="27">
        <v>33.472222222222229</v>
      </c>
      <c r="P3" s="27">
        <v>33.472222222222229</v>
      </c>
      <c r="Q3" s="27">
        <v>33.472222222222229</v>
      </c>
      <c r="R3" s="27">
        <v>33.472222222222229</v>
      </c>
      <c r="S3" s="27">
        <v>33.472222222222229</v>
      </c>
      <c r="T3" s="27">
        <v>33.472222222222229</v>
      </c>
      <c r="U3" s="27">
        <v>33.472222222222229</v>
      </c>
      <c r="V3" s="27">
        <v>33.472222222222229</v>
      </c>
      <c r="W3" s="27">
        <v>33.472222222222229</v>
      </c>
      <c r="X3" s="27">
        <v>33.472222222222229</v>
      </c>
      <c r="Y3" s="27">
        <v>33.472222222222229</v>
      </c>
      <c r="Z3" s="27">
        <v>33.472222222222229</v>
      </c>
      <c r="AA3" s="27">
        <v>33.472222222222229</v>
      </c>
      <c r="AB3" s="27">
        <v>33.472222222222229</v>
      </c>
      <c r="AC3" s="27">
        <v>33.472222222222229</v>
      </c>
      <c r="AD3" s="27">
        <v>33.472222222222229</v>
      </c>
      <c r="AE3" s="27">
        <v>33.472222222222229</v>
      </c>
      <c r="AF3" s="27">
        <v>33.472222222222229</v>
      </c>
      <c r="AG3" s="27">
        <v>33.472222222222229</v>
      </c>
      <c r="AH3" s="27">
        <v>33.472222222222229</v>
      </c>
      <c r="AI3" s="27">
        <v>33.472222222222229</v>
      </c>
      <c r="AJ3" s="27">
        <v>33.472222222222229</v>
      </c>
      <c r="AK3" s="27">
        <v>33.472222222222229</v>
      </c>
      <c r="AL3" s="27">
        <v>33.472222222222229</v>
      </c>
      <c r="AM3" s="27">
        <v>33.472222222222229</v>
      </c>
      <c r="AN3" s="27">
        <v>33.472222222222229</v>
      </c>
      <c r="AO3" s="27">
        <v>33.472222222222229</v>
      </c>
      <c r="AP3" s="27">
        <v>33.472222222222229</v>
      </c>
      <c r="AQ3" s="27">
        <v>33.472222222222229</v>
      </c>
      <c r="AR3" s="27">
        <v>33.472222222222229</v>
      </c>
      <c r="AS3" s="27">
        <v>33.472222222222229</v>
      </c>
      <c r="AT3" s="27">
        <v>33.472222222222229</v>
      </c>
      <c r="AU3" s="27">
        <v>33.472222222222229</v>
      </c>
      <c r="AV3" s="27">
        <v>33.472222222222229</v>
      </c>
      <c r="AW3" s="27">
        <v>33.472222222222229</v>
      </c>
      <c r="AX3" s="27">
        <v>33.472222222222229</v>
      </c>
      <c r="AY3" s="27">
        <v>33.472222222222229</v>
      </c>
      <c r="AZ3" s="27">
        <v>33.472222222222229</v>
      </c>
      <c r="BA3" s="27">
        <v>33.472222222222229</v>
      </c>
      <c r="BB3" s="27">
        <v>33.472222222222229</v>
      </c>
      <c r="BC3" s="27">
        <v>33.472222222222229</v>
      </c>
      <c r="BD3" s="27">
        <v>33.472222222222229</v>
      </c>
      <c r="BE3" s="27">
        <v>33.472222222222229</v>
      </c>
      <c r="BF3" s="27">
        <v>33.472222222222229</v>
      </c>
      <c r="BG3" s="27">
        <v>33.472222222222229</v>
      </c>
      <c r="BH3" s="27">
        <v>33.472222222222229</v>
      </c>
    </row>
    <row r="4" spans="1:60" ht="21" customHeight="1" x14ac:dyDescent="0.25">
      <c r="A4" s="26" t="s">
        <v>223</v>
      </c>
      <c r="B4" s="27">
        <v>10.041666666666668</v>
      </c>
      <c r="C4" s="27">
        <v>10.041666666666668</v>
      </c>
      <c r="D4" s="27">
        <v>10.041666666666668</v>
      </c>
      <c r="E4" s="27">
        <v>10.041666666666668</v>
      </c>
      <c r="F4" s="27">
        <v>10.041666666666668</v>
      </c>
      <c r="G4" s="27">
        <v>10.041666666666668</v>
      </c>
      <c r="H4" s="27">
        <v>10.041666666666668</v>
      </c>
      <c r="I4" s="27">
        <v>10.041666666666668</v>
      </c>
      <c r="J4" s="27">
        <v>10.041666666666668</v>
      </c>
      <c r="K4" s="27">
        <v>10.041666666666668</v>
      </c>
      <c r="L4" s="27">
        <v>10.041666666666668</v>
      </c>
      <c r="M4" s="27">
        <v>10.041666666666668</v>
      </c>
      <c r="N4" s="27">
        <v>10.041666666666668</v>
      </c>
      <c r="O4" s="27">
        <v>10.041666666666668</v>
      </c>
      <c r="P4" s="27">
        <v>10.041666666666668</v>
      </c>
      <c r="Q4" s="27">
        <v>10.041666666666668</v>
      </c>
      <c r="R4" s="27">
        <v>10.041666666666668</v>
      </c>
      <c r="S4" s="27">
        <v>10.041666666666668</v>
      </c>
      <c r="T4" s="27">
        <v>10.041666666666668</v>
      </c>
      <c r="U4" s="27">
        <v>10.041666666666668</v>
      </c>
      <c r="V4" s="27">
        <v>10.041666666666668</v>
      </c>
      <c r="W4" s="27">
        <v>10.041666666666668</v>
      </c>
      <c r="X4" s="27">
        <v>10.041666666666668</v>
      </c>
      <c r="Y4" s="27">
        <v>10.041666666666668</v>
      </c>
      <c r="Z4" s="27">
        <v>10.041666666666668</v>
      </c>
      <c r="AA4" s="27">
        <v>10.041666666666668</v>
      </c>
      <c r="AB4" s="27">
        <v>10.041666666666668</v>
      </c>
      <c r="AC4" s="27">
        <v>10.041666666666668</v>
      </c>
      <c r="AD4" s="27">
        <v>10.041666666666668</v>
      </c>
      <c r="AE4" s="27">
        <v>10.041666666666668</v>
      </c>
      <c r="AF4" s="27">
        <v>10.041666666666668</v>
      </c>
      <c r="AG4" s="27">
        <v>10.041666666666668</v>
      </c>
      <c r="AH4" s="27">
        <v>10.041666666666668</v>
      </c>
      <c r="AI4" s="27">
        <v>10.041666666666668</v>
      </c>
      <c r="AJ4" s="27">
        <v>10.041666666666668</v>
      </c>
      <c r="AK4" s="27">
        <v>10.041666666666668</v>
      </c>
      <c r="AL4" s="27">
        <v>10.041666666666668</v>
      </c>
      <c r="AM4" s="27">
        <v>10.041666666666668</v>
      </c>
      <c r="AN4" s="27">
        <v>10.041666666666668</v>
      </c>
      <c r="AO4" s="27">
        <v>10.041666666666668</v>
      </c>
      <c r="AP4" s="27">
        <v>10.041666666666668</v>
      </c>
      <c r="AQ4" s="27">
        <v>10.041666666666668</v>
      </c>
      <c r="AR4" s="27">
        <v>10.041666666666668</v>
      </c>
      <c r="AS4" s="27">
        <v>10.041666666666668</v>
      </c>
      <c r="AT4" s="27">
        <v>10.041666666666668</v>
      </c>
      <c r="AU4" s="27">
        <v>10.041666666666668</v>
      </c>
      <c r="AV4" s="27">
        <v>10.041666666666668</v>
      </c>
      <c r="AW4" s="27">
        <v>10.041666666666668</v>
      </c>
      <c r="AX4" s="27">
        <v>10.041666666666668</v>
      </c>
      <c r="AY4" s="27">
        <v>10.041666666666668</v>
      </c>
      <c r="AZ4" s="27">
        <v>10.041666666666668</v>
      </c>
      <c r="BA4" s="27">
        <v>10.041666666666668</v>
      </c>
      <c r="BB4" s="27">
        <v>10.041666666666668</v>
      </c>
      <c r="BC4" s="27">
        <v>10.041666666666668</v>
      </c>
      <c r="BD4" s="27">
        <v>10.041666666666668</v>
      </c>
      <c r="BE4" s="27">
        <v>10.041666666666668</v>
      </c>
      <c r="BF4" s="27">
        <v>10.041666666666668</v>
      </c>
      <c r="BG4" s="27">
        <v>10.041666666666668</v>
      </c>
      <c r="BH4" s="27">
        <v>10.041666666666668</v>
      </c>
    </row>
    <row r="5" spans="1:60" ht="21" customHeight="1" x14ac:dyDescent="0.25">
      <c r="A5" s="26" t="s">
        <v>224</v>
      </c>
      <c r="B5" s="27">
        <v>34.025009277777777</v>
      </c>
      <c r="C5" s="27">
        <v>34.025009277777777</v>
      </c>
      <c r="D5" s="27">
        <v>34.025009277777777</v>
      </c>
      <c r="E5" s="27">
        <v>34.025009277777777</v>
      </c>
      <c r="F5" s="27">
        <v>34.025009277777777</v>
      </c>
      <c r="G5" s="27">
        <v>34.025009277777777</v>
      </c>
      <c r="H5" s="27">
        <v>34.025009277777777</v>
      </c>
      <c r="I5" s="27">
        <v>34.025009277777777</v>
      </c>
      <c r="J5" s="27">
        <v>34.025009277777777</v>
      </c>
      <c r="K5" s="27">
        <v>34.025009277777777</v>
      </c>
      <c r="L5" s="27">
        <v>34.025009277777777</v>
      </c>
      <c r="M5" s="27">
        <v>34.025009277777777</v>
      </c>
      <c r="N5" s="27">
        <v>34.025009277777777</v>
      </c>
      <c r="O5" s="27">
        <v>34.025009277777777</v>
      </c>
      <c r="P5" s="27">
        <v>34.025009277777777</v>
      </c>
      <c r="Q5" s="27">
        <v>34.025009277777777</v>
      </c>
      <c r="R5" s="27">
        <v>34.025009277777777</v>
      </c>
      <c r="S5" s="27">
        <v>34.025009277777777</v>
      </c>
      <c r="T5" s="27">
        <v>34.025009277777777</v>
      </c>
      <c r="U5" s="27">
        <v>34.025009277777777</v>
      </c>
      <c r="V5" s="27">
        <v>34.025009277777777</v>
      </c>
      <c r="W5" s="27">
        <v>34.025009277777777</v>
      </c>
      <c r="X5" s="27">
        <v>34.025009277777777</v>
      </c>
      <c r="Y5" s="27">
        <v>34.025009277777777</v>
      </c>
      <c r="Z5" s="27">
        <v>34.025009277777777</v>
      </c>
      <c r="AA5" s="27">
        <v>34.025009277777777</v>
      </c>
      <c r="AB5" s="27">
        <v>34.025009277777777</v>
      </c>
      <c r="AC5" s="27">
        <v>34.025009277777777</v>
      </c>
      <c r="AD5" s="27">
        <v>34.025009277777777</v>
      </c>
      <c r="AE5" s="27">
        <v>34.025009277777777</v>
      </c>
      <c r="AF5" s="27">
        <v>34.025009277777777</v>
      </c>
      <c r="AG5" s="27">
        <v>34.025009277777777</v>
      </c>
      <c r="AH5" s="27">
        <v>34.025009277777777</v>
      </c>
      <c r="AI5" s="27">
        <v>34.025009277777777</v>
      </c>
      <c r="AJ5" s="27">
        <v>34.025009277777777</v>
      </c>
      <c r="AK5" s="27">
        <v>34.025009277777777</v>
      </c>
      <c r="AL5" s="27">
        <v>34.025009277777777</v>
      </c>
      <c r="AM5" s="27">
        <v>34.025009277777777</v>
      </c>
      <c r="AN5" s="27">
        <v>34.025009277777777</v>
      </c>
      <c r="AO5" s="27">
        <v>34.025009277777777</v>
      </c>
      <c r="AP5" s="27">
        <v>34.025009277777777</v>
      </c>
      <c r="AQ5" s="27">
        <v>34.025009277777777</v>
      </c>
      <c r="AR5" s="27">
        <v>34.025009277777777</v>
      </c>
      <c r="AS5" s="27">
        <v>34.025009277777777</v>
      </c>
      <c r="AT5" s="27">
        <v>34.025009277777777</v>
      </c>
      <c r="AU5" s="27">
        <v>34.025009277777777</v>
      </c>
      <c r="AV5" s="27">
        <v>34.025009277777777</v>
      </c>
      <c r="AW5" s="27">
        <v>34.025009277777777</v>
      </c>
      <c r="AX5" s="27">
        <v>34.025009277777777</v>
      </c>
      <c r="AY5" s="27">
        <v>34.025009277777777</v>
      </c>
      <c r="AZ5" s="27">
        <v>34.025009277777777</v>
      </c>
      <c r="BA5" s="27">
        <v>34.025009277777777</v>
      </c>
      <c r="BB5" s="27">
        <v>34.025009277777777</v>
      </c>
      <c r="BC5" s="27">
        <v>34.025009277777777</v>
      </c>
      <c r="BD5" s="27">
        <v>34.025009277777777</v>
      </c>
      <c r="BE5" s="27">
        <v>34.025009277777777</v>
      </c>
      <c r="BF5" s="27">
        <v>34.025009277777777</v>
      </c>
      <c r="BG5" s="27">
        <v>34.025009277777777</v>
      </c>
      <c r="BH5" s="27">
        <v>34.025009277777777</v>
      </c>
    </row>
    <row r="6" spans="1:60" ht="21" customHeight="1" x14ac:dyDescent="0.25">
      <c r="A6" s="26" t="s">
        <v>225</v>
      </c>
      <c r="B6" s="27">
        <v>8.5638011111111112</v>
      </c>
      <c r="C6" s="27">
        <v>8.5638011111111112</v>
      </c>
      <c r="D6" s="27">
        <v>8.5638011111111112</v>
      </c>
      <c r="E6" s="27">
        <v>8.5638011111111112</v>
      </c>
      <c r="F6" s="27">
        <v>8.5638011111111112</v>
      </c>
      <c r="G6" s="27">
        <v>8.5638011111111112</v>
      </c>
      <c r="H6" s="27">
        <v>8.5638011111111112</v>
      </c>
      <c r="I6" s="27">
        <v>8.5638011111111112</v>
      </c>
      <c r="J6" s="27">
        <v>8.5638011111111112</v>
      </c>
      <c r="K6" s="27">
        <v>8.5638011111111112</v>
      </c>
      <c r="L6" s="27">
        <v>8.5638011111111112</v>
      </c>
      <c r="M6" s="27">
        <v>8.5638011111111112</v>
      </c>
      <c r="N6" s="27">
        <v>8.5638011111111112</v>
      </c>
      <c r="O6" s="27">
        <v>8.5638011111111112</v>
      </c>
      <c r="P6" s="27">
        <v>8.5638011111111112</v>
      </c>
      <c r="Q6" s="27">
        <v>8.5638011111111112</v>
      </c>
      <c r="R6" s="27">
        <v>8.5638011111111112</v>
      </c>
      <c r="S6" s="27">
        <v>8.5638011111111112</v>
      </c>
      <c r="T6" s="27">
        <v>8.5638011111111112</v>
      </c>
      <c r="U6" s="27">
        <v>8.5638011111111112</v>
      </c>
      <c r="V6" s="27">
        <v>8.5638011111111112</v>
      </c>
      <c r="W6" s="27">
        <v>8.5638011111111112</v>
      </c>
      <c r="X6" s="27">
        <v>8.5638011111111112</v>
      </c>
      <c r="Y6" s="27">
        <v>8.5638011111111112</v>
      </c>
      <c r="Z6" s="27">
        <v>8.5638011111111112</v>
      </c>
      <c r="AA6" s="27">
        <v>8.5638011111111112</v>
      </c>
      <c r="AB6" s="27">
        <v>8.5638011111111112</v>
      </c>
      <c r="AC6" s="27">
        <v>8.5638011111111112</v>
      </c>
      <c r="AD6" s="27">
        <v>8.5638011111111112</v>
      </c>
      <c r="AE6" s="27">
        <v>8.5638011111111112</v>
      </c>
      <c r="AF6" s="27">
        <v>8.5638011111111112</v>
      </c>
      <c r="AG6" s="27">
        <v>8.5638011111111112</v>
      </c>
      <c r="AH6" s="27">
        <v>8.5638011111111112</v>
      </c>
      <c r="AI6" s="27">
        <v>8.5638011111111112</v>
      </c>
      <c r="AJ6" s="27">
        <v>8.5638011111111112</v>
      </c>
      <c r="AK6" s="27">
        <v>8.5638011111111112</v>
      </c>
      <c r="AL6" s="27">
        <v>8.5638011111111112</v>
      </c>
      <c r="AM6" s="27">
        <v>8.5638011111111112</v>
      </c>
      <c r="AN6" s="27">
        <v>8.5638011111111112</v>
      </c>
      <c r="AO6" s="27">
        <v>8.5638011111111112</v>
      </c>
      <c r="AP6" s="27">
        <v>8.5638011111111112</v>
      </c>
      <c r="AQ6" s="27">
        <v>8.5638011111111112</v>
      </c>
      <c r="AR6" s="27">
        <v>8.5638011111111112</v>
      </c>
      <c r="AS6" s="27">
        <v>8.5638011111111112</v>
      </c>
      <c r="AT6" s="27">
        <v>8.5638011111111112</v>
      </c>
      <c r="AU6" s="27">
        <v>8.5638011111111112</v>
      </c>
      <c r="AV6" s="27">
        <v>8.5638011111111112</v>
      </c>
      <c r="AW6" s="27">
        <v>8.5638011111111112</v>
      </c>
      <c r="AX6" s="27">
        <v>8.5638011111111112</v>
      </c>
      <c r="AY6" s="27">
        <v>8.5638011111111112</v>
      </c>
      <c r="AZ6" s="27">
        <v>8.5638011111111112</v>
      </c>
      <c r="BA6" s="27">
        <v>8.5638011111111112</v>
      </c>
      <c r="BB6" s="27">
        <v>8.5638011111111112</v>
      </c>
      <c r="BC6" s="27">
        <v>8.5638011111111112</v>
      </c>
      <c r="BD6" s="27">
        <v>8.5638011111111112</v>
      </c>
      <c r="BE6" s="27">
        <v>8.5638011111111112</v>
      </c>
      <c r="BF6" s="27">
        <v>8.5638011111111112</v>
      </c>
      <c r="BG6" s="27">
        <v>8.5638011111111112</v>
      </c>
      <c r="BH6" s="27">
        <v>8.5638011111111112</v>
      </c>
    </row>
    <row r="7" spans="1:60" ht="21" customHeight="1" x14ac:dyDescent="0.25">
      <c r="A7" s="26" t="s">
        <v>226</v>
      </c>
      <c r="B7" s="27">
        <v>23.430555555555557</v>
      </c>
      <c r="C7" s="27">
        <v>23.430555555555557</v>
      </c>
      <c r="D7" s="27">
        <v>23.430555555555557</v>
      </c>
      <c r="E7" s="27">
        <v>23.430555555555557</v>
      </c>
      <c r="F7" s="27">
        <v>23.430555555555557</v>
      </c>
      <c r="G7" s="27">
        <v>23.430555555555557</v>
      </c>
      <c r="H7" s="27">
        <v>23.430555555555557</v>
      </c>
      <c r="I7" s="27">
        <v>23.430555555555557</v>
      </c>
      <c r="J7" s="27">
        <v>23.430555555555557</v>
      </c>
      <c r="K7" s="27">
        <v>23.430555555555557</v>
      </c>
      <c r="L7" s="27">
        <v>23.430555555555557</v>
      </c>
      <c r="M7" s="27">
        <v>23.430555555555557</v>
      </c>
      <c r="N7" s="27">
        <v>23.430555555555557</v>
      </c>
      <c r="O7" s="27">
        <v>23.430555555555557</v>
      </c>
      <c r="P7" s="27">
        <v>23.430555555555557</v>
      </c>
      <c r="Q7" s="27">
        <v>23.430555555555557</v>
      </c>
      <c r="R7" s="27">
        <v>23.430555555555557</v>
      </c>
      <c r="S7" s="27">
        <v>23.430555555555557</v>
      </c>
      <c r="T7" s="27">
        <v>23.430555555555557</v>
      </c>
      <c r="U7" s="27">
        <v>23.430555555555557</v>
      </c>
      <c r="V7" s="27">
        <v>23.430555555555557</v>
      </c>
      <c r="W7" s="27">
        <v>23.430555555555557</v>
      </c>
      <c r="X7" s="27">
        <v>23.430555555555557</v>
      </c>
      <c r="Y7" s="27">
        <v>23.430555555555557</v>
      </c>
      <c r="Z7" s="27">
        <v>23.430555555555557</v>
      </c>
      <c r="AA7" s="27">
        <v>23.430555555555557</v>
      </c>
      <c r="AB7" s="27">
        <v>23.430555555555557</v>
      </c>
      <c r="AC7" s="27">
        <v>23.430555555555557</v>
      </c>
      <c r="AD7" s="27">
        <v>23.430555555555557</v>
      </c>
      <c r="AE7" s="27">
        <v>23.430555555555557</v>
      </c>
      <c r="AF7" s="27">
        <v>23.430555555555557</v>
      </c>
      <c r="AG7" s="27">
        <v>23.430555555555557</v>
      </c>
      <c r="AH7" s="27">
        <v>23.430555555555557</v>
      </c>
      <c r="AI7" s="27">
        <v>23.430555555555557</v>
      </c>
      <c r="AJ7" s="27">
        <v>23.430555555555557</v>
      </c>
      <c r="AK7" s="27">
        <v>23.430555555555557</v>
      </c>
      <c r="AL7" s="27">
        <v>23.430555555555557</v>
      </c>
      <c r="AM7" s="27">
        <v>23.430555555555557</v>
      </c>
      <c r="AN7" s="27">
        <v>23.430555555555557</v>
      </c>
      <c r="AO7" s="27">
        <v>23.430555555555557</v>
      </c>
      <c r="AP7" s="27">
        <v>23.430555555555557</v>
      </c>
      <c r="AQ7" s="27">
        <v>23.430555555555557</v>
      </c>
      <c r="AR7" s="27">
        <v>23.430555555555557</v>
      </c>
      <c r="AS7" s="27">
        <v>23.430555555555557</v>
      </c>
      <c r="AT7" s="27">
        <v>23.430555555555557</v>
      </c>
      <c r="AU7" s="27">
        <v>23.430555555555557</v>
      </c>
      <c r="AV7" s="27">
        <v>23.430555555555557</v>
      </c>
      <c r="AW7" s="27">
        <v>23.430555555555557</v>
      </c>
      <c r="AX7" s="27">
        <v>23.430555555555557</v>
      </c>
      <c r="AY7" s="27">
        <v>23.430555555555557</v>
      </c>
      <c r="AZ7" s="27">
        <v>23.430555555555557</v>
      </c>
      <c r="BA7" s="27">
        <v>23.430555555555557</v>
      </c>
      <c r="BB7" s="27">
        <v>23.430555555555557</v>
      </c>
      <c r="BC7" s="27">
        <v>23.430555555555557</v>
      </c>
      <c r="BD7" s="27">
        <v>23.430555555555557</v>
      </c>
      <c r="BE7" s="27">
        <v>23.430555555555557</v>
      </c>
      <c r="BF7" s="27">
        <v>23.430555555555557</v>
      </c>
      <c r="BG7" s="27">
        <v>23.430555555555557</v>
      </c>
      <c r="BH7" s="27">
        <v>23.430555555555557</v>
      </c>
    </row>
    <row r="8" spans="1:60" ht="21" customHeight="1" x14ac:dyDescent="0.25">
      <c r="A8" s="26" t="s">
        <v>227</v>
      </c>
      <c r="B8" s="27">
        <v>0</v>
      </c>
      <c r="C8" s="27">
        <v>0</v>
      </c>
      <c r="D8" s="27">
        <v>0</v>
      </c>
      <c r="E8" s="27">
        <v>6.6944444444444455</v>
      </c>
      <c r="F8" s="27">
        <v>6.6944444444444455</v>
      </c>
      <c r="G8" s="27">
        <v>6.6944444444444455</v>
      </c>
      <c r="H8" s="27">
        <v>6.6944444444444455</v>
      </c>
      <c r="I8" s="27">
        <v>6.6944444444444455</v>
      </c>
      <c r="J8" s="27">
        <v>6.6944444444444455</v>
      </c>
      <c r="K8" s="27">
        <v>6.6944444444444455</v>
      </c>
      <c r="L8" s="27">
        <v>6.6944444444444455</v>
      </c>
      <c r="M8" s="27">
        <v>6.6944444444444455</v>
      </c>
      <c r="N8" s="27">
        <v>6.6944444444444455</v>
      </c>
      <c r="O8" s="27">
        <v>6.6944444444444455</v>
      </c>
      <c r="P8" s="27">
        <v>6.6944444444444455</v>
      </c>
      <c r="Q8" s="27">
        <v>6.6944444444444455</v>
      </c>
      <c r="R8" s="27">
        <v>6.6944444444444455</v>
      </c>
      <c r="S8" s="27">
        <v>6.6944444444444455</v>
      </c>
      <c r="T8" s="27">
        <v>6.6944444444444455</v>
      </c>
      <c r="U8" s="27">
        <v>6.6944444444444455</v>
      </c>
      <c r="V8" s="27">
        <v>6.6944444444444455</v>
      </c>
      <c r="W8" s="27">
        <v>6.6944444444444455</v>
      </c>
      <c r="X8" s="27">
        <v>6.6944444444444455</v>
      </c>
      <c r="Y8" s="27">
        <v>6.6944444444444455</v>
      </c>
      <c r="Z8" s="27">
        <v>6.6944444444444455</v>
      </c>
      <c r="AA8" s="27">
        <v>6.6944444444444455</v>
      </c>
      <c r="AB8" s="27">
        <v>6.6944444444444455</v>
      </c>
      <c r="AC8" s="27">
        <v>6.6944444444444455</v>
      </c>
      <c r="AD8" s="27">
        <v>6.6944444444444455</v>
      </c>
      <c r="AE8" s="27">
        <v>6.6944444444444455</v>
      </c>
      <c r="AF8" s="27">
        <v>6.6944444444444455</v>
      </c>
      <c r="AG8" s="27">
        <v>6.6944444444444455</v>
      </c>
      <c r="AH8" s="27">
        <v>6.6944444444444455</v>
      </c>
      <c r="AI8" s="27">
        <v>6.6944444444444455</v>
      </c>
      <c r="AJ8" s="27">
        <v>6.6944444444444455</v>
      </c>
      <c r="AK8" s="27">
        <v>6.6944444444444455</v>
      </c>
      <c r="AL8" s="27">
        <v>6.6944444444444455</v>
      </c>
      <c r="AM8" s="27">
        <v>6.6944444444444455</v>
      </c>
      <c r="AN8" s="27">
        <v>6.6944444444444455</v>
      </c>
      <c r="AO8" s="27">
        <v>6.6944444444444455</v>
      </c>
      <c r="AP8" s="27">
        <v>6.6944444444444455</v>
      </c>
      <c r="AQ8" s="27">
        <v>6.6944444444444455</v>
      </c>
      <c r="AR8" s="27">
        <v>6.6944444444444455</v>
      </c>
      <c r="AS8" s="27">
        <v>6.6944444444444455</v>
      </c>
      <c r="AT8" s="27">
        <v>6.6944444444444455</v>
      </c>
      <c r="AU8" s="27">
        <v>6.6944444444444455</v>
      </c>
      <c r="AV8" s="27">
        <v>6.6944444444444455</v>
      </c>
      <c r="AW8" s="27">
        <v>6.6944444444444455</v>
      </c>
      <c r="AX8" s="27">
        <v>6.6944444444444455</v>
      </c>
      <c r="AY8" s="27">
        <v>6.6944444444444455</v>
      </c>
      <c r="AZ8" s="27">
        <v>6.6944444444444455</v>
      </c>
      <c r="BA8" s="27">
        <v>6.6944444444444455</v>
      </c>
      <c r="BB8" s="27">
        <v>6.6944444444444455</v>
      </c>
      <c r="BC8" s="27">
        <v>6.6944444444444455</v>
      </c>
      <c r="BD8" s="27">
        <v>6.6944444444444455</v>
      </c>
      <c r="BE8" s="27">
        <v>6.6944444444444455</v>
      </c>
      <c r="BF8" s="27">
        <v>6.6944444444444455</v>
      </c>
      <c r="BG8" s="27">
        <v>6.6944444444444455</v>
      </c>
      <c r="BH8" s="27">
        <v>6.6944444444444455</v>
      </c>
    </row>
    <row r="9" spans="1:60" ht="21" customHeight="1" x14ac:dyDescent="0.25">
      <c r="A9" s="26" t="s">
        <v>228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6.6944444444444455</v>
      </c>
      <c r="AJ9" s="27">
        <v>6.6944444444444455</v>
      </c>
      <c r="AK9" s="27">
        <v>6.6944444444444455</v>
      </c>
      <c r="AL9" s="27">
        <v>6.6944444444444455</v>
      </c>
      <c r="AM9" s="27">
        <v>6.6944444444444455</v>
      </c>
      <c r="AN9" s="27">
        <v>6.6944444444444455</v>
      </c>
      <c r="AO9" s="27">
        <v>6.6944444444444455</v>
      </c>
      <c r="AP9" s="27">
        <v>6.6944444444444455</v>
      </c>
      <c r="AQ9" s="27">
        <v>6.6944444444444455</v>
      </c>
      <c r="AR9" s="27">
        <v>6.6944444444444455</v>
      </c>
      <c r="AS9" s="27">
        <v>6.6944444444444455</v>
      </c>
      <c r="AT9" s="27">
        <v>6.6944444444444455</v>
      </c>
      <c r="AU9" s="27">
        <v>6.6944444444444455</v>
      </c>
      <c r="AV9" s="27">
        <v>6.6944444444444455</v>
      </c>
      <c r="AW9" s="27">
        <v>6.6944444444444455</v>
      </c>
      <c r="AX9" s="27">
        <v>6.6944444444444455</v>
      </c>
      <c r="AY9" s="27">
        <v>6.6944444444444455</v>
      </c>
      <c r="AZ9" s="27">
        <v>6.6944444444444455</v>
      </c>
      <c r="BA9" s="27">
        <v>6.6944444444444455</v>
      </c>
      <c r="BB9" s="27">
        <v>6.6944444444444455</v>
      </c>
      <c r="BC9" s="27">
        <v>6.6944444444444455</v>
      </c>
      <c r="BD9" s="27">
        <v>6.6944444444444455</v>
      </c>
      <c r="BE9" s="27">
        <v>6.6944444444444455</v>
      </c>
      <c r="BF9" s="27">
        <v>6.6944444444444455</v>
      </c>
      <c r="BG9" s="27">
        <v>6.6944444444444455</v>
      </c>
      <c r="BH9" s="27">
        <v>6.6944444444444455</v>
      </c>
    </row>
    <row r="10" spans="1:60" ht="21" customHeight="1" x14ac:dyDescent="0.25">
      <c r="A10" s="26" t="s">
        <v>229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</row>
    <row r="11" spans="1:60" ht="21" customHeight="1" x14ac:dyDescent="0.25">
      <c r="A11" s="26" t="s">
        <v>230</v>
      </c>
      <c r="B11" s="27">
        <v>10.041666666666668</v>
      </c>
      <c r="C11" s="27">
        <v>10.041666666666668</v>
      </c>
      <c r="D11" s="27">
        <v>10.041666666666668</v>
      </c>
      <c r="E11" s="27">
        <v>10.041666666666668</v>
      </c>
      <c r="F11" s="27">
        <v>10.041666666666668</v>
      </c>
      <c r="G11" s="27">
        <v>10.041666666666668</v>
      </c>
      <c r="H11" s="27">
        <v>10.041666666666668</v>
      </c>
      <c r="I11" s="27">
        <v>10.041666666666668</v>
      </c>
      <c r="J11" s="27">
        <v>10.041666666666668</v>
      </c>
      <c r="K11" s="27">
        <v>10.041666666666668</v>
      </c>
      <c r="L11" s="27">
        <v>10.041666666666668</v>
      </c>
      <c r="M11" s="27">
        <v>10.041666666666668</v>
      </c>
      <c r="N11" s="27">
        <v>10.041666666666668</v>
      </c>
      <c r="O11" s="27">
        <v>10.041666666666668</v>
      </c>
      <c r="P11" s="27">
        <v>10.041666666666668</v>
      </c>
      <c r="Q11" s="27">
        <v>10.041666666666668</v>
      </c>
      <c r="R11" s="27">
        <v>10.041666666666668</v>
      </c>
      <c r="S11" s="27">
        <v>10.041666666666668</v>
      </c>
      <c r="T11" s="27">
        <v>10.041666666666668</v>
      </c>
      <c r="U11" s="27">
        <v>10.041666666666668</v>
      </c>
      <c r="V11" s="27">
        <v>10.041666666666668</v>
      </c>
      <c r="W11" s="27">
        <v>10.041666666666668</v>
      </c>
      <c r="X11" s="27">
        <v>10.041666666666668</v>
      </c>
      <c r="Y11" s="27">
        <v>10.041666666666668</v>
      </c>
      <c r="Z11" s="27">
        <v>10.041666666666668</v>
      </c>
      <c r="AA11" s="27">
        <v>10.041666666666668</v>
      </c>
      <c r="AB11" s="27">
        <v>10.041666666666668</v>
      </c>
      <c r="AC11" s="27">
        <v>10.041666666666668</v>
      </c>
      <c r="AD11" s="27">
        <v>10.041666666666668</v>
      </c>
      <c r="AE11" s="27">
        <v>10.041666666666668</v>
      </c>
      <c r="AF11" s="27">
        <v>10.041666666666668</v>
      </c>
      <c r="AG11" s="27">
        <v>10.041666666666668</v>
      </c>
      <c r="AH11" s="27">
        <v>10.041666666666668</v>
      </c>
      <c r="AI11" s="27">
        <v>10.041666666666668</v>
      </c>
      <c r="AJ11" s="27">
        <v>10.041666666666668</v>
      </c>
      <c r="AK11" s="27">
        <v>10.041666666666668</v>
      </c>
      <c r="AL11" s="27">
        <v>10.041666666666668</v>
      </c>
      <c r="AM11" s="27">
        <v>10.041666666666668</v>
      </c>
      <c r="AN11" s="27">
        <v>10.041666666666668</v>
      </c>
      <c r="AO11" s="27">
        <v>10.041666666666668</v>
      </c>
      <c r="AP11" s="27">
        <v>10.041666666666668</v>
      </c>
      <c r="AQ11" s="27">
        <v>10.041666666666668</v>
      </c>
      <c r="AR11" s="27">
        <v>10.041666666666668</v>
      </c>
      <c r="AS11" s="27">
        <v>10.041666666666668</v>
      </c>
      <c r="AT11" s="27">
        <v>10.041666666666668</v>
      </c>
      <c r="AU11" s="27">
        <v>10.041666666666668</v>
      </c>
      <c r="AV11" s="27">
        <v>10.041666666666668</v>
      </c>
      <c r="AW11" s="27">
        <v>10.041666666666668</v>
      </c>
      <c r="AX11" s="27">
        <v>10.041666666666668</v>
      </c>
      <c r="AY11" s="27">
        <v>10.041666666666668</v>
      </c>
      <c r="AZ11" s="27">
        <v>10.041666666666668</v>
      </c>
      <c r="BA11" s="27">
        <v>10.041666666666668</v>
      </c>
      <c r="BB11" s="27">
        <v>10.041666666666668</v>
      </c>
      <c r="BC11" s="27">
        <v>10.041666666666668</v>
      </c>
      <c r="BD11" s="27">
        <v>10.041666666666668</v>
      </c>
      <c r="BE11" s="27">
        <v>10.041666666666668</v>
      </c>
      <c r="BF11" s="27">
        <v>10.041666666666668</v>
      </c>
      <c r="BG11" s="27">
        <v>10.041666666666668</v>
      </c>
      <c r="BH11" s="27">
        <v>10.041666666666668</v>
      </c>
    </row>
    <row r="12" spans="1:60" ht="21" customHeight="1" x14ac:dyDescent="0.25">
      <c r="A12" s="26" t="s">
        <v>231</v>
      </c>
      <c r="B12" s="27">
        <v>6.6944444444444455</v>
      </c>
      <c r="C12" s="27">
        <v>6.6944444444444455</v>
      </c>
      <c r="D12" s="27">
        <v>6.6944444444444455</v>
      </c>
      <c r="E12" s="27">
        <v>6.6944444444444455</v>
      </c>
      <c r="F12" s="27">
        <v>6.6944444444444455</v>
      </c>
      <c r="G12" s="27">
        <v>6.6944444444444455</v>
      </c>
      <c r="H12" s="27">
        <v>6.6944444444444455</v>
      </c>
      <c r="I12" s="27">
        <v>6.6944444444444455</v>
      </c>
      <c r="J12" s="27">
        <v>6.6944444444444455</v>
      </c>
      <c r="K12" s="27">
        <v>6.6944444444444455</v>
      </c>
      <c r="L12" s="27">
        <v>6.6944444444444455</v>
      </c>
      <c r="M12" s="27">
        <v>6.6944444444444455</v>
      </c>
      <c r="N12" s="27">
        <v>6.6944444444444455</v>
      </c>
      <c r="O12" s="27">
        <v>6.6944444444444455</v>
      </c>
      <c r="P12" s="27">
        <v>6.6944444444444455</v>
      </c>
      <c r="Q12" s="27">
        <v>6.6944444444444455</v>
      </c>
      <c r="R12" s="27">
        <v>6.6944444444444455</v>
      </c>
      <c r="S12" s="27">
        <v>6.6944444444444455</v>
      </c>
      <c r="T12" s="27">
        <v>6.6944444444444455</v>
      </c>
      <c r="U12" s="27">
        <v>6.6944444444444455</v>
      </c>
      <c r="V12" s="27">
        <v>6.6944444444444455</v>
      </c>
      <c r="W12" s="27">
        <v>6.6944444444444455</v>
      </c>
      <c r="X12" s="27">
        <v>6.6944444444444455</v>
      </c>
      <c r="Y12" s="27">
        <v>6.6944444444444455</v>
      </c>
      <c r="Z12" s="27">
        <v>6.6944444444444455</v>
      </c>
      <c r="AA12" s="27">
        <v>6.6944444444444455</v>
      </c>
      <c r="AB12" s="27">
        <v>6.6944444444444455</v>
      </c>
      <c r="AC12" s="27">
        <v>6.6944444444444455</v>
      </c>
      <c r="AD12" s="27">
        <v>6.6944444444444455</v>
      </c>
      <c r="AE12" s="27">
        <v>6.6944444444444455</v>
      </c>
      <c r="AF12" s="27">
        <v>6.6944444444444455</v>
      </c>
      <c r="AG12" s="27">
        <v>6.6944444444444455</v>
      </c>
      <c r="AH12" s="27">
        <v>6.6944444444444455</v>
      </c>
      <c r="AI12" s="27">
        <v>6.6944444444444455</v>
      </c>
      <c r="AJ12" s="27">
        <v>6.6944444444444455</v>
      </c>
      <c r="AK12" s="27">
        <v>6.6944444444444455</v>
      </c>
      <c r="AL12" s="27">
        <v>6.6944444444444455</v>
      </c>
      <c r="AM12" s="27">
        <v>6.6944444444444455</v>
      </c>
      <c r="AN12" s="27">
        <v>6.6944444444444455</v>
      </c>
      <c r="AO12" s="27">
        <v>6.6944444444444455</v>
      </c>
      <c r="AP12" s="27">
        <v>6.6944444444444455</v>
      </c>
      <c r="AQ12" s="27">
        <v>6.6944444444444455</v>
      </c>
      <c r="AR12" s="27">
        <v>6.6944444444444455</v>
      </c>
      <c r="AS12" s="27">
        <v>6.6944444444444455</v>
      </c>
      <c r="AT12" s="27">
        <v>6.6944444444444455</v>
      </c>
      <c r="AU12" s="27">
        <v>6.6944444444444455</v>
      </c>
      <c r="AV12" s="27">
        <v>6.6944444444444455</v>
      </c>
      <c r="AW12" s="27">
        <v>6.6944444444444455</v>
      </c>
      <c r="AX12" s="27">
        <v>6.6944444444444455</v>
      </c>
      <c r="AY12" s="27">
        <v>6.6944444444444455</v>
      </c>
      <c r="AZ12" s="27">
        <v>6.6944444444444455</v>
      </c>
      <c r="BA12" s="27">
        <v>6.6944444444444455</v>
      </c>
      <c r="BB12" s="27">
        <v>6.6944444444444455</v>
      </c>
      <c r="BC12" s="27">
        <v>6.6944444444444455</v>
      </c>
      <c r="BD12" s="27">
        <v>6.6944444444444455</v>
      </c>
      <c r="BE12" s="27">
        <v>6.6944444444444455</v>
      </c>
      <c r="BF12" s="27">
        <v>6.6944444444444455</v>
      </c>
      <c r="BG12" s="27">
        <v>6.6944444444444455</v>
      </c>
      <c r="BH12" s="27">
        <v>6.6944444444444455</v>
      </c>
    </row>
    <row r="13" spans="1:60" ht="21" customHeight="1" x14ac:dyDescent="0.25">
      <c r="A13" s="26" t="s">
        <v>232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  <c r="AJ13" s="27">
        <v>0</v>
      </c>
      <c r="AK13" s="27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</v>
      </c>
    </row>
    <row r="14" spans="1:60" ht="21" customHeight="1" x14ac:dyDescent="0.25">
      <c r="A14" s="26" t="s">
        <v>233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</row>
    <row r="15" spans="1:60" ht="21" customHeight="1" x14ac:dyDescent="0.25">
      <c r="A15" s="26" t="s">
        <v>234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</row>
    <row r="16" spans="1:60" ht="21" customHeight="1" x14ac:dyDescent="0.25">
      <c r="A16" s="26" t="s">
        <v>235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</row>
    <row r="17" spans="1:60" ht="21" customHeight="1" x14ac:dyDescent="0.25">
      <c r="A17" s="26" t="s">
        <v>236</v>
      </c>
      <c r="B17" s="27">
        <v>13.22152777777778</v>
      </c>
      <c r="C17" s="27">
        <v>13.22152777777778</v>
      </c>
      <c r="D17" s="27">
        <v>13.22152777777778</v>
      </c>
      <c r="E17" s="27">
        <v>13.22152777777778</v>
      </c>
      <c r="F17" s="27">
        <v>13.22152777777778</v>
      </c>
      <c r="G17" s="27">
        <v>13.22152777777778</v>
      </c>
      <c r="H17" s="27">
        <v>13.22152777777778</v>
      </c>
      <c r="I17" s="27">
        <v>13.22152777777778</v>
      </c>
      <c r="J17" s="27">
        <v>13.22152777777778</v>
      </c>
      <c r="K17" s="27">
        <v>13.22152777777778</v>
      </c>
      <c r="L17" s="27">
        <v>13.22152777777778</v>
      </c>
      <c r="M17" s="27">
        <v>13.22152777777778</v>
      </c>
      <c r="N17" s="27">
        <v>13.22152777777778</v>
      </c>
      <c r="O17" s="27">
        <v>13.22152777777778</v>
      </c>
      <c r="P17" s="27">
        <v>13.22152777777778</v>
      </c>
      <c r="Q17" s="27">
        <v>13.22152777777778</v>
      </c>
      <c r="R17" s="27">
        <v>13.22152777777778</v>
      </c>
      <c r="S17" s="27">
        <v>13.22152777777778</v>
      </c>
      <c r="T17" s="27">
        <v>13.22152777777778</v>
      </c>
      <c r="U17" s="27">
        <v>13.22152777777778</v>
      </c>
      <c r="V17" s="27">
        <v>13.22152777777778</v>
      </c>
      <c r="W17" s="27">
        <v>13.22152777777778</v>
      </c>
      <c r="X17" s="27">
        <v>13.22152777777778</v>
      </c>
      <c r="Y17" s="27">
        <v>13.22152777777778</v>
      </c>
      <c r="Z17" s="27">
        <v>13.22152777777778</v>
      </c>
      <c r="AA17" s="27">
        <v>13.22152777777778</v>
      </c>
      <c r="AB17" s="27">
        <v>13.22152777777778</v>
      </c>
      <c r="AC17" s="27">
        <v>13.22152777777778</v>
      </c>
      <c r="AD17" s="27">
        <v>13.22152777777778</v>
      </c>
      <c r="AE17" s="27">
        <v>13.22152777777778</v>
      </c>
      <c r="AF17" s="27">
        <v>13.22152777777778</v>
      </c>
      <c r="AG17" s="27">
        <v>13.22152777777778</v>
      </c>
      <c r="AH17" s="27">
        <v>13.22152777777778</v>
      </c>
      <c r="AI17" s="27">
        <v>13.22152777777778</v>
      </c>
      <c r="AJ17" s="27">
        <v>13.22152777777778</v>
      </c>
      <c r="AK17" s="27">
        <v>13.22152777777778</v>
      </c>
      <c r="AL17" s="27">
        <v>13.22152777777778</v>
      </c>
      <c r="AM17" s="27">
        <v>13.22152777777778</v>
      </c>
      <c r="AN17" s="27">
        <v>13.22152777777778</v>
      </c>
      <c r="AO17" s="27">
        <v>13.22152777777778</v>
      </c>
      <c r="AP17" s="27">
        <v>13.22152777777778</v>
      </c>
      <c r="AQ17" s="27">
        <v>13.22152777777778</v>
      </c>
      <c r="AR17" s="27">
        <v>13.22152777777778</v>
      </c>
      <c r="AS17" s="27">
        <v>13.22152777777778</v>
      </c>
      <c r="AT17" s="27">
        <v>13.22152777777778</v>
      </c>
      <c r="AU17" s="27">
        <v>13.22152777777778</v>
      </c>
      <c r="AV17" s="27">
        <v>13.22152777777778</v>
      </c>
      <c r="AW17" s="27">
        <v>13.22152777777778</v>
      </c>
      <c r="AX17" s="27">
        <v>13.22152777777778</v>
      </c>
      <c r="AY17" s="27">
        <v>13.22152777777778</v>
      </c>
      <c r="AZ17" s="27">
        <v>13.22152777777778</v>
      </c>
      <c r="BA17" s="27">
        <v>13.22152777777778</v>
      </c>
      <c r="BB17" s="27">
        <v>13.22152777777778</v>
      </c>
      <c r="BC17" s="27">
        <v>13.22152777777778</v>
      </c>
      <c r="BD17" s="27">
        <v>13.22152777777778</v>
      </c>
      <c r="BE17" s="27">
        <v>13.22152777777778</v>
      </c>
      <c r="BF17" s="27">
        <v>13.22152777777778</v>
      </c>
      <c r="BG17" s="27">
        <v>13.22152777777778</v>
      </c>
      <c r="BH17" s="27">
        <v>13.22152777777778</v>
      </c>
    </row>
    <row r="18" spans="1:60" ht="21" customHeight="1" x14ac:dyDescent="0.25">
      <c r="A18" s="26" t="s">
        <v>237</v>
      </c>
      <c r="B18" s="27">
        <v>27.06785140277778</v>
      </c>
      <c r="C18" s="27">
        <v>27.06785140277778</v>
      </c>
      <c r="D18" s="27">
        <v>27.06785140277778</v>
      </c>
      <c r="E18" s="27">
        <v>27.06785140277778</v>
      </c>
      <c r="F18" s="27">
        <v>27.06785140277778</v>
      </c>
      <c r="G18" s="27">
        <v>27.06785140277778</v>
      </c>
      <c r="H18" s="27">
        <v>27.06785140277778</v>
      </c>
      <c r="I18" s="27">
        <v>27.06785140277778</v>
      </c>
      <c r="J18" s="27">
        <v>27.06785140277778</v>
      </c>
      <c r="K18" s="27">
        <v>27.06785140277778</v>
      </c>
      <c r="L18" s="27">
        <v>27.06785140277778</v>
      </c>
      <c r="M18" s="27">
        <v>27.06785140277778</v>
      </c>
      <c r="N18" s="27">
        <v>27.06785140277778</v>
      </c>
      <c r="O18" s="27">
        <v>27.06785140277778</v>
      </c>
      <c r="P18" s="27">
        <v>27.06785140277778</v>
      </c>
      <c r="Q18" s="27">
        <v>27.06785140277778</v>
      </c>
      <c r="R18" s="27">
        <v>27.06785140277778</v>
      </c>
      <c r="S18" s="27">
        <v>27.06785140277778</v>
      </c>
      <c r="T18" s="27">
        <v>27.06785140277778</v>
      </c>
      <c r="U18" s="27">
        <v>27.06785140277778</v>
      </c>
      <c r="V18" s="27">
        <v>27.06785140277778</v>
      </c>
      <c r="W18" s="27">
        <v>27.06785140277778</v>
      </c>
      <c r="X18" s="27">
        <v>27.06785140277778</v>
      </c>
      <c r="Y18" s="27">
        <v>27.06785140277778</v>
      </c>
      <c r="Z18" s="27">
        <v>27.06785140277778</v>
      </c>
      <c r="AA18" s="27">
        <v>27.06785140277778</v>
      </c>
      <c r="AB18" s="27">
        <v>27.06785140277778</v>
      </c>
      <c r="AC18" s="27">
        <v>27.06785140277778</v>
      </c>
      <c r="AD18" s="27">
        <v>27.06785140277778</v>
      </c>
      <c r="AE18" s="27">
        <v>27.06785140277778</v>
      </c>
      <c r="AF18" s="27">
        <v>27.06785140277778</v>
      </c>
      <c r="AG18" s="27">
        <v>27.06785140277778</v>
      </c>
      <c r="AH18" s="27">
        <v>27.06785140277778</v>
      </c>
      <c r="AI18" s="27">
        <v>27.06785140277778</v>
      </c>
      <c r="AJ18" s="27">
        <v>27.06785140277778</v>
      </c>
      <c r="AK18" s="27">
        <v>27.06785140277778</v>
      </c>
      <c r="AL18" s="27">
        <v>27.06785140277778</v>
      </c>
      <c r="AM18" s="27">
        <v>27.06785140277778</v>
      </c>
      <c r="AN18" s="27">
        <v>27.06785140277778</v>
      </c>
      <c r="AO18" s="27">
        <v>27.06785140277778</v>
      </c>
      <c r="AP18" s="27">
        <v>27.06785140277778</v>
      </c>
      <c r="AQ18" s="27">
        <v>27.06785140277778</v>
      </c>
      <c r="AR18" s="27">
        <v>27.06785140277778</v>
      </c>
      <c r="AS18" s="27">
        <v>27.06785140277778</v>
      </c>
      <c r="AT18" s="27">
        <v>27.06785140277778</v>
      </c>
      <c r="AU18" s="27">
        <v>27.06785140277778</v>
      </c>
      <c r="AV18" s="27">
        <v>27.06785140277778</v>
      </c>
      <c r="AW18" s="27">
        <v>27.06785140277778</v>
      </c>
      <c r="AX18" s="27">
        <v>27.06785140277778</v>
      </c>
      <c r="AY18" s="27">
        <v>27.06785140277778</v>
      </c>
      <c r="AZ18" s="27">
        <v>27.06785140277778</v>
      </c>
      <c r="BA18" s="27">
        <v>27.06785140277778</v>
      </c>
      <c r="BB18" s="27">
        <v>27.06785140277778</v>
      </c>
      <c r="BC18" s="27">
        <v>27.06785140277778</v>
      </c>
      <c r="BD18" s="27">
        <v>27.06785140277778</v>
      </c>
      <c r="BE18" s="27">
        <v>27.06785140277778</v>
      </c>
      <c r="BF18" s="27">
        <v>27.06785140277778</v>
      </c>
      <c r="BG18" s="27">
        <v>27.06785140277778</v>
      </c>
      <c r="BH18" s="27">
        <v>27.06785140277778</v>
      </c>
    </row>
    <row r="19" spans="1:60" ht="21" customHeight="1" x14ac:dyDescent="0.25">
      <c r="A19" s="26" t="s">
        <v>238</v>
      </c>
      <c r="B19" s="27">
        <v>18.409722222222225</v>
      </c>
      <c r="C19" s="27">
        <v>18.409722222222225</v>
      </c>
      <c r="D19" s="27">
        <v>18.409722222222225</v>
      </c>
      <c r="E19" s="27">
        <v>18.409722222222225</v>
      </c>
      <c r="F19" s="27">
        <v>18.409722222222225</v>
      </c>
      <c r="G19" s="27">
        <v>18.409722222222225</v>
      </c>
      <c r="H19" s="27">
        <v>18.409722222222225</v>
      </c>
      <c r="I19" s="27">
        <v>18.409722222222225</v>
      </c>
      <c r="J19" s="27">
        <v>18.409722222222225</v>
      </c>
      <c r="K19" s="27">
        <v>18.409722222222225</v>
      </c>
      <c r="L19" s="27">
        <v>18.409722222222225</v>
      </c>
      <c r="M19" s="27">
        <v>18.409722222222225</v>
      </c>
      <c r="N19" s="27">
        <v>18.409722222222225</v>
      </c>
      <c r="O19" s="27">
        <v>18.409722222222225</v>
      </c>
      <c r="P19" s="27">
        <v>18.409722222222225</v>
      </c>
      <c r="Q19" s="27">
        <v>18.409722222222225</v>
      </c>
      <c r="R19" s="27">
        <v>18.409722222222225</v>
      </c>
      <c r="S19" s="27">
        <v>18.409722222222225</v>
      </c>
      <c r="T19" s="27">
        <v>18.409722222222225</v>
      </c>
      <c r="U19" s="27">
        <v>18.409722222222225</v>
      </c>
      <c r="V19" s="27">
        <v>18.409722222222225</v>
      </c>
      <c r="W19" s="27">
        <v>18.409722222222225</v>
      </c>
      <c r="X19" s="27">
        <v>18.409722222222225</v>
      </c>
      <c r="Y19" s="27">
        <v>18.409722222222225</v>
      </c>
      <c r="Z19" s="27">
        <v>18.409722222222225</v>
      </c>
      <c r="AA19" s="27">
        <v>18.409722222222225</v>
      </c>
      <c r="AB19" s="27">
        <v>18.409722222222225</v>
      </c>
      <c r="AC19" s="27">
        <v>18.409722222222225</v>
      </c>
      <c r="AD19" s="27">
        <v>18.409722222222225</v>
      </c>
      <c r="AE19" s="27">
        <v>18.409722222222225</v>
      </c>
      <c r="AF19" s="27">
        <v>18.409722222222225</v>
      </c>
      <c r="AG19" s="27">
        <v>18.409722222222225</v>
      </c>
      <c r="AH19" s="27">
        <v>18.409722222222225</v>
      </c>
      <c r="AI19" s="27">
        <v>18.409722222222225</v>
      </c>
      <c r="AJ19" s="27">
        <v>18.409722222222225</v>
      </c>
      <c r="AK19" s="27">
        <v>18.409722222222225</v>
      </c>
      <c r="AL19" s="27">
        <v>18.409722222222225</v>
      </c>
      <c r="AM19" s="27">
        <v>18.409722222222225</v>
      </c>
      <c r="AN19" s="27">
        <v>18.409722222222225</v>
      </c>
      <c r="AO19" s="27">
        <v>18.409722222222225</v>
      </c>
      <c r="AP19" s="27">
        <v>18.409722222222225</v>
      </c>
      <c r="AQ19" s="27">
        <v>18.409722222222225</v>
      </c>
      <c r="AR19" s="27">
        <v>18.409722222222225</v>
      </c>
      <c r="AS19" s="27">
        <v>18.409722222222225</v>
      </c>
      <c r="AT19" s="27">
        <v>18.409722222222225</v>
      </c>
      <c r="AU19" s="27">
        <v>18.409722222222225</v>
      </c>
      <c r="AV19" s="27">
        <v>18.409722222222225</v>
      </c>
      <c r="AW19" s="27">
        <v>18.409722222222225</v>
      </c>
      <c r="AX19" s="27">
        <v>18.409722222222225</v>
      </c>
      <c r="AY19" s="27">
        <v>18.409722222222225</v>
      </c>
      <c r="AZ19" s="27">
        <v>18.409722222222225</v>
      </c>
      <c r="BA19" s="27">
        <v>18.409722222222225</v>
      </c>
      <c r="BB19" s="27">
        <v>18.409722222222225</v>
      </c>
      <c r="BC19" s="27">
        <v>18.409722222222225</v>
      </c>
      <c r="BD19" s="27">
        <v>18.409722222222225</v>
      </c>
      <c r="BE19" s="27">
        <v>18.409722222222225</v>
      </c>
      <c r="BF19" s="27">
        <v>18.409722222222225</v>
      </c>
      <c r="BG19" s="27">
        <v>18.409722222222225</v>
      </c>
      <c r="BH19" s="27">
        <v>18.409722222222225</v>
      </c>
    </row>
    <row r="20" spans="1:60" ht="21" customHeight="1" x14ac:dyDescent="0.25">
      <c r="A20" s="26" t="s">
        <v>239</v>
      </c>
      <c r="B20" s="27">
        <v>13.388888888888891</v>
      </c>
      <c r="C20" s="27">
        <v>13.388888888888891</v>
      </c>
      <c r="D20" s="27">
        <v>13.388888888888891</v>
      </c>
      <c r="E20" s="27">
        <v>13.388888888888891</v>
      </c>
      <c r="F20" s="27">
        <v>13.388888888888891</v>
      </c>
      <c r="G20" s="27">
        <v>13.388888888888891</v>
      </c>
      <c r="H20" s="27">
        <v>13.388888888888891</v>
      </c>
      <c r="I20" s="27">
        <v>13.388888888888891</v>
      </c>
      <c r="J20" s="27">
        <v>13.388888888888891</v>
      </c>
      <c r="K20" s="27">
        <v>13.388888888888891</v>
      </c>
      <c r="L20" s="27">
        <v>13.388888888888891</v>
      </c>
      <c r="M20" s="27">
        <v>13.388888888888891</v>
      </c>
      <c r="N20" s="27">
        <v>13.388888888888891</v>
      </c>
      <c r="O20" s="27">
        <v>13.388888888888891</v>
      </c>
      <c r="P20" s="27">
        <v>13.388888888888891</v>
      </c>
      <c r="Q20" s="27">
        <v>13.388888888888891</v>
      </c>
      <c r="R20" s="27">
        <v>13.388888888888891</v>
      </c>
      <c r="S20" s="27">
        <v>13.388888888888891</v>
      </c>
      <c r="T20" s="27">
        <v>13.388888888888891</v>
      </c>
      <c r="U20" s="27">
        <v>13.388888888888891</v>
      </c>
      <c r="V20" s="27">
        <v>13.388888888888891</v>
      </c>
      <c r="W20" s="27">
        <v>13.388888888888891</v>
      </c>
      <c r="X20" s="27">
        <v>13.388888888888891</v>
      </c>
      <c r="Y20" s="27">
        <v>13.388888888888891</v>
      </c>
      <c r="Z20" s="27">
        <v>13.388888888888891</v>
      </c>
      <c r="AA20" s="27">
        <v>13.388888888888891</v>
      </c>
      <c r="AB20" s="27">
        <v>13.388888888888891</v>
      </c>
      <c r="AC20" s="27">
        <v>13.388888888888891</v>
      </c>
      <c r="AD20" s="27">
        <v>13.388888888888891</v>
      </c>
      <c r="AE20" s="27">
        <v>13.388888888888891</v>
      </c>
      <c r="AF20" s="27">
        <v>13.388888888888891</v>
      </c>
      <c r="AG20" s="27">
        <v>13.388888888888891</v>
      </c>
      <c r="AH20" s="27">
        <v>13.388888888888891</v>
      </c>
      <c r="AI20" s="27">
        <v>13.388888888888891</v>
      </c>
      <c r="AJ20" s="27">
        <v>13.388888888888891</v>
      </c>
      <c r="AK20" s="27">
        <v>13.388888888888891</v>
      </c>
      <c r="AL20" s="27">
        <v>13.388888888888891</v>
      </c>
      <c r="AM20" s="27">
        <v>13.388888888888891</v>
      </c>
      <c r="AN20" s="27">
        <v>13.388888888888891</v>
      </c>
      <c r="AO20" s="27">
        <v>13.388888888888891</v>
      </c>
      <c r="AP20" s="27">
        <v>13.388888888888891</v>
      </c>
      <c r="AQ20" s="27">
        <v>13.388888888888891</v>
      </c>
      <c r="AR20" s="27">
        <v>13.388888888888891</v>
      </c>
      <c r="AS20" s="27">
        <v>13.388888888888891</v>
      </c>
      <c r="AT20" s="27">
        <v>13.388888888888891</v>
      </c>
      <c r="AU20" s="27">
        <v>13.388888888888891</v>
      </c>
      <c r="AV20" s="27">
        <v>13.388888888888891</v>
      </c>
      <c r="AW20" s="27">
        <v>13.388888888888891</v>
      </c>
      <c r="AX20" s="27">
        <v>13.388888888888891</v>
      </c>
      <c r="AY20" s="27">
        <v>13.388888888888891</v>
      </c>
      <c r="AZ20" s="27">
        <v>13.388888888888891</v>
      </c>
      <c r="BA20" s="27">
        <v>13.388888888888891</v>
      </c>
      <c r="BB20" s="27">
        <v>13.388888888888891</v>
      </c>
      <c r="BC20" s="27">
        <v>13.388888888888891</v>
      </c>
      <c r="BD20" s="27">
        <v>13.388888888888891</v>
      </c>
      <c r="BE20" s="27">
        <v>13.388888888888891</v>
      </c>
      <c r="BF20" s="27">
        <v>13.388888888888891</v>
      </c>
      <c r="BG20" s="27">
        <v>13.388888888888891</v>
      </c>
      <c r="BH20" s="27">
        <v>13.388888888888891</v>
      </c>
    </row>
    <row r="21" spans="1:60" ht="21" customHeight="1" x14ac:dyDescent="0.25">
      <c r="A21" s="26" t="s">
        <v>240</v>
      </c>
      <c r="B21" s="27">
        <v>8.3546900972222229</v>
      </c>
      <c r="C21" s="27">
        <v>8.3546900972222229</v>
      </c>
      <c r="D21" s="27">
        <v>8.3546900972222229</v>
      </c>
      <c r="E21" s="27">
        <v>8.3546900972222229</v>
      </c>
      <c r="F21" s="27">
        <v>8.3546900972222229</v>
      </c>
      <c r="G21" s="27">
        <v>8.3546900972222229</v>
      </c>
      <c r="H21" s="27">
        <v>8.3546900972222229</v>
      </c>
      <c r="I21" s="27">
        <v>8.3546900972222229</v>
      </c>
      <c r="J21" s="27">
        <v>8.3546900972222229</v>
      </c>
      <c r="K21" s="27">
        <v>8.3546900972222229</v>
      </c>
      <c r="L21" s="27">
        <v>8.3546900972222229</v>
      </c>
      <c r="M21" s="27">
        <v>8.3546900972222229</v>
      </c>
      <c r="N21" s="27">
        <v>8.3546900972222229</v>
      </c>
      <c r="O21" s="27">
        <v>8.3546900972222229</v>
      </c>
      <c r="P21" s="27">
        <v>8.3546900972222229</v>
      </c>
      <c r="Q21" s="27">
        <v>8.3546900972222229</v>
      </c>
      <c r="R21" s="27">
        <v>8.3546900972222229</v>
      </c>
      <c r="S21" s="27">
        <v>8.3546900972222229</v>
      </c>
      <c r="T21" s="27">
        <v>8.3546900972222229</v>
      </c>
      <c r="U21" s="27">
        <v>8.3546900972222229</v>
      </c>
      <c r="V21" s="27">
        <v>8.3546900972222229</v>
      </c>
      <c r="W21" s="27">
        <v>8.3546900972222229</v>
      </c>
      <c r="X21" s="27">
        <v>8.3546900972222229</v>
      </c>
      <c r="Y21" s="27">
        <v>8.3546900972222229</v>
      </c>
      <c r="Z21" s="27">
        <v>8.3546900972222229</v>
      </c>
      <c r="AA21" s="27">
        <v>8.3546900972222229</v>
      </c>
      <c r="AB21" s="27">
        <v>8.3546900972222229</v>
      </c>
      <c r="AC21" s="27">
        <v>8.3546900972222229</v>
      </c>
      <c r="AD21" s="27">
        <v>8.3546900972222229</v>
      </c>
      <c r="AE21" s="27">
        <v>8.3546900972222229</v>
      </c>
      <c r="AF21" s="27">
        <v>8.3546900972222229</v>
      </c>
      <c r="AG21" s="27">
        <v>8.3546900972222229</v>
      </c>
      <c r="AH21" s="27">
        <v>8.3546900972222229</v>
      </c>
      <c r="AI21" s="27">
        <v>8.3546900972222229</v>
      </c>
      <c r="AJ21" s="27">
        <v>8.3546900972222229</v>
      </c>
      <c r="AK21" s="27">
        <v>8.3546900972222229</v>
      </c>
      <c r="AL21" s="27">
        <v>8.3546900972222229</v>
      </c>
      <c r="AM21" s="27">
        <v>8.3546900972222229</v>
      </c>
      <c r="AN21" s="27">
        <v>8.3546900972222229</v>
      </c>
      <c r="AO21" s="27">
        <v>8.3546900972222229</v>
      </c>
      <c r="AP21" s="27">
        <v>8.3546900972222229</v>
      </c>
      <c r="AQ21" s="27">
        <v>8.3546900972222229</v>
      </c>
      <c r="AR21" s="27">
        <v>8.3546900972222229</v>
      </c>
      <c r="AS21" s="27">
        <v>8.3546900972222229</v>
      </c>
      <c r="AT21" s="27">
        <v>8.3546900972222229</v>
      </c>
      <c r="AU21" s="27">
        <v>8.3546900972222229</v>
      </c>
      <c r="AV21" s="27">
        <v>8.3546900972222229</v>
      </c>
      <c r="AW21" s="27">
        <v>8.3546900972222229</v>
      </c>
      <c r="AX21" s="27">
        <v>8.3546900972222229</v>
      </c>
      <c r="AY21" s="27">
        <v>8.3546900972222229</v>
      </c>
      <c r="AZ21" s="27">
        <v>8.3546900972222229</v>
      </c>
      <c r="BA21" s="27">
        <v>8.3546900972222229</v>
      </c>
      <c r="BB21" s="27">
        <v>8.3546900972222229</v>
      </c>
      <c r="BC21" s="27">
        <v>8.3546900972222229</v>
      </c>
      <c r="BD21" s="27">
        <v>8.3546900972222229</v>
      </c>
      <c r="BE21" s="27">
        <v>8.3546900972222229</v>
      </c>
      <c r="BF21" s="27">
        <v>8.3546900972222229</v>
      </c>
      <c r="BG21" s="27">
        <v>8.3546900972222229</v>
      </c>
      <c r="BH21" s="27">
        <v>8.3546900972222229</v>
      </c>
    </row>
    <row r="22" spans="1:60" ht="21" customHeight="1" x14ac:dyDescent="0.25">
      <c r="A22" s="26" t="s">
        <v>241</v>
      </c>
      <c r="B22" s="27">
        <v>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</row>
    <row r="23" spans="1:60" ht="21" customHeight="1" x14ac:dyDescent="0.25">
      <c r="A23" s="26" t="s">
        <v>242</v>
      </c>
      <c r="B23" s="27">
        <v>13.388888888888891</v>
      </c>
      <c r="C23" s="27">
        <v>13.388888888888891</v>
      </c>
      <c r="D23" s="27">
        <v>13.388888888888891</v>
      </c>
      <c r="E23" s="27">
        <v>13.388888888888891</v>
      </c>
      <c r="F23" s="27">
        <v>13.388888888888891</v>
      </c>
      <c r="G23" s="27">
        <v>13.388888888888891</v>
      </c>
      <c r="H23" s="27">
        <v>13.388888888888891</v>
      </c>
      <c r="I23" s="27">
        <v>13.388888888888891</v>
      </c>
      <c r="J23" s="27">
        <v>13.388888888888891</v>
      </c>
      <c r="K23" s="27">
        <v>13.388888888888891</v>
      </c>
      <c r="L23" s="27">
        <v>13.388888888888891</v>
      </c>
      <c r="M23" s="27">
        <v>13.388888888888891</v>
      </c>
      <c r="N23" s="27">
        <v>13.388888888888891</v>
      </c>
      <c r="O23" s="27">
        <v>13.388888888888891</v>
      </c>
      <c r="P23" s="27">
        <v>13.388888888888891</v>
      </c>
      <c r="Q23" s="27">
        <v>13.388888888888891</v>
      </c>
      <c r="R23" s="27">
        <v>13.388888888888891</v>
      </c>
      <c r="S23" s="27">
        <v>13.388888888888891</v>
      </c>
      <c r="T23" s="27">
        <v>13.388888888888891</v>
      </c>
      <c r="U23" s="27">
        <v>13.388888888888891</v>
      </c>
      <c r="V23" s="27">
        <v>13.388888888888891</v>
      </c>
      <c r="W23" s="27">
        <v>13.388888888888891</v>
      </c>
      <c r="X23" s="27">
        <v>13.388888888888891</v>
      </c>
      <c r="Y23" s="27">
        <v>13.388888888888891</v>
      </c>
      <c r="Z23" s="27">
        <v>13.388888888888891</v>
      </c>
      <c r="AA23" s="27">
        <v>13.388888888888891</v>
      </c>
      <c r="AB23" s="27">
        <v>13.388888888888891</v>
      </c>
      <c r="AC23" s="27">
        <v>13.388888888888891</v>
      </c>
      <c r="AD23" s="27">
        <v>13.388888888888891</v>
      </c>
      <c r="AE23" s="27">
        <v>13.388888888888891</v>
      </c>
      <c r="AF23" s="27">
        <v>13.388888888888891</v>
      </c>
      <c r="AG23" s="27">
        <v>13.388888888888891</v>
      </c>
      <c r="AH23" s="27">
        <v>13.388888888888891</v>
      </c>
      <c r="AI23" s="27">
        <v>13.388888888888891</v>
      </c>
      <c r="AJ23" s="27">
        <v>13.388888888888891</v>
      </c>
      <c r="AK23" s="27">
        <v>13.388888888888891</v>
      </c>
      <c r="AL23" s="27">
        <v>13.388888888888891</v>
      </c>
      <c r="AM23" s="27">
        <v>13.388888888888891</v>
      </c>
      <c r="AN23" s="27">
        <v>13.388888888888891</v>
      </c>
      <c r="AO23" s="27">
        <v>13.388888888888891</v>
      </c>
      <c r="AP23" s="27">
        <v>13.388888888888891</v>
      </c>
      <c r="AQ23" s="27">
        <v>13.388888888888891</v>
      </c>
      <c r="AR23" s="27">
        <v>13.388888888888891</v>
      </c>
      <c r="AS23" s="27">
        <v>13.388888888888891</v>
      </c>
      <c r="AT23" s="27">
        <v>13.388888888888891</v>
      </c>
      <c r="AU23" s="27">
        <v>13.388888888888891</v>
      </c>
      <c r="AV23" s="27">
        <v>13.388888888888891</v>
      </c>
      <c r="AW23" s="27">
        <v>13.388888888888891</v>
      </c>
      <c r="AX23" s="27">
        <v>13.388888888888891</v>
      </c>
      <c r="AY23" s="27">
        <v>13.388888888888891</v>
      </c>
      <c r="AZ23" s="27">
        <v>13.388888888888891</v>
      </c>
      <c r="BA23" s="27">
        <v>13.388888888888891</v>
      </c>
      <c r="BB23" s="27">
        <v>13.388888888888891</v>
      </c>
      <c r="BC23" s="27">
        <v>13.388888888888891</v>
      </c>
      <c r="BD23" s="27">
        <v>13.388888888888891</v>
      </c>
      <c r="BE23" s="27">
        <v>13.388888888888891</v>
      </c>
      <c r="BF23" s="27">
        <v>13.388888888888891</v>
      </c>
      <c r="BG23" s="27">
        <v>13.388888888888891</v>
      </c>
      <c r="BH23" s="27">
        <v>13.388888888888891</v>
      </c>
    </row>
    <row r="24" spans="1:60" ht="21" customHeight="1" x14ac:dyDescent="0.25">
      <c r="A24" s="26" t="s">
        <v>243</v>
      </c>
      <c r="B24" s="27">
        <v>11.715277777777779</v>
      </c>
      <c r="C24" s="27">
        <v>11.715277777777779</v>
      </c>
      <c r="D24" s="27">
        <v>11.715277777777779</v>
      </c>
      <c r="E24" s="27">
        <v>11.715277777777779</v>
      </c>
      <c r="F24" s="27">
        <v>11.715277777777779</v>
      </c>
      <c r="G24" s="27">
        <v>11.715277777777779</v>
      </c>
      <c r="H24" s="27">
        <v>11.715277777777779</v>
      </c>
      <c r="I24" s="27">
        <v>11.715277777777779</v>
      </c>
      <c r="J24" s="27">
        <v>11.715277777777779</v>
      </c>
      <c r="K24" s="27">
        <v>11.715277777777779</v>
      </c>
      <c r="L24" s="27">
        <v>11.715277777777779</v>
      </c>
      <c r="M24" s="27">
        <v>11.715277777777779</v>
      </c>
      <c r="N24" s="27">
        <v>11.715277777777779</v>
      </c>
      <c r="O24" s="27">
        <v>11.715277777777779</v>
      </c>
      <c r="P24" s="27">
        <v>11.715277777777779</v>
      </c>
      <c r="Q24" s="27">
        <v>11.715277777777779</v>
      </c>
      <c r="R24" s="27">
        <v>11.715277777777779</v>
      </c>
      <c r="S24" s="27">
        <v>11.715277777777779</v>
      </c>
      <c r="T24" s="27">
        <v>11.715277777777779</v>
      </c>
      <c r="U24" s="27">
        <v>11.715277777777779</v>
      </c>
      <c r="V24" s="27">
        <v>11.715277777777779</v>
      </c>
      <c r="W24" s="27">
        <v>11.715277777777779</v>
      </c>
      <c r="X24" s="27">
        <v>11.715277777777779</v>
      </c>
      <c r="Y24" s="27">
        <v>11.715277777777779</v>
      </c>
      <c r="Z24" s="27">
        <v>11.715277777777779</v>
      </c>
      <c r="AA24" s="27">
        <v>11.715277777777779</v>
      </c>
      <c r="AB24" s="27">
        <v>11.715277777777779</v>
      </c>
      <c r="AC24" s="27">
        <v>11.715277777777779</v>
      </c>
      <c r="AD24" s="27">
        <v>11.715277777777779</v>
      </c>
      <c r="AE24" s="27">
        <v>11.715277777777779</v>
      </c>
      <c r="AF24" s="27">
        <v>11.715277777777779</v>
      </c>
      <c r="AG24" s="27">
        <v>11.715277777777779</v>
      </c>
      <c r="AH24" s="27">
        <v>11.715277777777779</v>
      </c>
      <c r="AI24" s="27">
        <v>11.715277777777779</v>
      </c>
      <c r="AJ24" s="27">
        <v>11.715277777777779</v>
      </c>
      <c r="AK24" s="27">
        <v>11.715277777777779</v>
      </c>
      <c r="AL24" s="27">
        <v>11.715277777777779</v>
      </c>
      <c r="AM24" s="27">
        <v>11.715277777777779</v>
      </c>
      <c r="AN24" s="27">
        <v>11.715277777777779</v>
      </c>
      <c r="AO24" s="27">
        <v>11.715277777777779</v>
      </c>
      <c r="AP24" s="27">
        <v>11.715277777777779</v>
      </c>
      <c r="AQ24" s="27">
        <v>11.715277777777779</v>
      </c>
      <c r="AR24" s="27">
        <v>11.715277777777779</v>
      </c>
      <c r="AS24" s="27">
        <v>11.715277777777779</v>
      </c>
      <c r="AT24" s="27">
        <v>11.715277777777779</v>
      </c>
      <c r="AU24" s="27">
        <v>11.715277777777779</v>
      </c>
      <c r="AV24" s="27">
        <v>11.715277777777779</v>
      </c>
      <c r="AW24" s="27">
        <v>11.715277777777779</v>
      </c>
      <c r="AX24" s="27">
        <v>11.715277777777779</v>
      </c>
      <c r="AY24" s="27">
        <v>11.715277777777779</v>
      </c>
      <c r="AZ24" s="27">
        <v>11.715277777777779</v>
      </c>
      <c r="BA24" s="27">
        <v>11.715277777777779</v>
      </c>
      <c r="BB24" s="27">
        <v>11.715277777777779</v>
      </c>
      <c r="BC24" s="27">
        <v>11.715277777777779</v>
      </c>
      <c r="BD24" s="27">
        <v>11.715277777777779</v>
      </c>
      <c r="BE24" s="27">
        <v>11.715277777777779</v>
      </c>
      <c r="BF24" s="27">
        <v>11.715277777777779</v>
      </c>
      <c r="BG24" s="27">
        <v>11.715277777777779</v>
      </c>
      <c r="BH24" s="27">
        <v>11.715277777777779</v>
      </c>
    </row>
    <row r="25" spans="1:60" ht="21" customHeight="1" x14ac:dyDescent="0.25">
      <c r="A25" s="26" t="s">
        <v>244</v>
      </c>
      <c r="B25" s="27">
        <v>0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0</v>
      </c>
    </row>
    <row r="26" spans="1:60" ht="21" customHeight="1" x14ac:dyDescent="0.25">
      <c r="A26" s="26" t="s">
        <v>245</v>
      </c>
      <c r="B26" s="27">
        <v>6.6944444444444455</v>
      </c>
      <c r="C26" s="27">
        <v>6.6944444444444455</v>
      </c>
      <c r="D26" s="27">
        <v>6.6944444444444455</v>
      </c>
      <c r="E26" s="27">
        <v>6.6944444444444455</v>
      </c>
      <c r="F26" s="27">
        <v>6.6944444444444455</v>
      </c>
      <c r="G26" s="27">
        <v>6.6944444444444455</v>
      </c>
      <c r="H26" s="27">
        <v>6.6944444444444455</v>
      </c>
      <c r="I26" s="27">
        <v>6.6944444444444455</v>
      </c>
      <c r="J26" s="27">
        <v>6.6944444444444455</v>
      </c>
      <c r="K26" s="27">
        <v>6.6944444444444455</v>
      </c>
      <c r="L26" s="27">
        <v>6.6944444444444455</v>
      </c>
      <c r="M26" s="27">
        <v>6.6944444444444455</v>
      </c>
      <c r="N26" s="27">
        <v>6.6944444444444455</v>
      </c>
      <c r="O26" s="27">
        <v>6.6944444444444455</v>
      </c>
      <c r="P26" s="27">
        <v>6.6944444444444455</v>
      </c>
      <c r="Q26" s="27">
        <v>6.6944444444444455</v>
      </c>
      <c r="R26" s="27">
        <v>6.6944444444444455</v>
      </c>
      <c r="S26" s="27">
        <v>6.6944444444444455</v>
      </c>
      <c r="T26" s="27">
        <v>6.6944444444444455</v>
      </c>
      <c r="U26" s="27">
        <v>6.6944444444444455</v>
      </c>
      <c r="V26" s="27">
        <v>6.6944444444444455</v>
      </c>
      <c r="W26" s="27">
        <v>6.6944444444444455</v>
      </c>
      <c r="X26" s="27">
        <v>6.6944444444444455</v>
      </c>
      <c r="Y26" s="27">
        <v>6.6944444444444455</v>
      </c>
      <c r="Z26" s="27">
        <v>6.6944444444444455</v>
      </c>
      <c r="AA26" s="27">
        <v>6.6944444444444455</v>
      </c>
      <c r="AB26" s="27">
        <v>6.6944444444444455</v>
      </c>
      <c r="AC26" s="27">
        <v>6.6944444444444455</v>
      </c>
      <c r="AD26" s="27">
        <v>6.6944444444444455</v>
      </c>
      <c r="AE26" s="27">
        <v>6.6944444444444455</v>
      </c>
      <c r="AF26" s="27">
        <v>6.6944444444444455</v>
      </c>
      <c r="AG26" s="27">
        <v>6.6944444444444455</v>
      </c>
      <c r="AH26" s="27">
        <v>6.6944444444444455</v>
      </c>
      <c r="AI26" s="27">
        <v>6.6944444444444455</v>
      </c>
      <c r="AJ26" s="27">
        <v>6.6944444444444455</v>
      </c>
      <c r="AK26" s="27">
        <v>6.6944444444444455</v>
      </c>
      <c r="AL26" s="27">
        <v>6.6944444444444455</v>
      </c>
      <c r="AM26" s="27">
        <v>6.6944444444444455</v>
      </c>
      <c r="AN26" s="27">
        <v>6.6944444444444455</v>
      </c>
      <c r="AO26" s="27">
        <v>6.6944444444444455</v>
      </c>
      <c r="AP26" s="27">
        <v>6.6944444444444455</v>
      </c>
      <c r="AQ26" s="27">
        <v>6.6944444444444455</v>
      </c>
      <c r="AR26" s="27">
        <v>6.6944444444444455</v>
      </c>
      <c r="AS26" s="27">
        <v>6.6944444444444455</v>
      </c>
      <c r="AT26" s="27">
        <v>6.6944444444444455</v>
      </c>
      <c r="AU26" s="27">
        <v>6.6944444444444455</v>
      </c>
      <c r="AV26" s="27">
        <v>6.6944444444444455</v>
      </c>
      <c r="AW26" s="27">
        <v>6.6944444444444455</v>
      </c>
      <c r="AX26" s="27">
        <v>6.6944444444444455</v>
      </c>
      <c r="AY26" s="27">
        <v>6.6944444444444455</v>
      </c>
      <c r="AZ26" s="27">
        <v>6.6944444444444455</v>
      </c>
      <c r="BA26" s="27">
        <v>6.6944444444444455</v>
      </c>
      <c r="BB26" s="27">
        <v>6.6944444444444455</v>
      </c>
      <c r="BC26" s="27">
        <v>6.6944444444444455</v>
      </c>
      <c r="BD26" s="27">
        <v>6.6944444444444455</v>
      </c>
      <c r="BE26" s="27">
        <v>6.6944444444444455</v>
      </c>
      <c r="BF26" s="27">
        <v>6.6944444444444455</v>
      </c>
      <c r="BG26" s="27">
        <v>6.6944444444444455</v>
      </c>
      <c r="BH26" s="27">
        <v>6.6944444444444455</v>
      </c>
    </row>
    <row r="27" spans="1:60" ht="21" customHeight="1" x14ac:dyDescent="0.25">
      <c r="A27" s="26" t="s">
        <v>246</v>
      </c>
      <c r="B27" s="27">
        <v>10.284360361111112</v>
      </c>
      <c r="C27" s="27">
        <v>10.284360361111112</v>
      </c>
      <c r="D27" s="27">
        <v>10.284360361111112</v>
      </c>
      <c r="E27" s="27">
        <v>10.284360361111112</v>
      </c>
      <c r="F27" s="27">
        <v>10.284360361111112</v>
      </c>
      <c r="G27" s="27">
        <v>10.284360361111112</v>
      </c>
      <c r="H27" s="27">
        <v>10.284360361111112</v>
      </c>
      <c r="I27" s="27">
        <v>10.284360361111112</v>
      </c>
      <c r="J27" s="27">
        <v>10.284360361111112</v>
      </c>
      <c r="K27" s="27">
        <v>10.284360361111112</v>
      </c>
      <c r="L27" s="27">
        <v>10.284360361111112</v>
      </c>
      <c r="M27" s="27">
        <v>10.284360361111112</v>
      </c>
      <c r="N27" s="27">
        <v>10.284360361111112</v>
      </c>
      <c r="O27" s="27">
        <v>10.284360361111112</v>
      </c>
      <c r="P27" s="27">
        <v>10.284360361111112</v>
      </c>
      <c r="Q27" s="27">
        <v>10.284360361111112</v>
      </c>
      <c r="R27" s="27">
        <v>10.284360361111112</v>
      </c>
      <c r="S27" s="27">
        <v>10.284360361111112</v>
      </c>
      <c r="T27" s="27">
        <v>10.284360361111112</v>
      </c>
      <c r="U27" s="27">
        <v>10.284360361111112</v>
      </c>
      <c r="V27" s="27">
        <v>10.284360361111112</v>
      </c>
      <c r="W27" s="27">
        <v>10.284360361111112</v>
      </c>
      <c r="X27" s="27">
        <v>10.284360361111112</v>
      </c>
      <c r="Y27" s="27">
        <v>10.284360361111112</v>
      </c>
      <c r="Z27" s="27">
        <v>10.284360361111112</v>
      </c>
      <c r="AA27" s="27">
        <v>10.284360361111112</v>
      </c>
      <c r="AB27" s="27">
        <v>10.284360361111112</v>
      </c>
      <c r="AC27" s="27">
        <v>10.284360361111112</v>
      </c>
      <c r="AD27" s="27">
        <v>10.284360361111112</v>
      </c>
      <c r="AE27" s="27">
        <v>10.284360361111112</v>
      </c>
      <c r="AF27" s="27">
        <v>10.284360361111112</v>
      </c>
      <c r="AG27" s="27">
        <v>10.284360361111112</v>
      </c>
      <c r="AH27" s="27">
        <v>10.284360361111112</v>
      </c>
      <c r="AI27" s="27">
        <v>10.284360361111112</v>
      </c>
      <c r="AJ27" s="27">
        <v>10.284360361111112</v>
      </c>
      <c r="AK27" s="27">
        <v>10.284360361111112</v>
      </c>
      <c r="AL27" s="27">
        <v>10.284360361111112</v>
      </c>
      <c r="AM27" s="27">
        <v>10.284360361111112</v>
      </c>
      <c r="AN27" s="27">
        <v>10.284360361111112</v>
      </c>
      <c r="AO27" s="27">
        <v>10.284360361111112</v>
      </c>
      <c r="AP27" s="27">
        <v>10.284360361111112</v>
      </c>
      <c r="AQ27" s="27">
        <v>10.284360361111112</v>
      </c>
      <c r="AR27" s="27">
        <v>10.284360361111112</v>
      </c>
      <c r="AS27" s="27">
        <v>10.284360361111112</v>
      </c>
      <c r="AT27" s="27">
        <v>10.284360361111112</v>
      </c>
      <c r="AU27" s="27">
        <v>10.284360361111112</v>
      </c>
      <c r="AV27" s="27">
        <v>10.284360361111112</v>
      </c>
      <c r="AW27" s="27">
        <v>10.284360361111112</v>
      </c>
      <c r="AX27" s="27">
        <v>10.284360361111112</v>
      </c>
      <c r="AY27" s="27">
        <v>10.284360361111112</v>
      </c>
      <c r="AZ27" s="27">
        <v>10.284360361111112</v>
      </c>
      <c r="BA27" s="27">
        <v>10.284360361111112</v>
      </c>
      <c r="BB27" s="27">
        <v>10.284360361111112</v>
      </c>
      <c r="BC27" s="27">
        <v>10.284360361111112</v>
      </c>
      <c r="BD27" s="27">
        <v>10.284360361111112</v>
      </c>
      <c r="BE27" s="27">
        <v>10.284360361111112</v>
      </c>
      <c r="BF27" s="27">
        <v>10.284360361111112</v>
      </c>
      <c r="BG27" s="27">
        <v>10.284360361111112</v>
      </c>
      <c r="BH27" s="27">
        <v>10.284360361111112</v>
      </c>
    </row>
    <row r="28" spans="1:60" ht="21" customHeight="1" x14ac:dyDescent="0.25">
      <c r="A28" s="26" t="s">
        <v>247</v>
      </c>
      <c r="B28" s="27">
        <v>14.984780847222224</v>
      </c>
      <c r="C28" s="27">
        <v>14.984780847222224</v>
      </c>
      <c r="D28" s="27">
        <v>14.984780847222224</v>
      </c>
      <c r="E28" s="27">
        <v>14.984780847222224</v>
      </c>
      <c r="F28" s="27">
        <v>14.984780847222224</v>
      </c>
      <c r="G28" s="27">
        <v>14.984780847222224</v>
      </c>
      <c r="H28" s="27">
        <v>14.984780847222224</v>
      </c>
      <c r="I28" s="27">
        <v>14.984780847222224</v>
      </c>
      <c r="J28" s="27">
        <v>14.984780847222224</v>
      </c>
      <c r="K28" s="27">
        <v>14.984780847222224</v>
      </c>
      <c r="L28" s="27">
        <v>14.984780847222224</v>
      </c>
      <c r="M28" s="27">
        <v>14.984780847222224</v>
      </c>
      <c r="N28" s="27">
        <v>14.984780847222224</v>
      </c>
      <c r="O28" s="27">
        <v>14.984780847222224</v>
      </c>
      <c r="P28" s="27">
        <v>14.984780847222224</v>
      </c>
      <c r="Q28" s="27">
        <v>14.984780847222224</v>
      </c>
      <c r="R28" s="27">
        <v>14.984780847222224</v>
      </c>
      <c r="S28" s="27">
        <v>14.984780847222224</v>
      </c>
      <c r="T28" s="27">
        <v>14.984780847222224</v>
      </c>
      <c r="U28" s="27">
        <v>14.984780847222224</v>
      </c>
      <c r="V28" s="27">
        <v>14.984780847222224</v>
      </c>
      <c r="W28" s="27">
        <v>14.984780847222224</v>
      </c>
      <c r="X28" s="27">
        <v>14.984780847222224</v>
      </c>
      <c r="Y28" s="27">
        <v>14.984780847222224</v>
      </c>
      <c r="Z28" s="27">
        <v>14.984780847222224</v>
      </c>
      <c r="AA28" s="27">
        <v>14.984780847222224</v>
      </c>
      <c r="AB28" s="27">
        <v>14.984780847222224</v>
      </c>
      <c r="AC28" s="27">
        <v>14.984780847222224</v>
      </c>
      <c r="AD28" s="27">
        <v>14.984780847222224</v>
      </c>
      <c r="AE28" s="27">
        <v>14.984780847222224</v>
      </c>
      <c r="AF28" s="27">
        <v>14.984780847222224</v>
      </c>
      <c r="AG28" s="27">
        <v>14.984780847222224</v>
      </c>
      <c r="AH28" s="27">
        <v>14.984780847222224</v>
      </c>
      <c r="AI28" s="27">
        <v>14.984780847222224</v>
      </c>
      <c r="AJ28" s="27">
        <v>14.984780847222224</v>
      </c>
      <c r="AK28" s="27">
        <v>14.984780847222224</v>
      </c>
      <c r="AL28" s="27">
        <v>14.984780847222224</v>
      </c>
      <c r="AM28" s="27">
        <v>14.984780847222224</v>
      </c>
      <c r="AN28" s="27">
        <v>14.984780847222224</v>
      </c>
      <c r="AO28" s="27">
        <v>14.984780847222224</v>
      </c>
      <c r="AP28" s="27">
        <v>14.984780847222224</v>
      </c>
      <c r="AQ28" s="27">
        <v>14.984780847222224</v>
      </c>
      <c r="AR28" s="27">
        <v>14.984780847222224</v>
      </c>
      <c r="AS28" s="27">
        <v>14.984780847222224</v>
      </c>
      <c r="AT28" s="27">
        <v>14.984780847222224</v>
      </c>
      <c r="AU28" s="27">
        <v>14.984780847222224</v>
      </c>
      <c r="AV28" s="27">
        <v>14.984780847222224</v>
      </c>
      <c r="AW28" s="27">
        <v>14.984780847222224</v>
      </c>
      <c r="AX28" s="27">
        <v>14.984780847222224</v>
      </c>
      <c r="AY28" s="27">
        <v>14.984780847222224</v>
      </c>
      <c r="AZ28" s="27">
        <v>14.984780847222224</v>
      </c>
      <c r="BA28" s="27">
        <v>14.984780847222224</v>
      </c>
      <c r="BB28" s="27">
        <v>14.984780847222224</v>
      </c>
      <c r="BC28" s="27">
        <v>14.984780847222224</v>
      </c>
      <c r="BD28" s="27">
        <v>14.984780847222224</v>
      </c>
      <c r="BE28" s="27">
        <v>14.984780847222224</v>
      </c>
      <c r="BF28" s="27">
        <v>14.984780847222224</v>
      </c>
      <c r="BG28" s="27">
        <v>14.984780847222224</v>
      </c>
      <c r="BH28" s="27">
        <v>14.984780847222224</v>
      </c>
    </row>
    <row r="29" spans="1:60" ht="21" customHeight="1" x14ac:dyDescent="0.25">
      <c r="A29" s="26" t="s">
        <v>248</v>
      </c>
      <c r="B29" s="27">
        <v>8.7027777777777793</v>
      </c>
      <c r="C29" s="27">
        <v>8.7027777777777793</v>
      </c>
      <c r="D29" s="27">
        <v>8.7027777777777793</v>
      </c>
      <c r="E29" s="27">
        <v>8.7027777777777793</v>
      </c>
      <c r="F29" s="27">
        <v>8.7027777777777793</v>
      </c>
      <c r="G29" s="27">
        <v>8.7027777777777793</v>
      </c>
      <c r="H29" s="27">
        <v>8.7027777777777793</v>
      </c>
      <c r="I29" s="27">
        <v>8.7027777777777793</v>
      </c>
      <c r="J29" s="27">
        <v>8.7027777777777793</v>
      </c>
      <c r="K29" s="27">
        <v>8.7027777777777793</v>
      </c>
      <c r="L29" s="27">
        <v>8.7027777777777793</v>
      </c>
      <c r="M29" s="27">
        <v>8.7027777777777793</v>
      </c>
      <c r="N29" s="27">
        <v>8.7027777777777793</v>
      </c>
      <c r="O29" s="27">
        <v>8.7027777777777793</v>
      </c>
      <c r="P29" s="27">
        <v>8.7027777777777793</v>
      </c>
      <c r="Q29" s="27">
        <v>8.7027777777777793</v>
      </c>
      <c r="R29" s="27">
        <v>8.7027777777777793</v>
      </c>
      <c r="S29" s="27">
        <v>8.7027777777777793</v>
      </c>
      <c r="T29" s="27">
        <v>8.7027777777777793</v>
      </c>
      <c r="U29" s="27">
        <v>8.7027777777777793</v>
      </c>
      <c r="V29" s="27">
        <v>8.7027777777777793</v>
      </c>
      <c r="W29" s="27">
        <v>8.7027777777777793</v>
      </c>
      <c r="X29" s="27">
        <v>8.7027777777777793</v>
      </c>
      <c r="Y29" s="27">
        <v>8.7027777777777793</v>
      </c>
      <c r="Z29" s="27">
        <v>8.7027777777777793</v>
      </c>
      <c r="AA29" s="27">
        <v>8.7027777777777793</v>
      </c>
      <c r="AB29" s="27">
        <v>8.7027777777777793</v>
      </c>
      <c r="AC29" s="27">
        <v>8.7027777777777793</v>
      </c>
      <c r="AD29" s="27">
        <v>8.7027777777777793</v>
      </c>
      <c r="AE29" s="27">
        <v>8.7027777777777793</v>
      </c>
      <c r="AF29" s="27">
        <v>8.7027777777777793</v>
      </c>
      <c r="AG29" s="27">
        <v>8.7027777777777793</v>
      </c>
      <c r="AH29" s="27">
        <v>8.7027777777777793</v>
      </c>
      <c r="AI29" s="27">
        <v>8.7027777777777793</v>
      </c>
      <c r="AJ29" s="27">
        <v>8.7027777777777793</v>
      </c>
      <c r="AK29" s="27">
        <v>8.7027777777777793</v>
      </c>
      <c r="AL29" s="27">
        <v>8.7027777777777793</v>
      </c>
      <c r="AM29" s="27">
        <v>8.7027777777777793</v>
      </c>
      <c r="AN29" s="27">
        <v>8.7027777777777793</v>
      </c>
      <c r="AO29" s="27">
        <v>8.7027777777777793</v>
      </c>
      <c r="AP29" s="27">
        <v>8.7027777777777793</v>
      </c>
      <c r="AQ29" s="27">
        <v>8.7027777777777793</v>
      </c>
      <c r="AR29" s="27">
        <v>8.7027777777777793</v>
      </c>
      <c r="AS29" s="27">
        <v>8.7027777777777793</v>
      </c>
      <c r="AT29" s="27">
        <v>8.7027777777777793</v>
      </c>
      <c r="AU29" s="27">
        <v>8.7027777777777793</v>
      </c>
      <c r="AV29" s="27">
        <v>8.7027777777777793</v>
      </c>
      <c r="AW29" s="27">
        <v>8.7027777777777793</v>
      </c>
      <c r="AX29" s="27">
        <v>8.7027777777777793</v>
      </c>
      <c r="AY29" s="27">
        <v>8.7027777777777793</v>
      </c>
      <c r="AZ29" s="27">
        <v>8.7027777777777793</v>
      </c>
      <c r="BA29" s="27">
        <v>8.7027777777777793</v>
      </c>
      <c r="BB29" s="27">
        <v>8.7027777777777793</v>
      </c>
      <c r="BC29" s="27">
        <v>8.7027777777777793</v>
      </c>
      <c r="BD29" s="27">
        <v>8.7027777777777793</v>
      </c>
      <c r="BE29" s="27">
        <v>8.7027777777777793</v>
      </c>
      <c r="BF29" s="27">
        <v>8.7027777777777793</v>
      </c>
      <c r="BG29" s="27">
        <v>8.7027777777777793</v>
      </c>
      <c r="BH29" s="27">
        <v>8.7027777777777793</v>
      </c>
    </row>
    <row r="30" spans="1:60" ht="21" customHeight="1" x14ac:dyDescent="0.25">
      <c r="A30" s="26" t="s">
        <v>249</v>
      </c>
      <c r="B30" s="27">
        <v>16.736111111111114</v>
      </c>
      <c r="C30" s="27">
        <v>16.736111111111114</v>
      </c>
      <c r="D30" s="27">
        <v>16.736111111111114</v>
      </c>
      <c r="E30" s="27">
        <v>16.736111111111114</v>
      </c>
      <c r="F30" s="27">
        <v>16.736111111111114</v>
      </c>
      <c r="G30" s="27">
        <v>16.736111111111114</v>
      </c>
      <c r="H30" s="27">
        <v>16.736111111111114</v>
      </c>
      <c r="I30" s="27">
        <v>16.736111111111114</v>
      </c>
      <c r="J30" s="27">
        <v>16.736111111111114</v>
      </c>
      <c r="K30" s="27">
        <v>16.736111111111114</v>
      </c>
      <c r="L30" s="27">
        <v>16.736111111111114</v>
      </c>
      <c r="M30" s="27">
        <v>16.736111111111114</v>
      </c>
      <c r="N30" s="27">
        <v>16.736111111111114</v>
      </c>
      <c r="O30" s="27">
        <v>16.736111111111114</v>
      </c>
      <c r="P30" s="27">
        <v>16.736111111111114</v>
      </c>
      <c r="Q30" s="27">
        <v>16.736111111111114</v>
      </c>
      <c r="R30" s="27">
        <v>16.736111111111114</v>
      </c>
      <c r="S30" s="27">
        <v>16.736111111111114</v>
      </c>
      <c r="T30" s="27">
        <v>16.736111111111114</v>
      </c>
      <c r="U30" s="27">
        <v>16.736111111111114</v>
      </c>
      <c r="V30" s="27">
        <v>16.736111111111114</v>
      </c>
      <c r="W30" s="27">
        <v>16.736111111111114</v>
      </c>
      <c r="X30" s="27">
        <v>16.736111111111114</v>
      </c>
      <c r="Y30" s="27">
        <v>16.736111111111114</v>
      </c>
      <c r="Z30" s="27">
        <v>16.736111111111114</v>
      </c>
      <c r="AA30" s="27">
        <v>16.736111111111114</v>
      </c>
      <c r="AB30" s="27">
        <v>16.736111111111114</v>
      </c>
      <c r="AC30" s="27">
        <v>16.736111111111114</v>
      </c>
      <c r="AD30" s="27">
        <v>16.736111111111114</v>
      </c>
      <c r="AE30" s="27">
        <v>16.736111111111114</v>
      </c>
      <c r="AF30" s="27">
        <v>16.736111111111114</v>
      </c>
      <c r="AG30" s="27">
        <v>16.736111111111114</v>
      </c>
      <c r="AH30" s="27">
        <v>16.736111111111114</v>
      </c>
      <c r="AI30" s="27">
        <v>16.736111111111114</v>
      </c>
      <c r="AJ30" s="27">
        <v>16.736111111111114</v>
      </c>
      <c r="AK30" s="27">
        <v>16.736111111111114</v>
      </c>
      <c r="AL30" s="27">
        <v>16.736111111111114</v>
      </c>
      <c r="AM30" s="27">
        <v>16.736111111111114</v>
      </c>
      <c r="AN30" s="27">
        <v>16.736111111111114</v>
      </c>
      <c r="AO30" s="27">
        <v>16.736111111111114</v>
      </c>
      <c r="AP30" s="27">
        <v>16.736111111111114</v>
      </c>
      <c r="AQ30" s="27">
        <v>16.736111111111114</v>
      </c>
      <c r="AR30" s="27">
        <v>16.736111111111114</v>
      </c>
      <c r="AS30" s="27">
        <v>16.736111111111114</v>
      </c>
      <c r="AT30" s="27">
        <v>16.736111111111114</v>
      </c>
      <c r="AU30" s="27">
        <v>16.736111111111114</v>
      </c>
      <c r="AV30" s="27">
        <v>16.736111111111114</v>
      </c>
      <c r="AW30" s="27">
        <v>16.736111111111114</v>
      </c>
      <c r="AX30" s="27">
        <v>16.736111111111114</v>
      </c>
      <c r="AY30" s="27">
        <v>16.736111111111114</v>
      </c>
      <c r="AZ30" s="27">
        <v>16.736111111111114</v>
      </c>
      <c r="BA30" s="27">
        <v>16.736111111111114</v>
      </c>
      <c r="BB30" s="27">
        <v>16.736111111111114</v>
      </c>
      <c r="BC30" s="27">
        <v>16.736111111111114</v>
      </c>
      <c r="BD30" s="27">
        <v>16.736111111111114</v>
      </c>
      <c r="BE30" s="27">
        <v>16.736111111111114</v>
      </c>
      <c r="BF30" s="27">
        <v>16.736111111111114</v>
      </c>
      <c r="BG30" s="27">
        <v>16.736111111111114</v>
      </c>
      <c r="BH30" s="27">
        <v>16.736111111111114</v>
      </c>
    </row>
    <row r="31" spans="1:60" ht="21" customHeight="1" x14ac:dyDescent="0.25">
      <c r="A31" s="26" t="s">
        <v>250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</row>
    <row r="32" spans="1:60" ht="21" customHeight="1" x14ac:dyDescent="0.25">
      <c r="A32" s="26" t="s">
        <v>251</v>
      </c>
      <c r="B32" s="27">
        <v>6.6944444444444455</v>
      </c>
      <c r="C32" s="27">
        <v>6.6944444444444455</v>
      </c>
      <c r="D32" s="27">
        <v>6.6944444444444455</v>
      </c>
      <c r="E32" s="27">
        <v>6.6944444444444455</v>
      </c>
      <c r="F32" s="27">
        <v>6.6944444444444455</v>
      </c>
      <c r="G32" s="27">
        <v>6.6944444444444455</v>
      </c>
      <c r="H32" s="27">
        <v>6.6944444444444455</v>
      </c>
      <c r="I32" s="27">
        <v>6.6944444444444455</v>
      </c>
      <c r="J32" s="27">
        <v>6.6944444444444455</v>
      </c>
      <c r="K32" s="27">
        <v>6.6944444444444455</v>
      </c>
      <c r="L32" s="27">
        <v>6.6944444444444455</v>
      </c>
      <c r="M32" s="27">
        <v>6.6944444444444455</v>
      </c>
      <c r="N32" s="27">
        <v>6.6944444444444455</v>
      </c>
      <c r="O32" s="27">
        <v>6.6944444444444455</v>
      </c>
      <c r="P32" s="27">
        <v>6.6944444444444455</v>
      </c>
      <c r="Q32" s="27">
        <v>6.6944444444444455</v>
      </c>
      <c r="R32" s="27">
        <v>6.6944444444444455</v>
      </c>
      <c r="S32" s="27">
        <v>6.6944444444444455</v>
      </c>
      <c r="T32" s="27">
        <v>6.6944444444444455</v>
      </c>
      <c r="U32" s="27">
        <v>6.6944444444444455</v>
      </c>
      <c r="V32" s="27">
        <v>6.6944444444444455</v>
      </c>
      <c r="W32" s="27">
        <v>6.6944444444444455</v>
      </c>
      <c r="X32" s="27">
        <v>6.6944444444444455</v>
      </c>
      <c r="Y32" s="27">
        <v>6.6944444444444455</v>
      </c>
      <c r="Z32" s="27">
        <v>6.6944444444444455</v>
      </c>
      <c r="AA32" s="27">
        <v>6.6944444444444455</v>
      </c>
      <c r="AB32" s="27">
        <v>6.6944444444444455</v>
      </c>
      <c r="AC32" s="27">
        <v>6.6944444444444455</v>
      </c>
      <c r="AD32" s="27">
        <v>6.6944444444444455</v>
      </c>
      <c r="AE32" s="27">
        <v>6.6944444444444455</v>
      </c>
      <c r="AF32" s="27">
        <v>6.6944444444444455</v>
      </c>
      <c r="AG32" s="27">
        <v>6.6944444444444455</v>
      </c>
      <c r="AH32" s="27">
        <v>6.6944444444444455</v>
      </c>
      <c r="AI32" s="27">
        <v>6.6944444444444455</v>
      </c>
      <c r="AJ32" s="27">
        <v>6.6944444444444455</v>
      </c>
      <c r="AK32" s="27">
        <v>6.6944444444444455</v>
      </c>
      <c r="AL32" s="27">
        <v>6.6944444444444455</v>
      </c>
      <c r="AM32" s="27">
        <v>6.6944444444444455</v>
      </c>
      <c r="AN32" s="27">
        <v>6.6944444444444455</v>
      </c>
      <c r="AO32" s="27">
        <v>6.6944444444444455</v>
      </c>
      <c r="AP32" s="27">
        <v>6.6944444444444455</v>
      </c>
      <c r="AQ32" s="27">
        <v>6.6944444444444455</v>
      </c>
      <c r="AR32" s="27">
        <v>6.6944444444444455</v>
      </c>
      <c r="AS32" s="27">
        <v>6.6944444444444455</v>
      </c>
      <c r="AT32" s="27">
        <v>6.6944444444444455</v>
      </c>
      <c r="AU32" s="27">
        <v>6.6944444444444455</v>
      </c>
      <c r="AV32" s="27">
        <v>6.6944444444444455</v>
      </c>
      <c r="AW32" s="27">
        <v>6.6944444444444455</v>
      </c>
      <c r="AX32" s="27">
        <v>6.6944444444444455</v>
      </c>
      <c r="AY32" s="27">
        <v>6.6944444444444455</v>
      </c>
      <c r="AZ32" s="27">
        <v>6.6944444444444455</v>
      </c>
      <c r="BA32" s="27">
        <v>6.6944444444444455</v>
      </c>
      <c r="BB32" s="27">
        <v>6.6944444444444455</v>
      </c>
      <c r="BC32" s="27">
        <v>6.6944444444444455</v>
      </c>
      <c r="BD32" s="27">
        <v>6.6944444444444455</v>
      </c>
      <c r="BE32" s="27">
        <v>6.6944444444444455</v>
      </c>
      <c r="BF32" s="27">
        <v>6.6944444444444455</v>
      </c>
      <c r="BG32" s="27">
        <v>6.6944444444444455</v>
      </c>
      <c r="BH32" s="27">
        <v>6.6944444444444455</v>
      </c>
    </row>
    <row r="33" spans="1:60" ht="21" customHeight="1" x14ac:dyDescent="0.25">
      <c r="A33" s="26" t="s">
        <v>252</v>
      </c>
      <c r="B33" s="27">
        <v>19.317016930555557</v>
      </c>
      <c r="C33" s="27">
        <v>19.317016930555557</v>
      </c>
      <c r="D33" s="27">
        <v>19.317016930555557</v>
      </c>
      <c r="E33" s="27">
        <v>19.317016930555557</v>
      </c>
      <c r="F33" s="27">
        <v>19.317016930555557</v>
      </c>
      <c r="G33" s="27">
        <v>19.317016930555557</v>
      </c>
      <c r="H33" s="27">
        <v>19.317016930555557</v>
      </c>
      <c r="I33" s="27">
        <v>19.317016930555557</v>
      </c>
      <c r="J33" s="27">
        <v>19.317016930555557</v>
      </c>
      <c r="K33" s="27">
        <v>19.317016930555557</v>
      </c>
      <c r="L33" s="27">
        <v>19.317016930555557</v>
      </c>
      <c r="M33" s="27">
        <v>19.317016930555557</v>
      </c>
      <c r="N33" s="27">
        <v>19.317016930555557</v>
      </c>
      <c r="O33" s="27">
        <v>19.317016930555557</v>
      </c>
      <c r="P33" s="27">
        <v>19.317016930555557</v>
      </c>
      <c r="Q33" s="27">
        <v>19.317016930555557</v>
      </c>
      <c r="R33" s="27">
        <v>19.317016930555557</v>
      </c>
      <c r="S33" s="27">
        <v>19.317016930555557</v>
      </c>
      <c r="T33" s="27">
        <v>19.317016930555557</v>
      </c>
      <c r="U33" s="27">
        <v>19.317016930555557</v>
      </c>
      <c r="V33" s="27">
        <v>19.317016930555557</v>
      </c>
      <c r="W33" s="27">
        <v>19.317016930555557</v>
      </c>
      <c r="X33" s="27">
        <v>19.317016930555557</v>
      </c>
      <c r="Y33" s="27">
        <v>19.317016930555557</v>
      </c>
      <c r="Z33" s="27">
        <v>19.317016930555557</v>
      </c>
      <c r="AA33" s="27">
        <v>19.317016930555557</v>
      </c>
      <c r="AB33" s="27">
        <v>19.317016930555557</v>
      </c>
      <c r="AC33" s="27">
        <v>19.317016930555557</v>
      </c>
      <c r="AD33" s="27">
        <v>19.317016930555557</v>
      </c>
      <c r="AE33" s="27">
        <v>19.317016930555557</v>
      </c>
      <c r="AF33" s="27">
        <v>19.317016930555557</v>
      </c>
      <c r="AG33" s="27">
        <v>19.317016930555557</v>
      </c>
      <c r="AH33" s="27">
        <v>19.317016930555557</v>
      </c>
      <c r="AI33" s="27">
        <v>19.317016930555557</v>
      </c>
      <c r="AJ33" s="27">
        <v>19.317016930555557</v>
      </c>
      <c r="AK33" s="27">
        <v>19.317016930555557</v>
      </c>
      <c r="AL33" s="27">
        <v>19.317016930555557</v>
      </c>
      <c r="AM33" s="27">
        <v>19.317016930555557</v>
      </c>
      <c r="AN33" s="27">
        <v>19.317016930555557</v>
      </c>
      <c r="AO33" s="27">
        <v>19.317016930555557</v>
      </c>
      <c r="AP33" s="27">
        <v>19.317016930555557</v>
      </c>
      <c r="AQ33" s="27">
        <v>19.317016930555557</v>
      </c>
      <c r="AR33" s="27">
        <v>19.317016930555557</v>
      </c>
      <c r="AS33" s="27">
        <v>19.317016930555557</v>
      </c>
      <c r="AT33" s="27">
        <v>19.317016930555557</v>
      </c>
      <c r="AU33" s="27">
        <v>19.317016930555557</v>
      </c>
      <c r="AV33" s="27">
        <v>19.317016930555557</v>
      </c>
      <c r="AW33" s="27">
        <v>19.317016930555557</v>
      </c>
      <c r="AX33" s="27">
        <v>19.317016930555557</v>
      </c>
      <c r="AY33" s="27">
        <v>19.317016930555557</v>
      </c>
      <c r="AZ33" s="27">
        <v>19.317016930555557</v>
      </c>
      <c r="BA33" s="27">
        <v>19.317016930555557</v>
      </c>
      <c r="BB33" s="27">
        <v>19.317016930555557</v>
      </c>
      <c r="BC33" s="27">
        <v>19.317016930555557</v>
      </c>
      <c r="BD33" s="27">
        <v>19.317016930555557</v>
      </c>
      <c r="BE33" s="27">
        <v>19.317016930555557</v>
      </c>
      <c r="BF33" s="27">
        <v>19.317016930555557</v>
      </c>
      <c r="BG33" s="27">
        <v>19.317016930555557</v>
      </c>
      <c r="BH33" s="27">
        <v>19.317016930555557</v>
      </c>
    </row>
    <row r="34" spans="1:60" ht="21" customHeight="1" x14ac:dyDescent="0.25">
      <c r="A34" s="26" t="s">
        <v>253</v>
      </c>
      <c r="B34" s="27">
        <v>22.345289041666671</v>
      </c>
      <c r="C34" s="27">
        <v>22.345289041666671</v>
      </c>
      <c r="D34" s="27">
        <v>22.345289041666671</v>
      </c>
      <c r="E34" s="27">
        <v>22.345289041666671</v>
      </c>
      <c r="F34" s="27">
        <v>22.345289041666671</v>
      </c>
      <c r="G34" s="27">
        <v>22.345289041666671</v>
      </c>
      <c r="H34" s="27">
        <v>22.345289041666671</v>
      </c>
      <c r="I34" s="27">
        <v>22.345289041666671</v>
      </c>
      <c r="J34" s="27">
        <v>22.345289041666671</v>
      </c>
      <c r="K34" s="27">
        <v>22.345289041666671</v>
      </c>
      <c r="L34" s="27">
        <v>22.345289041666671</v>
      </c>
      <c r="M34" s="27">
        <v>22.345289041666671</v>
      </c>
      <c r="N34" s="27">
        <v>22.345289041666671</v>
      </c>
      <c r="O34" s="27">
        <v>22.345289041666671</v>
      </c>
      <c r="P34" s="27">
        <v>22.345289041666671</v>
      </c>
      <c r="Q34" s="27">
        <v>22.345289041666671</v>
      </c>
      <c r="R34" s="27">
        <v>22.345289041666671</v>
      </c>
      <c r="S34" s="27">
        <v>22.345289041666671</v>
      </c>
      <c r="T34" s="27">
        <v>22.345289041666671</v>
      </c>
      <c r="U34" s="27">
        <v>22.345289041666671</v>
      </c>
      <c r="V34" s="27">
        <v>22.345289041666671</v>
      </c>
      <c r="W34" s="27">
        <v>22.345289041666671</v>
      </c>
      <c r="X34" s="27">
        <v>22.345289041666671</v>
      </c>
      <c r="Y34" s="27">
        <v>22.345289041666671</v>
      </c>
      <c r="Z34" s="27">
        <v>22.345289041666671</v>
      </c>
      <c r="AA34" s="27">
        <v>22.345289041666671</v>
      </c>
      <c r="AB34" s="27">
        <v>22.345289041666671</v>
      </c>
      <c r="AC34" s="27">
        <v>22.345289041666671</v>
      </c>
      <c r="AD34" s="27">
        <v>22.345289041666671</v>
      </c>
      <c r="AE34" s="27">
        <v>22.345289041666671</v>
      </c>
      <c r="AF34" s="27">
        <v>22.345289041666671</v>
      </c>
      <c r="AG34" s="27">
        <v>22.345289041666671</v>
      </c>
      <c r="AH34" s="27">
        <v>22.345289041666671</v>
      </c>
      <c r="AI34" s="27">
        <v>22.345289041666671</v>
      </c>
      <c r="AJ34" s="27">
        <v>22.345289041666671</v>
      </c>
      <c r="AK34" s="27">
        <v>22.345289041666671</v>
      </c>
      <c r="AL34" s="27">
        <v>22.345289041666671</v>
      </c>
      <c r="AM34" s="27">
        <v>22.345289041666671</v>
      </c>
      <c r="AN34" s="27">
        <v>22.345289041666671</v>
      </c>
      <c r="AO34" s="27">
        <v>22.345289041666671</v>
      </c>
      <c r="AP34" s="27">
        <v>22.345289041666671</v>
      </c>
      <c r="AQ34" s="27">
        <v>22.345289041666671</v>
      </c>
      <c r="AR34" s="27">
        <v>22.345289041666671</v>
      </c>
      <c r="AS34" s="27">
        <v>22.345289041666671</v>
      </c>
      <c r="AT34" s="27">
        <v>22.345289041666671</v>
      </c>
      <c r="AU34" s="27">
        <v>22.345289041666671</v>
      </c>
      <c r="AV34" s="27">
        <v>22.345289041666671</v>
      </c>
      <c r="AW34" s="27">
        <v>22.345289041666671</v>
      </c>
      <c r="AX34" s="27">
        <v>22.345289041666671</v>
      </c>
      <c r="AY34" s="27">
        <v>22.345289041666671</v>
      </c>
      <c r="AZ34" s="27">
        <v>22.345289041666671</v>
      </c>
      <c r="BA34" s="27">
        <v>22.345289041666671</v>
      </c>
      <c r="BB34" s="27">
        <v>22.345289041666671</v>
      </c>
      <c r="BC34" s="27">
        <v>22.345289041666671</v>
      </c>
      <c r="BD34" s="27">
        <v>22.345289041666671</v>
      </c>
      <c r="BE34" s="27">
        <v>22.345289041666671</v>
      </c>
      <c r="BF34" s="27">
        <v>22.345289041666671</v>
      </c>
      <c r="BG34" s="27">
        <v>22.345289041666671</v>
      </c>
      <c r="BH34" s="27">
        <v>22.345289041666671</v>
      </c>
    </row>
    <row r="35" spans="1:60" ht="21" customHeight="1" x14ac:dyDescent="0.25">
      <c r="A35" s="26" t="s">
        <v>254</v>
      </c>
      <c r="B35" s="27">
        <v>9.5820662777777788</v>
      </c>
      <c r="C35" s="27">
        <v>9.5820662777777788</v>
      </c>
      <c r="D35" s="27">
        <v>9.5820662777777788</v>
      </c>
      <c r="E35" s="27">
        <v>9.5820662777777788</v>
      </c>
      <c r="F35" s="27">
        <v>9.5820662777777788</v>
      </c>
      <c r="G35" s="27">
        <v>9.5820662777777788</v>
      </c>
      <c r="H35" s="27">
        <v>9.5820662777777788</v>
      </c>
      <c r="I35" s="27">
        <v>9.5820662777777788</v>
      </c>
      <c r="J35" s="27">
        <v>9.5820662777777788</v>
      </c>
      <c r="K35" s="27">
        <v>9.5820662777777788</v>
      </c>
      <c r="L35" s="27">
        <v>9.5820662777777788</v>
      </c>
      <c r="M35" s="27">
        <v>9.5820662777777788</v>
      </c>
      <c r="N35" s="27">
        <v>9.5820662777777788</v>
      </c>
      <c r="O35" s="27">
        <v>9.5820662777777788</v>
      </c>
      <c r="P35" s="27">
        <v>9.5820662777777788</v>
      </c>
      <c r="Q35" s="27">
        <v>9.5820662777777788</v>
      </c>
      <c r="R35" s="27">
        <v>9.5820662777777788</v>
      </c>
      <c r="S35" s="27">
        <v>9.5820662777777788</v>
      </c>
      <c r="T35" s="27">
        <v>9.5820662777777788</v>
      </c>
      <c r="U35" s="27">
        <v>9.5820662777777788</v>
      </c>
      <c r="V35" s="27">
        <v>9.5820662777777788</v>
      </c>
      <c r="W35" s="27">
        <v>9.5820662777777788</v>
      </c>
      <c r="X35" s="27">
        <v>9.5820662777777788</v>
      </c>
      <c r="Y35" s="27">
        <v>9.5820662777777788</v>
      </c>
      <c r="Z35" s="27">
        <v>9.5820662777777788</v>
      </c>
      <c r="AA35" s="27">
        <v>9.5820662777777788</v>
      </c>
      <c r="AB35" s="27">
        <v>9.5820662777777788</v>
      </c>
      <c r="AC35" s="27">
        <v>9.5820662777777788</v>
      </c>
      <c r="AD35" s="27">
        <v>9.5820662777777788</v>
      </c>
      <c r="AE35" s="27">
        <v>9.5820662777777788</v>
      </c>
      <c r="AF35" s="27">
        <v>9.5820662777777788</v>
      </c>
      <c r="AG35" s="27">
        <v>9.5820662777777788</v>
      </c>
      <c r="AH35" s="27">
        <v>9.5820662777777788</v>
      </c>
      <c r="AI35" s="27">
        <v>9.5820662777777788</v>
      </c>
      <c r="AJ35" s="27">
        <v>9.5820662777777788</v>
      </c>
      <c r="AK35" s="27">
        <v>9.5820662777777788</v>
      </c>
      <c r="AL35" s="27">
        <v>9.5820662777777788</v>
      </c>
      <c r="AM35" s="27">
        <v>9.5820662777777788</v>
      </c>
      <c r="AN35" s="27">
        <v>9.5820662777777788</v>
      </c>
      <c r="AO35" s="27">
        <v>9.5820662777777788</v>
      </c>
      <c r="AP35" s="27">
        <v>9.5820662777777788</v>
      </c>
      <c r="AQ35" s="27">
        <v>9.5820662777777788</v>
      </c>
      <c r="AR35" s="27">
        <v>9.5820662777777788</v>
      </c>
      <c r="AS35" s="27">
        <v>9.5820662777777788</v>
      </c>
      <c r="AT35" s="27">
        <v>9.5820662777777788</v>
      </c>
      <c r="AU35" s="27">
        <v>9.5820662777777788</v>
      </c>
      <c r="AV35" s="27">
        <v>9.5820662777777788</v>
      </c>
      <c r="AW35" s="27">
        <v>9.5820662777777788</v>
      </c>
      <c r="AX35" s="27">
        <v>9.5820662777777788</v>
      </c>
      <c r="AY35" s="27">
        <v>9.5820662777777788</v>
      </c>
      <c r="AZ35" s="27">
        <v>9.5820662777777788</v>
      </c>
      <c r="BA35" s="27">
        <v>9.5820662777777788</v>
      </c>
      <c r="BB35" s="27">
        <v>9.5820662777777788</v>
      </c>
      <c r="BC35" s="27">
        <v>9.5820662777777788</v>
      </c>
      <c r="BD35" s="27">
        <v>9.5820662777777788</v>
      </c>
      <c r="BE35" s="27">
        <v>9.5820662777777788</v>
      </c>
      <c r="BF35" s="27">
        <v>9.5820662777777788</v>
      </c>
      <c r="BG35" s="27">
        <v>9.5820662777777788</v>
      </c>
      <c r="BH35" s="27">
        <v>9.5820662777777788</v>
      </c>
    </row>
    <row r="36" spans="1:60" ht="21" customHeight="1" x14ac:dyDescent="0.25">
      <c r="A36" s="26" t="s">
        <v>255</v>
      </c>
      <c r="B36" s="27">
        <v>33.472222222222229</v>
      </c>
      <c r="C36" s="27">
        <v>33.472222222222229</v>
      </c>
      <c r="D36" s="27">
        <v>33.472222222222229</v>
      </c>
      <c r="E36" s="27">
        <v>33.472222222222229</v>
      </c>
      <c r="F36" s="27">
        <v>33.472222222222229</v>
      </c>
      <c r="G36" s="27">
        <v>33.472222222222229</v>
      </c>
      <c r="H36" s="27">
        <v>33.472222222222229</v>
      </c>
      <c r="I36" s="27">
        <v>33.472222222222229</v>
      </c>
      <c r="J36" s="27">
        <v>33.472222222222229</v>
      </c>
      <c r="K36" s="27">
        <v>33.472222222222229</v>
      </c>
      <c r="L36" s="27">
        <v>33.472222222222229</v>
      </c>
      <c r="M36" s="27">
        <v>33.472222222222229</v>
      </c>
      <c r="N36" s="27">
        <v>33.472222222222229</v>
      </c>
      <c r="O36" s="27">
        <v>33.472222222222229</v>
      </c>
      <c r="P36" s="27">
        <v>33.472222222222229</v>
      </c>
      <c r="Q36" s="27">
        <v>33.472222222222229</v>
      </c>
      <c r="R36" s="27">
        <v>33.472222222222229</v>
      </c>
      <c r="S36" s="27">
        <v>33.472222222222229</v>
      </c>
      <c r="T36" s="27">
        <v>33.472222222222229</v>
      </c>
      <c r="U36" s="27">
        <v>33.472222222222229</v>
      </c>
      <c r="V36" s="27">
        <v>33.472222222222229</v>
      </c>
      <c r="W36" s="27">
        <v>33.472222222222229</v>
      </c>
      <c r="X36" s="27">
        <v>33.472222222222229</v>
      </c>
      <c r="Y36" s="27">
        <v>33.472222222222229</v>
      </c>
      <c r="Z36" s="27">
        <v>33.472222222222229</v>
      </c>
      <c r="AA36" s="27">
        <v>33.472222222222229</v>
      </c>
      <c r="AB36" s="27">
        <v>33.472222222222229</v>
      </c>
      <c r="AC36" s="27">
        <v>33.472222222222229</v>
      </c>
      <c r="AD36" s="27">
        <v>33.472222222222229</v>
      </c>
      <c r="AE36" s="27">
        <v>33.472222222222229</v>
      </c>
      <c r="AF36" s="27">
        <v>33.472222222222229</v>
      </c>
      <c r="AG36" s="27">
        <v>33.472222222222229</v>
      </c>
      <c r="AH36" s="27">
        <v>33.472222222222229</v>
      </c>
      <c r="AI36" s="27">
        <v>33.472222222222229</v>
      </c>
      <c r="AJ36" s="27">
        <v>33.472222222222229</v>
      </c>
      <c r="AK36" s="27">
        <v>33.472222222222229</v>
      </c>
      <c r="AL36" s="27">
        <v>33.472222222222229</v>
      </c>
      <c r="AM36" s="27">
        <v>33.472222222222229</v>
      </c>
      <c r="AN36" s="27">
        <v>33.472222222222229</v>
      </c>
      <c r="AO36" s="27">
        <v>33.472222222222229</v>
      </c>
      <c r="AP36" s="27">
        <v>33.472222222222229</v>
      </c>
      <c r="AQ36" s="27">
        <v>33.472222222222229</v>
      </c>
      <c r="AR36" s="27">
        <v>33.472222222222229</v>
      </c>
      <c r="AS36" s="27">
        <v>33.472222222222229</v>
      </c>
      <c r="AT36" s="27">
        <v>33.472222222222229</v>
      </c>
      <c r="AU36" s="27">
        <v>33.472222222222229</v>
      </c>
      <c r="AV36" s="27">
        <v>33.472222222222229</v>
      </c>
      <c r="AW36" s="27">
        <v>33.472222222222229</v>
      </c>
      <c r="AX36" s="27">
        <v>33.472222222222229</v>
      </c>
      <c r="AY36" s="27">
        <v>33.472222222222229</v>
      </c>
      <c r="AZ36" s="27">
        <v>33.472222222222229</v>
      </c>
      <c r="BA36" s="27">
        <v>33.472222222222229</v>
      </c>
      <c r="BB36" s="27">
        <v>33.472222222222229</v>
      </c>
      <c r="BC36" s="27">
        <v>33.472222222222229</v>
      </c>
      <c r="BD36" s="27">
        <v>33.472222222222229</v>
      </c>
      <c r="BE36" s="27">
        <v>33.472222222222229</v>
      </c>
      <c r="BF36" s="27">
        <v>33.472222222222229</v>
      </c>
      <c r="BG36" s="27">
        <v>33.472222222222229</v>
      </c>
      <c r="BH36" s="27">
        <v>33.472222222222229</v>
      </c>
    </row>
    <row r="37" spans="1:60" ht="21" customHeight="1" x14ac:dyDescent="0.25">
      <c r="A37" s="26" t="s">
        <v>256</v>
      </c>
      <c r="B37" s="27">
        <v>6.6944444444444455</v>
      </c>
      <c r="C37" s="27">
        <v>6.6944444444444455</v>
      </c>
      <c r="D37" s="27">
        <v>6.6944444444444455</v>
      </c>
      <c r="E37" s="27">
        <v>6.6944444444444455</v>
      </c>
      <c r="F37" s="27">
        <v>6.6944444444444455</v>
      </c>
      <c r="G37" s="27">
        <v>6.6944444444444455</v>
      </c>
      <c r="H37" s="27">
        <v>6.6944444444444455</v>
      </c>
      <c r="I37" s="27">
        <v>6.6944444444444455</v>
      </c>
      <c r="J37" s="27">
        <v>6.6944444444444455</v>
      </c>
      <c r="K37" s="27">
        <v>6.6944444444444455</v>
      </c>
      <c r="L37" s="27">
        <v>6.6944444444444455</v>
      </c>
      <c r="M37" s="27">
        <v>6.6944444444444455</v>
      </c>
      <c r="N37" s="27">
        <v>6.6944444444444455</v>
      </c>
      <c r="O37" s="27">
        <v>6.6944444444444455</v>
      </c>
      <c r="P37" s="27">
        <v>6.6944444444444455</v>
      </c>
      <c r="Q37" s="27">
        <v>6.6944444444444455</v>
      </c>
      <c r="R37" s="27">
        <v>6.6944444444444455</v>
      </c>
      <c r="S37" s="27">
        <v>6.6944444444444455</v>
      </c>
      <c r="T37" s="27">
        <v>6.6944444444444455</v>
      </c>
      <c r="U37" s="27">
        <v>6.6944444444444455</v>
      </c>
      <c r="V37" s="27">
        <v>6.6944444444444455</v>
      </c>
      <c r="W37" s="27">
        <v>6.6944444444444455</v>
      </c>
      <c r="X37" s="27">
        <v>6.6944444444444455</v>
      </c>
      <c r="Y37" s="27">
        <v>6.6944444444444455</v>
      </c>
      <c r="Z37" s="27">
        <v>6.6944444444444455</v>
      </c>
      <c r="AA37" s="27">
        <v>6.6944444444444455</v>
      </c>
      <c r="AB37" s="27">
        <v>6.6944444444444455</v>
      </c>
      <c r="AC37" s="27">
        <v>6.6944444444444455</v>
      </c>
      <c r="AD37" s="27">
        <v>6.6944444444444455</v>
      </c>
      <c r="AE37" s="27">
        <v>6.6944444444444455</v>
      </c>
      <c r="AF37" s="27">
        <v>6.6944444444444455</v>
      </c>
      <c r="AG37" s="27">
        <v>6.6944444444444455</v>
      </c>
      <c r="AH37" s="27">
        <v>6.6944444444444455</v>
      </c>
      <c r="AI37" s="27">
        <v>6.6944444444444455</v>
      </c>
      <c r="AJ37" s="27">
        <v>6.6944444444444455</v>
      </c>
      <c r="AK37" s="27">
        <v>6.6944444444444455</v>
      </c>
      <c r="AL37" s="27">
        <v>6.6944444444444455</v>
      </c>
      <c r="AM37" s="27">
        <v>6.6944444444444455</v>
      </c>
      <c r="AN37" s="27">
        <v>6.6944444444444455</v>
      </c>
      <c r="AO37" s="27">
        <v>6.6944444444444455</v>
      </c>
      <c r="AP37" s="27">
        <v>6.6944444444444455</v>
      </c>
      <c r="AQ37" s="27">
        <v>6.6944444444444455</v>
      </c>
      <c r="AR37" s="27">
        <v>6.6944444444444455</v>
      </c>
      <c r="AS37" s="27">
        <v>6.6944444444444455</v>
      </c>
      <c r="AT37" s="27">
        <v>6.6944444444444455</v>
      </c>
      <c r="AU37" s="27">
        <v>6.6944444444444455</v>
      </c>
      <c r="AV37" s="27">
        <v>6.6944444444444455</v>
      </c>
      <c r="AW37" s="27">
        <v>6.6944444444444455</v>
      </c>
      <c r="AX37" s="27">
        <v>6.6944444444444455</v>
      </c>
      <c r="AY37" s="27">
        <v>6.6944444444444455</v>
      </c>
      <c r="AZ37" s="27">
        <v>6.6944444444444455</v>
      </c>
      <c r="BA37" s="27">
        <v>6.6944444444444455</v>
      </c>
      <c r="BB37" s="27">
        <v>6.6944444444444455</v>
      </c>
      <c r="BC37" s="27">
        <v>6.6944444444444455</v>
      </c>
      <c r="BD37" s="27">
        <v>6.6944444444444455</v>
      </c>
      <c r="BE37" s="27">
        <v>6.6944444444444455</v>
      </c>
      <c r="BF37" s="27">
        <v>6.6944444444444455</v>
      </c>
      <c r="BG37" s="27">
        <v>6.6944444444444455</v>
      </c>
      <c r="BH37" s="27">
        <v>6.6944444444444455</v>
      </c>
    </row>
    <row r="38" spans="1:60" ht="21" customHeight="1" x14ac:dyDescent="0.25">
      <c r="A38" s="26" t="s">
        <v>257</v>
      </c>
      <c r="B38" s="27">
        <v>7.4098897638888896</v>
      </c>
      <c r="C38" s="27">
        <v>7.4098897638888896</v>
      </c>
      <c r="D38" s="27">
        <v>7.4098897638888896</v>
      </c>
      <c r="E38" s="27">
        <v>7.4098897638888896</v>
      </c>
      <c r="F38" s="27">
        <v>7.4098897638888896</v>
      </c>
      <c r="G38" s="27">
        <v>7.4098897638888896</v>
      </c>
      <c r="H38" s="27">
        <v>7.4098897638888896</v>
      </c>
      <c r="I38" s="27">
        <v>7.4098897638888896</v>
      </c>
      <c r="J38" s="27">
        <v>7.4098897638888896</v>
      </c>
      <c r="K38" s="27">
        <v>7.4098897638888896</v>
      </c>
      <c r="L38" s="27">
        <v>7.4098897638888896</v>
      </c>
      <c r="M38" s="27">
        <v>7.4098897638888896</v>
      </c>
      <c r="N38" s="27">
        <v>7.4098897638888896</v>
      </c>
      <c r="O38" s="27">
        <v>7.4098897638888896</v>
      </c>
      <c r="P38" s="27">
        <v>7.4098897638888896</v>
      </c>
      <c r="Q38" s="27">
        <v>7.4098897638888896</v>
      </c>
      <c r="R38" s="27">
        <v>7.4098897638888896</v>
      </c>
      <c r="S38" s="27">
        <v>7.4098897638888896</v>
      </c>
      <c r="T38" s="27">
        <v>7.4098897638888896</v>
      </c>
      <c r="U38" s="27">
        <v>7.4098897638888896</v>
      </c>
      <c r="V38" s="27">
        <v>7.4098897638888896</v>
      </c>
      <c r="W38" s="27">
        <v>7.4098897638888896</v>
      </c>
      <c r="X38" s="27">
        <v>7.4098897638888896</v>
      </c>
      <c r="Y38" s="27">
        <v>7.4098897638888896</v>
      </c>
      <c r="Z38" s="27">
        <v>7.4098897638888896</v>
      </c>
      <c r="AA38" s="27">
        <v>7.4098897638888896</v>
      </c>
      <c r="AB38" s="27">
        <v>7.4098897638888896</v>
      </c>
      <c r="AC38" s="27">
        <v>7.4098897638888896</v>
      </c>
      <c r="AD38" s="27">
        <v>7.4098897638888896</v>
      </c>
      <c r="AE38" s="27">
        <v>7.4098897638888896</v>
      </c>
      <c r="AF38" s="27">
        <v>7.4098897638888896</v>
      </c>
      <c r="AG38" s="27">
        <v>7.4098897638888896</v>
      </c>
      <c r="AH38" s="27">
        <v>7.4098897638888896</v>
      </c>
      <c r="AI38" s="27">
        <v>7.4098897638888896</v>
      </c>
      <c r="AJ38" s="27">
        <v>7.4098897638888896</v>
      </c>
      <c r="AK38" s="27">
        <v>7.4098897638888896</v>
      </c>
      <c r="AL38" s="27">
        <v>7.4098897638888896</v>
      </c>
      <c r="AM38" s="27">
        <v>7.4098897638888896</v>
      </c>
      <c r="AN38" s="27">
        <v>7.4098897638888896</v>
      </c>
      <c r="AO38" s="27">
        <v>7.4098897638888896</v>
      </c>
      <c r="AP38" s="27">
        <v>7.4098897638888896</v>
      </c>
      <c r="AQ38" s="27">
        <v>7.4098897638888896</v>
      </c>
      <c r="AR38" s="27">
        <v>7.4098897638888896</v>
      </c>
      <c r="AS38" s="27">
        <v>7.4098897638888896</v>
      </c>
      <c r="AT38" s="27">
        <v>7.4098897638888896</v>
      </c>
      <c r="AU38" s="27">
        <v>7.4098897638888896</v>
      </c>
      <c r="AV38" s="27">
        <v>7.4098897638888896</v>
      </c>
      <c r="AW38" s="27">
        <v>7.4098897638888896</v>
      </c>
      <c r="AX38" s="27">
        <v>7.4098897638888896</v>
      </c>
      <c r="AY38" s="27">
        <v>7.4098897638888896</v>
      </c>
      <c r="AZ38" s="27">
        <v>7.4098897638888896</v>
      </c>
      <c r="BA38" s="27">
        <v>7.4098897638888896</v>
      </c>
      <c r="BB38" s="27">
        <v>7.4098897638888896</v>
      </c>
      <c r="BC38" s="27">
        <v>7.4098897638888896</v>
      </c>
      <c r="BD38" s="27">
        <v>7.4098897638888896</v>
      </c>
      <c r="BE38" s="27">
        <v>7.4098897638888896</v>
      </c>
      <c r="BF38" s="27">
        <v>7.4098897638888896</v>
      </c>
      <c r="BG38" s="27">
        <v>7.4098897638888896</v>
      </c>
      <c r="BH38" s="27">
        <v>7.4098897638888896</v>
      </c>
    </row>
    <row r="39" spans="1:60" ht="21" customHeight="1" x14ac:dyDescent="0.25">
      <c r="A39" s="26" t="s">
        <v>258</v>
      </c>
      <c r="B39" s="27">
        <v>33.472222222222229</v>
      </c>
      <c r="C39" s="27">
        <v>33.472222222222229</v>
      </c>
      <c r="D39" s="27">
        <v>33.472222222222229</v>
      </c>
      <c r="E39" s="27">
        <v>33.472222222222229</v>
      </c>
      <c r="F39" s="27">
        <v>33.472222222222229</v>
      </c>
      <c r="G39" s="27">
        <v>33.472222222222229</v>
      </c>
      <c r="H39" s="27">
        <v>33.472222222222229</v>
      </c>
      <c r="I39" s="27">
        <v>33.472222222222229</v>
      </c>
      <c r="J39" s="27">
        <v>33.472222222222229</v>
      </c>
      <c r="K39" s="27">
        <v>33.472222222222229</v>
      </c>
      <c r="L39" s="27">
        <v>33.472222222222229</v>
      </c>
      <c r="M39" s="27">
        <v>33.472222222222229</v>
      </c>
      <c r="N39" s="27">
        <v>33.472222222222229</v>
      </c>
      <c r="O39" s="27">
        <v>33.472222222222229</v>
      </c>
      <c r="P39" s="27">
        <v>33.472222222222229</v>
      </c>
      <c r="Q39" s="27">
        <v>33.472222222222229</v>
      </c>
      <c r="R39" s="27">
        <v>33.472222222222229</v>
      </c>
      <c r="S39" s="27">
        <v>33.472222222222229</v>
      </c>
      <c r="T39" s="27">
        <v>33.472222222222229</v>
      </c>
      <c r="U39" s="27">
        <v>33.472222222222229</v>
      </c>
      <c r="V39" s="27">
        <v>33.472222222222229</v>
      </c>
      <c r="W39" s="27">
        <v>33.472222222222229</v>
      </c>
      <c r="X39" s="27">
        <v>33.472222222222229</v>
      </c>
      <c r="Y39" s="27">
        <v>33.472222222222229</v>
      </c>
      <c r="Z39" s="27">
        <v>33.472222222222229</v>
      </c>
      <c r="AA39" s="27">
        <v>33.472222222222229</v>
      </c>
      <c r="AB39" s="27">
        <v>33.472222222222229</v>
      </c>
      <c r="AC39" s="27">
        <v>33.472222222222229</v>
      </c>
      <c r="AD39" s="27">
        <v>33.472222222222229</v>
      </c>
      <c r="AE39" s="27">
        <v>33.472222222222229</v>
      </c>
      <c r="AF39" s="27">
        <v>33.472222222222229</v>
      </c>
      <c r="AG39" s="27">
        <v>33.472222222222229</v>
      </c>
      <c r="AH39" s="27">
        <v>33.472222222222229</v>
      </c>
      <c r="AI39" s="27">
        <v>33.472222222222229</v>
      </c>
      <c r="AJ39" s="27">
        <v>33.472222222222229</v>
      </c>
      <c r="AK39" s="27">
        <v>33.472222222222229</v>
      </c>
      <c r="AL39" s="27">
        <v>33.472222222222229</v>
      </c>
      <c r="AM39" s="27">
        <v>33.472222222222229</v>
      </c>
      <c r="AN39" s="27">
        <v>33.472222222222229</v>
      </c>
      <c r="AO39" s="27">
        <v>33.472222222222229</v>
      </c>
      <c r="AP39" s="27">
        <v>33.472222222222229</v>
      </c>
      <c r="AQ39" s="27">
        <v>33.472222222222229</v>
      </c>
      <c r="AR39" s="27">
        <v>33.472222222222229</v>
      </c>
      <c r="AS39" s="27">
        <v>33.472222222222229</v>
      </c>
      <c r="AT39" s="27">
        <v>33.472222222222229</v>
      </c>
      <c r="AU39" s="27">
        <v>33.472222222222229</v>
      </c>
      <c r="AV39" s="27">
        <v>33.472222222222229</v>
      </c>
      <c r="AW39" s="27">
        <v>33.472222222222229</v>
      </c>
      <c r="AX39" s="27">
        <v>33.472222222222229</v>
      </c>
      <c r="AY39" s="27">
        <v>33.472222222222229</v>
      </c>
      <c r="AZ39" s="27">
        <v>33.472222222222229</v>
      </c>
      <c r="BA39" s="27">
        <v>33.472222222222229</v>
      </c>
      <c r="BB39" s="27">
        <v>33.472222222222229</v>
      </c>
      <c r="BC39" s="27">
        <v>33.472222222222229</v>
      </c>
      <c r="BD39" s="27">
        <v>33.472222222222229</v>
      </c>
      <c r="BE39" s="27">
        <v>33.472222222222229</v>
      </c>
      <c r="BF39" s="27">
        <v>33.472222222222229</v>
      </c>
      <c r="BG39" s="27">
        <v>33.472222222222229</v>
      </c>
      <c r="BH39" s="27">
        <v>33.472222222222229</v>
      </c>
    </row>
    <row r="40" spans="1:60" ht="21" customHeight="1" x14ac:dyDescent="0.25">
      <c r="A40" s="26" t="s">
        <v>259</v>
      </c>
      <c r="B40" s="27">
        <v>33.472222222222229</v>
      </c>
      <c r="C40" s="27">
        <v>33.472222222222229</v>
      </c>
      <c r="D40" s="27">
        <v>33.472222222222229</v>
      </c>
      <c r="E40" s="27">
        <v>33.472222222222229</v>
      </c>
      <c r="F40" s="27">
        <v>33.472222222222229</v>
      </c>
      <c r="G40" s="27">
        <v>33.472222222222229</v>
      </c>
      <c r="H40" s="27">
        <v>33.472222222222229</v>
      </c>
      <c r="I40" s="27">
        <v>33.472222222222229</v>
      </c>
      <c r="J40" s="27">
        <v>33.472222222222229</v>
      </c>
      <c r="K40" s="27">
        <v>33.472222222222229</v>
      </c>
      <c r="L40" s="27">
        <v>33.472222222222229</v>
      </c>
      <c r="M40" s="27">
        <v>33.472222222222229</v>
      </c>
      <c r="N40" s="27">
        <v>33.472222222222229</v>
      </c>
      <c r="O40" s="27">
        <v>33.472222222222229</v>
      </c>
      <c r="P40" s="27">
        <v>33.472222222222229</v>
      </c>
      <c r="Q40" s="27">
        <v>33.472222222222229</v>
      </c>
      <c r="R40" s="27">
        <v>33.472222222222229</v>
      </c>
      <c r="S40" s="27">
        <v>33.472222222222229</v>
      </c>
      <c r="T40" s="27">
        <v>33.472222222222229</v>
      </c>
      <c r="U40" s="27">
        <v>33.472222222222229</v>
      </c>
      <c r="V40" s="27">
        <v>33.472222222222229</v>
      </c>
      <c r="W40" s="27">
        <v>33.472222222222229</v>
      </c>
      <c r="X40" s="27">
        <v>33.472222222222229</v>
      </c>
      <c r="Y40" s="27">
        <v>33.472222222222229</v>
      </c>
      <c r="Z40" s="27">
        <v>33.472222222222229</v>
      </c>
      <c r="AA40" s="27">
        <v>33.472222222222229</v>
      </c>
      <c r="AB40" s="27">
        <v>33.472222222222229</v>
      </c>
      <c r="AC40" s="27">
        <v>33.472222222222229</v>
      </c>
      <c r="AD40" s="27">
        <v>33.472222222222229</v>
      </c>
      <c r="AE40" s="27">
        <v>33.472222222222229</v>
      </c>
      <c r="AF40" s="27">
        <v>33.472222222222229</v>
      </c>
      <c r="AG40" s="27">
        <v>33.472222222222229</v>
      </c>
      <c r="AH40" s="27">
        <v>33.472222222222229</v>
      </c>
      <c r="AI40" s="27">
        <v>33.472222222222229</v>
      </c>
      <c r="AJ40" s="27">
        <v>33.472222222222229</v>
      </c>
      <c r="AK40" s="27">
        <v>33.472222222222229</v>
      </c>
      <c r="AL40" s="27">
        <v>33.472222222222229</v>
      </c>
      <c r="AM40" s="27">
        <v>33.472222222222229</v>
      </c>
      <c r="AN40" s="27">
        <v>33.472222222222229</v>
      </c>
      <c r="AO40" s="27">
        <v>33.472222222222229</v>
      </c>
      <c r="AP40" s="27">
        <v>33.472222222222229</v>
      </c>
      <c r="AQ40" s="27">
        <v>33.472222222222229</v>
      </c>
      <c r="AR40" s="27">
        <v>33.472222222222229</v>
      </c>
      <c r="AS40" s="27">
        <v>33.472222222222229</v>
      </c>
      <c r="AT40" s="27">
        <v>33.472222222222229</v>
      </c>
      <c r="AU40" s="27">
        <v>33.472222222222229</v>
      </c>
      <c r="AV40" s="27">
        <v>33.472222222222229</v>
      </c>
      <c r="AW40" s="27">
        <v>33.472222222222229</v>
      </c>
      <c r="AX40" s="27">
        <v>33.472222222222229</v>
      </c>
      <c r="AY40" s="27">
        <v>33.472222222222229</v>
      </c>
      <c r="AZ40" s="27">
        <v>33.472222222222229</v>
      </c>
      <c r="BA40" s="27">
        <v>33.472222222222229</v>
      </c>
      <c r="BB40" s="27">
        <v>33.472222222222229</v>
      </c>
      <c r="BC40" s="27">
        <v>33.472222222222229</v>
      </c>
      <c r="BD40" s="27">
        <v>33.472222222222229</v>
      </c>
      <c r="BE40" s="27">
        <v>33.472222222222229</v>
      </c>
      <c r="BF40" s="27">
        <v>33.472222222222229</v>
      </c>
      <c r="BG40" s="27">
        <v>33.472222222222229</v>
      </c>
      <c r="BH40" s="27">
        <v>33.472222222222229</v>
      </c>
    </row>
    <row r="41" spans="1:60" ht="21" customHeight="1" x14ac:dyDescent="0.25">
      <c r="A41" s="26" t="s">
        <v>260</v>
      </c>
      <c r="B41" s="27">
        <v>6.6944444444444455</v>
      </c>
      <c r="C41" s="27">
        <v>6.6944444444444455</v>
      </c>
      <c r="D41" s="27">
        <v>6.6944444444444455</v>
      </c>
      <c r="E41" s="27">
        <v>6.6944444444444455</v>
      </c>
      <c r="F41" s="27">
        <v>6.6944444444444455</v>
      </c>
      <c r="G41" s="27">
        <v>6.6944444444444455</v>
      </c>
      <c r="H41" s="27">
        <v>6.6944444444444455</v>
      </c>
      <c r="I41" s="27">
        <v>6.6944444444444455</v>
      </c>
      <c r="J41" s="27">
        <v>6.6944444444444455</v>
      </c>
      <c r="K41" s="27">
        <v>6.6944444444444455</v>
      </c>
      <c r="L41" s="27">
        <v>6.6944444444444455</v>
      </c>
      <c r="M41" s="27">
        <v>6.6944444444444455</v>
      </c>
      <c r="N41" s="27">
        <v>6.6944444444444455</v>
      </c>
      <c r="O41" s="27">
        <v>6.6944444444444455</v>
      </c>
      <c r="P41" s="27">
        <v>6.6944444444444455</v>
      </c>
      <c r="Q41" s="27">
        <v>6.6944444444444455</v>
      </c>
      <c r="R41" s="27">
        <v>6.6944444444444455</v>
      </c>
      <c r="S41" s="27">
        <v>6.6944444444444455</v>
      </c>
      <c r="T41" s="27">
        <v>6.6944444444444455</v>
      </c>
      <c r="U41" s="27">
        <v>6.6944444444444455</v>
      </c>
      <c r="V41" s="27">
        <v>6.6944444444444455</v>
      </c>
      <c r="W41" s="27">
        <v>6.6944444444444455</v>
      </c>
      <c r="X41" s="27">
        <v>6.6944444444444455</v>
      </c>
      <c r="Y41" s="27">
        <v>6.6944444444444455</v>
      </c>
      <c r="Z41" s="27">
        <v>6.6944444444444455</v>
      </c>
      <c r="AA41" s="27">
        <v>6.6944444444444455</v>
      </c>
      <c r="AB41" s="27">
        <v>6.6944444444444455</v>
      </c>
      <c r="AC41" s="27">
        <v>6.6944444444444455</v>
      </c>
      <c r="AD41" s="27">
        <v>6.6944444444444455</v>
      </c>
      <c r="AE41" s="27">
        <v>6.6944444444444455</v>
      </c>
      <c r="AF41" s="27">
        <v>6.6944444444444455</v>
      </c>
      <c r="AG41" s="27">
        <v>6.6944444444444455</v>
      </c>
      <c r="AH41" s="27">
        <v>6.6944444444444455</v>
      </c>
      <c r="AI41" s="27">
        <v>6.6944444444444455</v>
      </c>
      <c r="AJ41" s="27">
        <v>6.6944444444444455</v>
      </c>
      <c r="AK41" s="27">
        <v>6.6944444444444455</v>
      </c>
      <c r="AL41" s="27">
        <v>6.6944444444444455</v>
      </c>
      <c r="AM41" s="27">
        <v>6.6944444444444455</v>
      </c>
      <c r="AN41" s="27">
        <v>6.6944444444444455</v>
      </c>
      <c r="AO41" s="27">
        <v>6.6944444444444455</v>
      </c>
      <c r="AP41" s="27">
        <v>6.6944444444444455</v>
      </c>
      <c r="AQ41" s="27">
        <v>6.6944444444444455</v>
      </c>
      <c r="AR41" s="27">
        <v>6.6944444444444455</v>
      </c>
      <c r="AS41" s="27">
        <v>6.6944444444444455</v>
      </c>
      <c r="AT41" s="27">
        <v>6.6944444444444455</v>
      </c>
      <c r="AU41" s="27">
        <v>6.6944444444444455</v>
      </c>
      <c r="AV41" s="27">
        <v>6.6944444444444455</v>
      </c>
      <c r="AW41" s="27">
        <v>6.6944444444444455</v>
      </c>
      <c r="AX41" s="27">
        <v>6.6944444444444455</v>
      </c>
      <c r="AY41" s="27">
        <v>6.6944444444444455</v>
      </c>
      <c r="AZ41" s="27">
        <v>6.6944444444444455</v>
      </c>
      <c r="BA41" s="27">
        <v>6.6944444444444455</v>
      </c>
      <c r="BB41" s="27">
        <v>6.6944444444444455</v>
      </c>
      <c r="BC41" s="27">
        <v>6.6944444444444455</v>
      </c>
      <c r="BD41" s="27">
        <v>6.6944444444444455</v>
      </c>
      <c r="BE41" s="27">
        <v>6.6944444444444455</v>
      </c>
      <c r="BF41" s="27">
        <v>6.6944444444444455</v>
      </c>
      <c r="BG41" s="27">
        <v>6.6944444444444455</v>
      </c>
      <c r="BH41" s="27">
        <v>6.6944444444444455</v>
      </c>
    </row>
    <row r="42" spans="1:60" ht="21" customHeight="1" x14ac:dyDescent="0.25">
      <c r="A42" s="26" t="s">
        <v>261</v>
      </c>
      <c r="B42" s="27">
        <v>16.736111111111114</v>
      </c>
      <c r="C42" s="27">
        <v>16.736111111111114</v>
      </c>
      <c r="D42" s="27">
        <v>16.736111111111114</v>
      </c>
      <c r="E42" s="27">
        <v>16.736111111111114</v>
      </c>
      <c r="F42" s="27">
        <v>16.736111111111114</v>
      </c>
      <c r="G42" s="27">
        <v>16.736111111111114</v>
      </c>
      <c r="H42" s="27">
        <v>16.736111111111114</v>
      </c>
      <c r="I42" s="27">
        <v>16.736111111111114</v>
      </c>
      <c r="J42" s="27">
        <v>16.736111111111114</v>
      </c>
      <c r="K42" s="27">
        <v>16.736111111111114</v>
      </c>
      <c r="L42" s="27">
        <v>16.736111111111114</v>
      </c>
      <c r="M42" s="27">
        <v>16.736111111111114</v>
      </c>
      <c r="N42" s="27">
        <v>16.736111111111114</v>
      </c>
      <c r="O42" s="27">
        <v>16.736111111111114</v>
      </c>
      <c r="P42" s="27">
        <v>16.736111111111114</v>
      </c>
      <c r="Q42" s="27">
        <v>16.736111111111114</v>
      </c>
      <c r="R42" s="27">
        <v>16.736111111111114</v>
      </c>
      <c r="S42" s="27">
        <v>16.736111111111114</v>
      </c>
      <c r="T42" s="27">
        <v>16.736111111111114</v>
      </c>
      <c r="U42" s="27">
        <v>16.736111111111114</v>
      </c>
      <c r="V42" s="27">
        <v>16.736111111111114</v>
      </c>
      <c r="W42" s="27">
        <v>16.736111111111114</v>
      </c>
      <c r="X42" s="27">
        <v>16.736111111111114</v>
      </c>
      <c r="Y42" s="27">
        <v>16.736111111111114</v>
      </c>
      <c r="Z42" s="27">
        <v>16.736111111111114</v>
      </c>
      <c r="AA42" s="27">
        <v>16.736111111111114</v>
      </c>
      <c r="AB42" s="27">
        <v>16.736111111111114</v>
      </c>
      <c r="AC42" s="27">
        <v>16.736111111111114</v>
      </c>
      <c r="AD42" s="27">
        <v>16.736111111111114</v>
      </c>
      <c r="AE42" s="27">
        <v>16.736111111111114</v>
      </c>
      <c r="AF42" s="27">
        <v>16.736111111111114</v>
      </c>
      <c r="AG42" s="27">
        <v>16.736111111111114</v>
      </c>
      <c r="AH42" s="27">
        <v>16.736111111111114</v>
      </c>
      <c r="AI42" s="27">
        <v>16.736111111111114</v>
      </c>
      <c r="AJ42" s="27">
        <v>16.736111111111114</v>
      </c>
      <c r="AK42" s="27">
        <v>16.736111111111114</v>
      </c>
      <c r="AL42" s="27">
        <v>16.736111111111114</v>
      </c>
      <c r="AM42" s="27">
        <v>16.736111111111114</v>
      </c>
      <c r="AN42" s="27">
        <v>16.736111111111114</v>
      </c>
      <c r="AO42" s="27">
        <v>16.736111111111114</v>
      </c>
      <c r="AP42" s="27">
        <v>16.736111111111114</v>
      </c>
      <c r="AQ42" s="27">
        <v>16.736111111111114</v>
      </c>
      <c r="AR42" s="27">
        <v>16.736111111111114</v>
      </c>
      <c r="AS42" s="27">
        <v>16.736111111111114</v>
      </c>
      <c r="AT42" s="27">
        <v>16.736111111111114</v>
      </c>
      <c r="AU42" s="27">
        <v>16.736111111111114</v>
      </c>
      <c r="AV42" s="27">
        <v>16.736111111111114</v>
      </c>
      <c r="AW42" s="27">
        <v>16.736111111111114</v>
      </c>
      <c r="AX42" s="27">
        <v>16.736111111111114</v>
      </c>
      <c r="AY42" s="27">
        <v>16.736111111111114</v>
      </c>
      <c r="AZ42" s="27">
        <v>16.736111111111114</v>
      </c>
      <c r="BA42" s="27">
        <v>16.736111111111114</v>
      </c>
      <c r="BB42" s="27">
        <v>16.736111111111114</v>
      </c>
      <c r="BC42" s="27">
        <v>16.736111111111114</v>
      </c>
      <c r="BD42" s="27">
        <v>16.736111111111114</v>
      </c>
      <c r="BE42" s="27">
        <v>16.736111111111114</v>
      </c>
      <c r="BF42" s="27">
        <v>16.736111111111114</v>
      </c>
      <c r="BG42" s="27">
        <v>16.736111111111114</v>
      </c>
      <c r="BH42" s="27">
        <v>16.736111111111114</v>
      </c>
    </row>
    <row r="43" spans="1:60" ht="21" customHeight="1" x14ac:dyDescent="0.25">
      <c r="A43" s="26" t="s">
        <v>262</v>
      </c>
      <c r="B43" s="27">
        <v>10.041666666666668</v>
      </c>
      <c r="C43" s="27">
        <v>10.041666666666668</v>
      </c>
      <c r="D43" s="27">
        <v>10.041666666666668</v>
      </c>
      <c r="E43" s="27">
        <v>10.041666666666668</v>
      </c>
      <c r="F43" s="27">
        <v>10.041666666666668</v>
      </c>
      <c r="G43" s="27">
        <v>10.041666666666668</v>
      </c>
      <c r="H43" s="27">
        <v>10.041666666666668</v>
      </c>
      <c r="I43" s="27">
        <v>10.041666666666668</v>
      </c>
      <c r="J43" s="27">
        <v>10.041666666666668</v>
      </c>
      <c r="K43" s="27">
        <v>10.041666666666668</v>
      </c>
      <c r="L43" s="27">
        <v>10.041666666666668</v>
      </c>
      <c r="M43" s="27">
        <v>10.041666666666668</v>
      </c>
      <c r="N43" s="27">
        <v>10.041666666666668</v>
      </c>
      <c r="O43" s="27">
        <v>10.041666666666668</v>
      </c>
      <c r="P43" s="27">
        <v>10.041666666666668</v>
      </c>
      <c r="Q43" s="27">
        <v>10.041666666666668</v>
      </c>
      <c r="R43" s="27">
        <v>10.041666666666668</v>
      </c>
      <c r="S43" s="27">
        <v>10.041666666666668</v>
      </c>
      <c r="T43" s="27">
        <v>10.041666666666668</v>
      </c>
      <c r="U43" s="27">
        <v>10.041666666666668</v>
      </c>
      <c r="V43" s="27">
        <v>10.041666666666668</v>
      </c>
      <c r="W43" s="27">
        <v>10.041666666666668</v>
      </c>
      <c r="X43" s="27">
        <v>10.041666666666668</v>
      </c>
      <c r="Y43" s="27">
        <v>10.041666666666668</v>
      </c>
      <c r="Z43" s="27">
        <v>10.041666666666668</v>
      </c>
      <c r="AA43" s="27">
        <v>10.041666666666668</v>
      </c>
      <c r="AB43" s="27">
        <v>10.041666666666668</v>
      </c>
      <c r="AC43" s="27">
        <v>10.041666666666668</v>
      </c>
      <c r="AD43" s="27">
        <v>10.041666666666668</v>
      </c>
      <c r="AE43" s="27">
        <v>10.041666666666668</v>
      </c>
      <c r="AF43" s="27">
        <v>10.041666666666668</v>
      </c>
      <c r="AG43" s="27">
        <v>10.041666666666668</v>
      </c>
      <c r="AH43" s="27">
        <v>10.041666666666668</v>
      </c>
      <c r="AI43" s="27">
        <v>10.041666666666668</v>
      </c>
      <c r="AJ43" s="27">
        <v>10.041666666666668</v>
      </c>
      <c r="AK43" s="27">
        <v>10.041666666666668</v>
      </c>
      <c r="AL43" s="27">
        <v>10.041666666666668</v>
      </c>
      <c r="AM43" s="27">
        <v>10.041666666666668</v>
      </c>
      <c r="AN43" s="27">
        <v>10.041666666666668</v>
      </c>
      <c r="AO43" s="27">
        <v>10.041666666666668</v>
      </c>
      <c r="AP43" s="27">
        <v>10.041666666666668</v>
      </c>
      <c r="AQ43" s="27">
        <v>10.041666666666668</v>
      </c>
      <c r="AR43" s="27">
        <v>10.041666666666668</v>
      </c>
      <c r="AS43" s="27">
        <v>10.041666666666668</v>
      </c>
      <c r="AT43" s="27">
        <v>10.041666666666668</v>
      </c>
      <c r="AU43" s="27">
        <v>10.041666666666668</v>
      </c>
      <c r="AV43" s="27">
        <v>10.041666666666668</v>
      </c>
      <c r="AW43" s="27">
        <v>10.041666666666668</v>
      </c>
      <c r="AX43" s="27">
        <v>10.041666666666668</v>
      </c>
      <c r="AY43" s="27">
        <v>10.041666666666668</v>
      </c>
      <c r="AZ43" s="27">
        <v>10.041666666666668</v>
      </c>
      <c r="BA43" s="27">
        <v>10.041666666666668</v>
      </c>
      <c r="BB43" s="27">
        <v>10.041666666666668</v>
      </c>
      <c r="BC43" s="27">
        <v>10.041666666666668</v>
      </c>
      <c r="BD43" s="27">
        <v>10.041666666666668</v>
      </c>
      <c r="BE43" s="27">
        <v>10.041666666666668</v>
      </c>
      <c r="BF43" s="27">
        <v>10.041666666666668</v>
      </c>
      <c r="BG43" s="27">
        <v>10.041666666666668</v>
      </c>
      <c r="BH43" s="27">
        <v>10.041666666666668</v>
      </c>
    </row>
    <row r="44" spans="1:60" ht="21" customHeight="1" x14ac:dyDescent="0.25">
      <c r="A44" s="26" t="s">
        <v>263</v>
      </c>
      <c r="B44" s="27">
        <v>16.736111111111114</v>
      </c>
      <c r="C44" s="27">
        <v>16.736111111111114</v>
      </c>
      <c r="D44" s="27">
        <v>16.736111111111114</v>
      </c>
      <c r="E44" s="27">
        <v>16.736111111111114</v>
      </c>
      <c r="F44" s="27">
        <v>16.736111111111114</v>
      </c>
      <c r="G44" s="27">
        <v>16.736111111111114</v>
      </c>
      <c r="H44" s="27">
        <v>16.736111111111114</v>
      </c>
      <c r="I44" s="27">
        <v>16.736111111111114</v>
      </c>
      <c r="J44" s="27">
        <v>16.736111111111114</v>
      </c>
      <c r="K44" s="27">
        <v>16.736111111111114</v>
      </c>
      <c r="L44" s="27">
        <v>16.736111111111114</v>
      </c>
      <c r="M44" s="27">
        <v>16.736111111111114</v>
      </c>
      <c r="N44" s="27">
        <v>16.736111111111114</v>
      </c>
      <c r="O44" s="27">
        <v>16.736111111111114</v>
      </c>
      <c r="P44" s="27">
        <v>16.736111111111114</v>
      </c>
      <c r="Q44" s="27">
        <v>16.736111111111114</v>
      </c>
      <c r="R44" s="27">
        <v>16.736111111111114</v>
      </c>
      <c r="S44" s="27">
        <v>16.736111111111114</v>
      </c>
      <c r="T44" s="27">
        <v>16.736111111111114</v>
      </c>
      <c r="U44" s="27">
        <v>16.736111111111114</v>
      </c>
      <c r="V44" s="27">
        <v>16.736111111111114</v>
      </c>
      <c r="W44" s="27">
        <v>16.736111111111114</v>
      </c>
      <c r="X44" s="27">
        <v>16.736111111111114</v>
      </c>
      <c r="Y44" s="27">
        <v>16.736111111111114</v>
      </c>
      <c r="Z44" s="27">
        <v>16.736111111111114</v>
      </c>
      <c r="AA44" s="27">
        <v>16.736111111111114</v>
      </c>
      <c r="AB44" s="27">
        <v>16.736111111111114</v>
      </c>
      <c r="AC44" s="27">
        <v>16.736111111111114</v>
      </c>
      <c r="AD44" s="27">
        <v>16.736111111111114</v>
      </c>
      <c r="AE44" s="27">
        <v>16.736111111111114</v>
      </c>
      <c r="AF44" s="27">
        <v>16.736111111111114</v>
      </c>
      <c r="AG44" s="27">
        <v>16.736111111111114</v>
      </c>
      <c r="AH44" s="27">
        <v>16.736111111111114</v>
      </c>
      <c r="AI44" s="27">
        <v>16.736111111111114</v>
      </c>
      <c r="AJ44" s="27">
        <v>16.736111111111114</v>
      </c>
      <c r="AK44" s="27">
        <v>16.736111111111114</v>
      </c>
      <c r="AL44" s="27">
        <v>16.736111111111114</v>
      </c>
      <c r="AM44" s="27">
        <v>16.736111111111114</v>
      </c>
      <c r="AN44" s="27">
        <v>16.736111111111114</v>
      </c>
      <c r="AO44" s="27">
        <v>16.736111111111114</v>
      </c>
      <c r="AP44" s="27">
        <v>16.736111111111114</v>
      </c>
      <c r="AQ44" s="27">
        <v>16.736111111111114</v>
      </c>
      <c r="AR44" s="27">
        <v>16.736111111111114</v>
      </c>
      <c r="AS44" s="27">
        <v>16.736111111111114</v>
      </c>
      <c r="AT44" s="27">
        <v>16.736111111111114</v>
      </c>
      <c r="AU44" s="27">
        <v>16.736111111111114</v>
      </c>
      <c r="AV44" s="27">
        <v>16.736111111111114</v>
      </c>
      <c r="AW44" s="27">
        <v>16.736111111111114</v>
      </c>
      <c r="AX44" s="27">
        <v>16.736111111111114</v>
      </c>
      <c r="AY44" s="27">
        <v>16.736111111111114</v>
      </c>
      <c r="AZ44" s="27">
        <v>16.736111111111114</v>
      </c>
      <c r="BA44" s="27">
        <v>16.736111111111114</v>
      </c>
      <c r="BB44" s="27">
        <v>16.736111111111114</v>
      </c>
      <c r="BC44" s="27">
        <v>16.736111111111114</v>
      </c>
      <c r="BD44" s="27">
        <v>16.736111111111114</v>
      </c>
      <c r="BE44" s="27">
        <v>16.736111111111114</v>
      </c>
      <c r="BF44" s="27">
        <v>16.736111111111114</v>
      </c>
      <c r="BG44" s="27">
        <v>16.736111111111114</v>
      </c>
      <c r="BH44" s="27">
        <v>16.736111111111114</v>
      </c>
    </row>
    <row r="45" spans="1:60" ht="21" customHeight="1" x14ac:dyDescent="0.25">
      <c r="A45" s="26" t="s">
        <v>264</v>
      </c>
      <c r="B45" s="27">
        <v>21.254097944444446</v>
      </c>
      <c r="C45" s="27">
        <v>21.254097944444446</v>
      </c>
      <c r="D45" s="27">
        <v>21.254097944444446</v>
      </c>
      <c r="E45" s="27">
        <v>21.254097944444446</v>
      </c>
      <c r="F45" s="27">
        <v>21.254097944444446</v>
      </c>
      <c r="G45" s="27">
        <v>21.254097944444446</v>
      </c>
      <c r="H45" s="27">
        <v>21.254097944444446</v>
      </c>
      <c r="I45" s="27">
        <v>21.254097944444446</v>
      </c>
      <c r="J45" s="27">
        <v>21.254097944444446</v>
      </c>
      <c r="K45" s="27">
        <v>21.254097944444446</v>
      </c>
      <c r="L45" s="27">
        <v>21.254097944444446</v>
      </c>
      <c r="M45" s="27">
        <v>21.254097944444446</v>
      </c>
      <c r="N45" s="27">
        <v>21.254097944444446</v>
      </c>
      <c r="O45" s="27">
        <v>21.254097944444446</v>
      </c>
      <c r="P45" s="27">
        <v>21.254097944444446</v>
      </c>
      <c r="Q45" s="27">
        <v>21.254097944444446</v>
      </c>
      <c r="R45" s="27">
        <v>21.254097944444446</v>
      </c>
      <c r="S45" s="27">
        <v>21.254097944444446</v>
      </c>
      <c r="T45" s="27">
        <v>21.254097944444446</v>
      </c>
      <c r="U45" s="27">
        <v>21.254097944444446</v>
      </c>
      <c r="V45" s="27">
        <v>21.254097944444446</v>
      </c>
      <c r="W45" s="27">
        <v>21.254097944444446</v>
      </c>
      <c r="X45" s="27">
        <v>21.254097944444446</v>
      </c>
      <c r="Y45" s="27">
        <v>21.254097944444446</v>
      </c>
      <c r="Z45" s="27">
        <v>21.254097944444446</v>
      </c>
      <c r="AA45" s="27">
        <v>21.254097944444446</v>
      </c>
      <c r="AB45" s="27">
        <v>21.254097944444446</v>
      </c>
      <c r="AC45" s="27">
        <v>21.254097944444446</v>
      </c>
      <c r="AD45" s="27">
        <v>21.254097944444446</v>
      </c>
      <c r="AE45" s="27">
        <v>21.254097944444446</v>
      </c>
      <c r="AF45" s="27">
        <v>21.254097944444446</v>
      </c>
      <c r="AG45" s="27">
        <v>21.254097944444446</v>
      </c>
      <c r="AH45" s="27">
        <v>21.254097944444446</v>
      </c>
      <c r="AI45" s="27">
        <v>21.254097944444446</v>
      </c>
      <c r="AJ45" s="27">
        <v>21.254097944444446</v>
      </c>
      <c r="AK45" s="27">
        <v>21.254097944444446</v>
      </c>
      <c r="AL45" s="27">
        <v>21.254097944444446</v>
      </c>
      <c r="AM45" s="27">
        <v>21.254097944444446</v>
      </c>
      <c r="AN45" s="27">
        <v>21.254097944444446</v>
      </c>
      <c r="AO45" s="27">
        <v>21.254097944444446</v>
      </c>
      <c r="AP45" s="27">
        <v>21.254097944444446</v>
      </c>
      <c r="AQ45" s="27">
        <v>21.254097944444446</v>
      </c>
      <c r="AR45" s="27">
        <v>21.254097944444446</v>
      </c>
      <c r="AS45" s="27">
        <v>21.254097944444446</v>
      </c>
      <c r="AT45" s="27">
        <v>21.254097944444446</v>
      </c>
      <c r="AU45" s="27">
        <v>21.254097944444446</v>
      </c>
      <c r="AV45" s="27">
        <v>21.254097944444446</v>
      </c>
      <c r="AW45" s="27">
        <v>21.254097944444446</v>
      </c>
      <c r="AX45" s="27">
        <v>21.254097944444446</v>
      </c>
      <c r="AY45" s="27">
        <v>21.254097944444446</v>
      </c>
      <c r="AZ45" s="27">
        <v>21.254097944444446</v>
      </c>
      <c r="BA45" s="27">
        <v>21.254097944444446</v>
      </c>
      <c r="BB45" s="27">
        <v>21.254097944444446</v>
      </c>
      <c r="BC45" s="27">
        <v>21.254097944444446</v>
      </c>
      <c r="BD45" s="27">
        <v>21.254097944444446</v>
      </c>
      <c r="BE45" s="27">
        <v>21.254097944444446</v>
      </c>
      <c r="BF45" s="27">
        <v>21.254097944444446</v>
      </c>
      <c r="BG45" s="27">
        <v>21.254097944444446</v>
      </c>
      <c r="BH45" s="27">
        <v>21.254097944444446</v>
      </c>
    </row>
    <row r="46" spans="1:60" ht="21" customHeight="1" x14ac:dyDescent="0.25">
      <c r="A46" s="26" t="s">
        <v>265</v>
      </c>
      <c r="B46" s="27">
        <v>14.169377430555556</v>
      </c>
      <c r="C46" s="27">
        <v>14.169377430555556</v>
      </c>
      <c r="D46" s="27">
        <v>14.169377430555556</v>
      </c>
      <c r="E46" s="27">
        <v>14.169377430555556</v>
      </c>
      <c r="F46" s="27">
        <v>14.169377430555556</v>
      </c>
      <c r="G46" s="27">
        <v>14.169377430555556</v>
      </c>
      <c r="H46" s="27">
        <v>14.169377430555556</v>
      </c>
      <c r="I46" s="27">
        <v>14.169377430555556</v>
      </c>
      <c r="J46" s="27">
        <v>14.169377430555556</v>
      </c>
      <c r="K46" s="27">
        <v>14.169377430555556</v>
      </c>
      <c r="L46" s="27">
        <v>14.169377430555556</v>
      </c>
      <c r="M46" s="27">
        <v>14.169377430555556</v>
      </c>
      <c r="N46" s="27">
        <v>14.169377430555556</v>
      </c>
      <c r="O46" s="27">
        <v>14.169377430555556</v>
      </c>
      <c r="P46" s="27">
        <v>14.169377430555556</v>
      </c>
      <c r="Q46" s="27">
        <v>14.169377430555556</v>
      </c>
      <c r="R46" s="27">
        <v>14.169377430555556</v>
      </c>
      <c r="S46" s="27">
        <v>14.169377430555556</v>
      </c>
      <c r="T46" s="27">
        <v>14.169377430555556</v>
      </c>
      <c r="U46" s="27">
        <v>14.169377430555556</v>
      </c>
      <c r="V46" s="27">
        <v>14.169377430555556</v>
      </c>
      <c r="W46" s="27">
        <v>14.169377430555556</v>
      </c>
      <c r="X46" s="27">
        <v>14.169377430555556</v>
      </c>
      <c r="Y46" s="27">
        <v>14.169377430555556</v>
      </c>
      <c r="Z46" s="27">
        <v>14.169377430555556</v>
      </c>
      <c r="AA46" s="27">
        <v>14.169377430555556</v>
      </c>
      <c r="AB46" s="27">
        <v>14.169377430555556</v>
      </c>
      <c r="AC46" s="27">
        <v>14.169377430555556</v>
      </c>
      <c r="AD46" s="27">
        <v>14.169377430555556</v>
      </c>
      <c r="AE46" s="27">
        <v>14.169377430555556</v>
      </c>
      <c r="AF46" s="27">
        <v>14.169377430555556</v>
      </c>
      <c r="AG46" s="27">
        <v>14.169377430555556</v>
      </c>
      <c r="AH46" s="27">
        <v>14.169377430555556</v>
      </c>
      <c r="AI46" s="27">
        <v>14.169377430555556</v>
      </c>
      <c r="AJ46" s="27">
        <v>14.169377430555556</v>
      </c>
      <c r="AK46" s="27">
        <v>14.169377430555556</v>
      </c>
      <c r="AL46" s="27">
        <v>14.169377430555556</v>
      </c>
      <c r="AM46" s="27">
        <v>14.169377430555556</v>
      </c>
      <c r="AN46" s="27">
        <v>14.169377430555556</v>
      </c>
      <c r="AO46" s="27">
        <v>14.169377430555556</v>
      </c>
      <c r="AP46" s="27">
        <v>14.169377430555556</v>
      </c>
      <c r="AQ46" s="27">
        <v>14.169377430555556</v>
      </c>
      <c r="AR46" s="27">
        <v>14.169377430555556</v>
      </c>
      <c r="AS46" s="27">
        <v>14.169377430555556</v>
      </c>
      <c r="AT46" s="27">
        <v>14.169377430555556</v>
      </c>
      <c r="AU46" s="27">
        <v>14.169377430555556</v>
      </c>
      <c r="AV46" s="27">
        <v>14.169377430555556</v>
      </c>
      <c r="AW46" s="27">
        <v>14.169377430555556</v>
      </c>
      <c r="AX46" s="27">
        <v>14.169377430555556</v>
      </c>
      <c r="AY46" s="27">
        <v>14.169377430555556</v>
      </c>
      <c r="AZ46" s="27">
        <v>14.169377430555556</v>
      </c>
      <c r="BA46" s="27">
        <v>14.169377430555556</v>
      </c>
      <c r="BB46" s="27">
        <v>14.169377430555556</v>
      </c>
      <c r="BC46" s="27">
        <v>14.169377430555556</v>
      </c>
      <c r="BD46" s="27">
        <v>14.169377430555556</v>
      </c>
      <c r="BE46" s="27">
        <v>14.169377430555556</v>
      </c>
      <c r="BF46" s="27">
        <v>14.169377430555556</v>
      </c>
      <c r="BG46" s="27">
        <v>14.169377430555556</v>
      </c>
      <c r="BH46" s="27">
        <v>14.169377430555556</v>
      </c>
    </row>
    <row r="47" spans="1:60" ht="21" customHeight="1" x14ac:dyDescent="0.25">
      <c r="A47" s="26" t="s">
        <v>266</v>
      </c>
      <c r="B47" s="27">
        <v>16.736111111111114</v>
      </c>
      <c r="C47" s="27">
        <v>16.736111111111114</v>
      </c>
      <c r="D47" s="27">
        <v>16.736111111111114</v>
      </c>
      <c r="E47" s="27">
        <v>16.736111111111114</v>
      </c>
      <c r="F47" s="27">
        <v>16.736111111111114</v>
      </c>
      <c r="G47" s="27">
        <v>16.736111111111114</v>
      </c>
      <c r="H47" s="27">
        <v>16.736111111111114</v>
      </c>
      <c r="I47" s="27">
        <v>16.736111111111114</v>
      </c>
      <c r="J47" s="27">
        <v>16.736111111111114</v>
      </c>
      <c r="K47" s="27">
        <v>16.736111111111114</v>
      </c>
      <c r="L47" s="27">
        <v>16.736111111111114</v>
      </c>
      <c r="M47" s="27">
        <v>16.736111111111114</v>
      </c>
      <c r="N47" s="27">
        <v>16.736111111111114</v>
      </c>
      <c r="O47" s="27">
        <v>16.736111111111114</v>
      </c>
      <c r="P47" s="27">
        <v>16.736111111111114</v>
      </c>
      <c r="Q47" s="27">
        <v>16.736111111111114</v>
      </c>
      <c r="R47" s="27">
        <v>16.736111111111114</v>
      </c>
      <c r="S47" s="27">
        <v>16.736111111111114</v>
      </c>
      <c r="T47" s="27">
        <v>16.736111111111114</v>
      </c>
      <c r="U47" s="27">
        <v>16.736111111111114</v>
      </c>
      <c r="V47" s="27">
        <v>16.736111111111114</v>
      </c>
      <c r="W47" s="27">
        <v>16.736111111111114</v>
      </c>
      <c r="X47" s="27">
        <v>16.736111111111114</v>
      </c>
      <c r="Y47" s="27">
        <v>16.736111111111114</v>
      </c>
      <c r="Z47" s="27">
        <v>16.736111111111114</v>
      </c>
      <c r="AA47" s="27">
        <v>16.736111111111114</v>
      </c>
      <c r="AB47" s="27">
        <v>16.736111111111114</v>
      </c>
      <c r="AC47" s="27">
        <v>16.736111111111114</v>
      </c>
      <c r="AD47" s="27">
        <v>16.736111111111114</v>
      </c>
      <c r="AE47" s="27">
        <v>16.736111111111114</v>
      </c>
      <c r="AF47" s="27">
        <v>16.736111111111114</v>
      </c>
      <c r="AG47" s="27">
        <v>16.736111111111114</v>
      </c>
      <c r="AH47" s="27">
        <v>16.736111111111114</v>
      </c>
      <c r="AI47" s="27">
        <v>16.736111111111114</v>
      </c>
      <c r="AJ47" s="27">
        <v>16.736111111111114</v>
      </c>
      <c r="AK47" s="27">
        <v>16.736111111111114</v>
      </c>
      <c r="AL47" s="27">
        <v>16.736111111111114</v>
      </c>
      <c r="AM47" s="27">
        <v>16.736111111111114</v>
      </c>
      <c r="AN47" s="27">
        <v>16.736111111111114</v>
      </c>
      <c r="AO47" s="27">
        <v>16.736111111111114</v>
      </c>
      <c r="AP47" s="27">
        <v>16.736111111111114</v>
      </c>
      <c r="AQ47" s="27">
        <v>16.736111111111114</v>
      </c>
      <c r="AR47" s="27">
        <v>16.736111111111114</v>
      </c>
      <c r="AS47" s="27">
        <v>16.736111111111114</v>
      </c>
      <c r="AT47" s="27">
        <v>16.736111111111114</v>
      </c>
      <c r="AU47" s="27">
        <v>16.736111111111114</v>
      </c>
      <c r="AV47" s="27">
        <v>16.736111111111114</v>
      </c>
      <c r="AW47" s="27">
        <v>16.736111111111114</v>
      </c>
      <c r="AX47" s="27">
        <v>16.736111111111114</v>
      </c>
      <c r="AY47" s="27">
        <v>16.736111111111114</v>
      </c>
      <c r="AZ47" s="27">
        <v>16.736111111111114</v>
      </c>
      <c r="BA47" s="27">
        <v>16.736111111111114</v>
      </c>
      <c r="BB47" s="27">
        <v>16.736111111111114</v>
      </c>
      <c r="BC47" s="27">
        <v>16.736111111111114</v>
      </c>
      <c r="BD47" s="27">
        <v>16.736111111111114</v>
      </c>
      <c r="BE47" s="27">
        <v>16.736111111111114</v>
      </c>
      <c r="BF47" s="27">
        <v>16.736111111111114</v>
      </c>
      <c r="BG47" s="27">
        <v>16.736111111111114</v>
      </c>
      <c r="BH47" s="27">
        <v>16.736111111111114</v>
      </c>
    </row>
    <row r="48" spans="1:60" ht="21" customHeight="1" x14ac:dyDescent="0.25">
      <c r="A48" s="26" t="s">
        <v>267</v>
      </c>
      <c r="B48" s="27">
        <v>10.041666666666668</v>
      </c>
      <c r="C48" s="27">
        <v>10.041666666666668</v>
      </c>
      <c r="D48" s="27">
        <v>10.041666666666668</v>
      </c>
      <c r="E48" s="27">
        <v>10.041666666666668</v>
      </c>
      <c r="F48" s="27">
        <v>10.041666666666668</v>
      </c>
      <c r="G48" s="27">
        <v>10.041666666666668</v>
      </c>
      <c r="H48" s="27">
        <v>10.041666666666668</v>
      </c>
      <c r="I48" s="27">
        <v>10.041666666666668</v>
      </c>
      <c r="J48" s="27">
        <v>10.041666666666668</v>
      </c>
      <c r="K48" s="27">
        <v>10.041666666666668</v>
      </c>
      <c r="L48" s="27">
        <v>10.041666666666668</v>
      </c>
      <c r="M48" s="27">
        <v>10.041666666666668</v>
      </c>
      <c r="N48" s="27">
        <v>10.041666666666668</v>
      </c>
      <c r="O48" s="27">
        <v>10.041666666666668</v>
      </c>
      <c r="P48" s="27">
        <v>10.041666666666668</v>
      </c>
      <c r="Q48" s="27">
        <v>10.041666666666668</v>
      </c>
      <c r="R48" s="27">
        <v>10.041666666666668</v>
      </c>
      <c r="S48" s="27">
        <v>10.041666666666668</v>
      </c>
      <c r="T48" s="27">
        <v>10.041666666666668</v>
      </c>
      <c r="U48" s="27">
        <v>10.041666666666668</v>
      </c>
      <c r="V48" s="27">
        <v>10.041666666666668</v>
      </c>
      <c r="W48" s="27">
        <v>10.041666666666668</v>
      </c>
      <c r="X48" s="27">
        <v>10.041666666666668</v>
      </c>
      <c r="Y48" s="27">
        <v>10.041666666666668</v>
      </c>
      <c r="Z48" s="27">
        <v>10.041666666666668</v>
      </c>
      <c r="AA48" s="27">
        <v>10.041666666666668</v>
      </c>
      <c r="AB48" s="27">
        <v>10.041666666666668</v>
      </c>
      <c r="AC48" s="27">
        <v>10.041666666666668</v>
      </c>
      <c r="AD48" s="27">
        <v>10.041666666666668</v>
      </c>
      <c r="AE48" s="27">
        <v>10.041666666666668</v>
      </c>
      <c r="AF48" s="27">
        <v>10.041666666666668</v>
      </c>
      <c r="AG48" s="27">
        <v>10.041666666666668</v>
      </c>
      <c r="AH48" s="27">
        <v>10.041666666666668</v>
      </c>
      <c r="AI48" s="27">
        <v>10.041666666666668</v>
      </c>
      <c r="AJ48" s="27">
        <v>10.041666666666668</v>
      </c>
      <c r="AK48" s="27">
        <v>10.041666666666668</v>
      </c>
      <c r="AL48" s="27">
        <v>10.041666666666668</v>
      </c>
      <c r="AM48" s="27">
        <v>10.041666666666668</v>
      </c>
      <c r="AN48" s="27">
        <v>10.041666666666668</v>
      </c>
      <c r="AO48" s="27">
        <v>10.041666666666668</v>
      </c>
      <c r="AP48" s="27">
        <v>10.041666666666668</v>
      </c>
      <c r="AQ48" s="27">
        <v>10.041666666666668</v>
      </c>
      <c r="AR48" s="27">
        <v>10.041666666666668</v>
      </c>
      <c r="AS48" s="27">
        <v>10.041666666666668</v>
      </c>
      <c r="AT48" s="27">
        <v>10.041666666666668</v>
      </c>
      <c r="AU48" s="27">
        <v>10.041666666666668</v>
      </c>
      <c r="AV48" s="27">
        <v>10.041666666666668</v>
      </c>
      <c r="AW48" s="27">
        <v>10.041666666666668</v>
      </c>
      <c r="AX48" s="27">
        <v>10.041666666666668</v>
      </c>
      <c r="AY48" s="27">
        <v>10.041666666666668</v>
      </c>
      <c r="AZ48" s="27">
        <v>10.041666666666668</v>
      </c>
      <c r="BA48" s="27">
        <v>10.041666666666668</v>
      </c>
      <c r="BB48" s="27">
        <v>10.041666666666668</v>
      </c>
      <c r="BC48" s="27">
        <v>10.041666666666668</v>
      </c>
      <c r="BD48" s="27">
        <v>10.041666666666668</v>
      </c>
      <c r="BE48" s="27">
        <v>10.041666666666668</v>
      </c>
      <c r="BF48" s="27">
        <v>10.041666666666668</v>
      </c>
      <c r="BG48" s="27">
        <v>10.041666666666668</v>
      </c>
      <c r="BH48" s="27">
        <v>10.041666666666668</v>
      </c>
    </row>
    <row r="49" spans="1:60" ht="21" customHeight="1" x14ac:dyDescent="0.25">
      <c r="A49" s="26" t="s">
        <v>268</v>
      </c>
      <c r="B49" s="27">
        <v>11.715277777777779</v>
      </c>
      <c r="C49" s="27">
        <v>11.715277777777779</v>
      </c>
      <c r="D49" s="27">
        <v>11.715277777777779</v>
      </c>
      <c r="E49" s="27">
        <v>11.715277777777779</v>
      </c>
      <c r="F49" s="27">
        <v>11.715277777777779</v>
      </c>
      <c r="G49" s="27">
        <v>11.715277777777779</v>
      </c>
      <c r="H49" s="27">
        <v>11.715277777777779</v>
      </c>
      <c r="I49" s="27">
        <v>11.715277777777779</v>
      </c>
      <c r="J49" s="27">
        <v>11.715277777777779</v>
      </c>
      <c r="K49" s="27">
        <v>11.715277777777779</v>
      </c>
      <c r="L49" s="27">
        <v>11.715277777777779</v>
      </c>
      <c r="M49" s="27">
        <v>11.715277777777779</v>
      </c>
      <c r="N49" s="27">
        <v>11.715277777777779</v>
      </c>
      <c r="O49" s="27">
        <v>11.715277777777779</v>
      </c>
      <c r="P49" s="27">
        <v>11.715277777777779</v>
      </c>
      <c r="Q49" s="27">
        <v>11.715277777777779</v>
      </c>
      <c r="R49" s="27">
        <v>11.715277777777779</v>
      </c>
      <c r="S49" s="27">
        <v>11.715277777777779</v>
      </c>
      <c r="T49" s="27">
        <v>11.715277777777779</v>
      </c>
      <c r="U49" s="27">
        <v>11.715277777777779</v>
      </c>
      <c r="V49" s="27">
        <v>11.715277777777779</v>
      </c>
      <c r="W49" s="27">
        <v>11.715277777777779</v>
      </c>
      <c r="X49" s="27">
        <v>11.715277777777779</v>
      </c>
      <c r="Y49" s="27">
        <v>11.715277777777779</v>
      </c>
      <c r="Z49" s="27">
        <v>11.715277777777779</v>
      </c>
      <c r="AA49" s="27">
        <v>11.715277777777779</v>
      </c>
      <c r="AB49" s="27">
        <v>11.715277777777779</v>
      </c>
      <c r="AC49" s="27">
        <v>11.715277777777779</v>
      </c>
      <c r="AD49" s="27">
        <v>11.715277777777779</v>
      </c>
      <c r="AE49" s="27">
        <v>11.715277777777779</v>
      </c>
      <c r="AF49" s="27">
        <v>11.715277777777779</v>
      </c>
      <c r="AG49" s="27">
        <v>11.715277777777779</v>
      </c>
      <c r="AH49" s="27">
        <v>11.715277777777779</v>
      </c>
      <c r="AI49" s="27">
        <v>11.715277777777779</v>
      </c>
      <c r="AJ49" s="27">
        <v>11.715277777777779</v>
      </c>
      <c r="AK49" s="27">
        <v>11.715277777777779</v>
      </c>
      <c r="AL49" s="27">
        <v>11.715277777777779</v>
      </c>
      <c r="AM49" s="27">
        <v>11.715277777777779</v>
      </c>
      <c r="AN49" s="27">
        <v>11.715277777777779</v>
      </c>
      <c r="AO49" s="27">
        <v>11.715277777777779</v>
      </c>
      <c r="AP49" s="27">
        <v>11.715277777777779</v>
      </c>
      <c r="AQ49" s="27">
        <v>11.715277777777779</v>
      </c>
      <c r="AR49" s="27">
        <v>11.715277777777779</v>
      </c>
      <c r="AS49" s="27">
        <v>11.715277777777779</v>
      </c>
      <c r="AT49" s="27">
        <v>11.715277777777779</v>
      </c>
      <c r="AU49" s="27">
        <v>11.715277777777779</v>
      </c>
      <c r="AV49" s="27">
        <v>11.715277777777779</v>
      </c>
      <c r="AW49" s="27">
        <v>11.715277777777779</v>
      </c>
      <c r="AX49" s="27">
        <v>11.715277777777779</v>
      </c>
      <c r="AY49" s="27">
        <v>11.715277777777779</v>
      </c>
      <c r="AZ49" s="27">
        <v>11.715277777777779</v>
      </c>
      <c r="BA49" s="27">
        <v>11.715277777777779</v>
      </c>
      <c r="BB49" s="27">
        <v>11.715277777777779</v>
      </c>
      <c r="BC49" s="27">
        <v>11.715277777777779</v>
      </c>
      <c r="BD49" s="27">
        <v>11.715277777777779</v>
      </c>
      <c r="BE49" s="27">
        <v>11.715277777777779</v>
      </c>
      <c r="BF49" s="27">
        <v>11.715277777777779</v>
      </c>
      <c r="BG49" s="27">
        <v>11.715277777777779</v>
      </c>
      <c r="BH49" s="27">
        <v>11.715277777777779</v>
      </c>
    </row>
    <row r="50" spans="1:60" ht="21" customHeight="1" x14ac:dyDescent="0.25">
      <c r="A50" s="26" t="s">
        <v>269</v>
      </c>
      <c r="B50" s="27">
        <v>26.777777777777782</v>
      </c>
      <c r="C50" s="27">
        <v>26.777777777777782</v>
      </c>
      <c r="D50" s="27">
        <v>26.777777777777782</v>
      </c>
      <c r="E50" s="27">
        <v>26.777777777777782</v>
      </c>
      <c r="F50" s="27">
        <v>26.777777777777782</v>
      </c>
      <c r="G50" s="27">
        <v>26.777777777777782</v>
      </c>
      <c r="H50" s="27">
        <v>26.777777777777782</v>
      </c>
      <c r="I50" s="27">
        <v>26.777777777777782</v>
      </c>
      <c r="J50" s="27">
        <v>26.777777777777782</v>
      </c>
      <c r="K50" s="27">
        <v>26.777777777777782</v>
      </c>
      <c r="L50" s="27">
        <v>26.777777777777782</v>
      </c>
      <c r="M50" s="27">
        <v>26.777777777777782</v>
      </c>
      <c r="N50" s="27">
        <v>26.777777777777782</v>
      </c>
      <c r="O50" s="27">
        <v>26.777777777777782</v>
      </c>
      <c r="P50" s="27">
        <v>26.777777777777782</v>
      </c>
      <c r="Q50" s="27">
        <v>26.777777777777782</v>
      </c>
      <c r="R50" s="27">
        <v>26.777777777777782</v>
      </c>
      <c r="S50" s="27">
        <v>26.777777777777782</v>
      </c>
      <c r="T50" s="27">
        <v>26.777777777777782</v>
      </c>
      <c r="U50" s="27">
        <v>26.777777777777782</v>
      </c>
      <c r="V50" s="27">
        <v>26.777777777777782</v>
      </c>
      <c r="W50" s="27">
        <v>26.777777777777782</v>
      </c>
      <c r="X50" s="27">
        <v>26.777777777777782</v>
      </c>
      <c r="Y50" s="27">
        <v>26.777777777777782</v>
      </c>
      <c r="Z50" s="27">
        <v>26.777777777777782</v>
      </c>
      <c r="AA50" s="27">
        <v>26.777777777777782</v>
      </c>
      <c r="AB50" s="27">
        <v>26.777777777777782</v>
      </c>
      <c r="AC50" s="27">
        <v>26.777777777777782</v>
      </c>
      <c r="AD50" s="27">
        <v>26.777777777777782</v>
      </c>
      <c r="AE50" s="27">
        <v>26.777777777777782</v>
      </c>
      <c r="AF50" s="27">
        <v>26.777777777777782</v>
      </c>
      <c r="AG50" s="27">
        <v>26.777777777777782</v>
      </c>
      <c r="AH50" s="27">
        <v>26.777777777777782</v>
      </c>
      <c r="AI50" s="27">
        <v>26.777777777777782</v>
      </c>
      <c r="AJ50" s="27">
        <v>26.777777777777782</v>
      </c>
      <c r="AK50" s="27">
        <v>26.777777777777782</v>
      </c>
      <c r="AL50" s="27">
        <v>26.777777777777782</v>
      </c>
      <c r="AM50" s="27">
        <v>26.777777777777782</v>
      </c>
      <c r="AN50" s="27">
        <v>26.777777777777782</v>
      </c>
      <c r="AO50" s="27">
        <v>26.777777777777782</v>
      </c>
      <c r="AP50" s="27">
        <v>26.777777777777782</v>
      </c>
      <c r="AQ50" s="27">
        <v>26.777777777777782</v>
      </c>
      <c r="AR50" s="27">
        <v>26.777777777777782</v>
      </c>
      <c r="AS50" s="27">
        <v>26.777777777777782</v>
      </c>
      <c r="AT50" s="27">
        <v>26.777777777777782</v>
      </c>
      <c r="AU50" s="27">
        <v>26.777777777777782</v>
      </c>
      <c r="AV50" s="27">
        <v>26.777777777777782</v>
      </c>
      <c r="AW50" s="27">
        <v>26.777777777777782</v>
      </c>
      <c r="AX50" s="27">
        <v>26.777777777777782</v>
      </c>
      <c r="AY50" s="27">
        <v>26.777777777777782</v>
      </c>
      <c r="AZ50" s="27">
        <v>26.777777777777782</v>
      </c>
      <c r="BA50" s="27">
        <v>26.777777777777782</v>
      </c>
      <c r="BB50" s="27">
        <v>26.777777777777782</v>
      </c>
      <c r="BC50" s="27">
        <v>26.777777777777782</v>
      </c>
      <c r="BD50" s="27">
        <v>26.777777777777782</v>
      </c>
      <c r="BE50" s="27">
        <v>26.777777777777782</v>
      </c>
      <c r="BF50" s="27">
        <v>26.777777777777782</v>
      </c>
      <c r="BG50" s="27">
        <v>26.777777777777782</v>
      </c>
      <c r="BH50" s="27">
        <v>26.777777777777782</v>
      </c>
    </row>
    <row r="51" spans="1:60" ht="21" customHeight="1" x14ac:dyDescent="0.25">
      <c r="A51" s="26" t="s">
        <v>270</v>
      </c>
      <c r="B51" s="27">
        <v>20.083333333333336</v>
      </c>
      <c r="C51" s="27">
        <v>20.083333333333336</v>
      </c>
      <c r="D51" s="27">
        <v>20.083333333333336</v>
      </c>
      <c r="E51" s="27">
        <v>20.083333333333336</v>
      </c>
      <c r="F51" s="27">
        <v>20.083333333333336</v>
      </c>
      <c r="G51" s="27">
        <v>20.083333333333336</v>
      </c>
      <c r="H51" s="27">
        <v>20.083333333333336</v>
      </c>
      <c r="I51" s="27">
        <v>20.083333333333336</v>
      </c>
      <c r="J51" s="27">
        <v>20.083333333333336</v>
      </c>
      <c r="K51" s="27">
        <v>20.083333333333336</v>
      </c>
      <c r="L51" s="27">
        <v>20.083333333333336</v>
      </c>
      <c r="M51" s="27">
        <v>20.083333333333336</v>
      </c>
      <c r="N51" s="27">
        <v>20.083333333333336</v>
      </c>
      <c r="O51" s="27">
        <v>20.083333333333336</v>
      </c>
      <c r="P51" s="27">
        <v>20.083333333333336</v>
      </c>
      <c r="Q51" s="27">
        <v>20.083333333333336</v>
      </c>
      <c r="R51" s="27">
        <v>20.083333333333336</v>
      </c>
      <c r="S51" s="27">
        <v>20.083333333333336</v>
      </c>
      <c r="T51" s="27">
        <v>20.083333333333336</v>
      </c>
      <c r="U51" s="27">
        <v>20.083333333333336</v>
      </c>
      <c r="V51" s="27">
        <v>20.083333333333336</v>
      </c>
      <c r="W51" s="27">
        <v>20.083333333333336</v>
      </c>
      <c r="X51" s="27">
        <v>20.083333333333336</v>
      </c>
      <c r="Y51" s="27">
        <v>20.083333333333336</v>
      </c>
      <c r="Z51" s="27">
        <v>20.083333333333336</v>
      </c>
      <c r="AA51" s="27">
        <v>20.083333333333336</v>
      </c>
      <c r="AB51" s="27">
        <v>20.083333333333336</v>
      </c>
      <c r="AC51" s="27">
        <v>20.083333333333336</v>
      </c>
      <c r="AD51" s="27">
        <v>20.083333333333336</v>
      </c>
      <c r="AE51" s="27">
        <v>20.083333333333336</v>
      </c>
      <c r="AF51" s="27">
        <v>20.083333333333336</v>
      </c>
      <c r="AG51" s="27">
        <v>20.083333333333336</v>
      </c>
      <c r="AH51" s="27">
        <v>20.083333333333336</v>
      </c>
      <c r="AI51" s="27">
        <v>20.083333333333336</v>
      </c>
      <c r="AJ51" s="27">
        <v>20.083333333333336</v>
      </c>
      <c r="AK51" s="27">
        <v>20.083333333333336</v>
      </c>
      <c r="AL51" s="27">
        <v>20.083333333333336</v>
      </c>
      <c r="AM51" s="27">
        <v>20.083333333333336</v>
      </c>
      <c r="AN51" s="27">
        <v>20.083333333333336</v>
      </c>
      <c r="AO51" s="27">
        <v>20.083333333333336</v>
      </c>
      <c r="AP51" s="27">
        <v>20.083333333333336</v>
      </c>
      <c r="AQ51" s="27">
        <v>20.083333333333336</v>
      </c>
      <c r="AR51" s="27">
        <v>20.083333333333336</v>
      </c>
      <c r="AS51" s="27">
        <v>20.083333333333336</v>
      </c>
      <c r="AT51" s="27">
        <v>20.083333333333336</v>
      </c>
      <c r="AU51" s="27">
        <v>20.083333333333336</v>
      </c>
      <c r="AV51" s="27">
        <v>20.083333333333336</v>
      </c>
      <c r="AW51" s="27">
        <v>20.083333333333336</v>
      </c>
      <c r="AX51" s="27">
        <v>20.083333333333336</v>
      </c>
      <c r="AY51" s="27">
        <v>20.083333333333336</v>
      </c>
      <c r="AZ51" s="27">
        <v>20.083333333333336</v>
      </c>
      <c r="BA51" s="27">
        <v>20.083333333333336</v>
      </c>
      <c r="BB51" s="27">
        <v>20.083333333333336</v>
      </c>
      <c r="BC51" s="27">
        <v>20.083333333333336</v>
      </c>
      <c r="BD51" s="27">
        <v>20.083333333333336</v>
      </c>
      <c r="BE51" s="27">
        <v>20.083333333333336</v>
      </c>
      <c r="BF51" s="27">
        <v>20.083333333333336</v>
      </c>
      <c r="BG51" s="27">
        <v>20.083333333333336</v>
      </c>
      <c r="BH51" s="27">
        <v>20.083333333333336</v>
      </c>
    </row>
    <row r="52" spans="1:60" ht="21" customHeight="1" x14ac:dyDescent="0.25">
      <c r="A52" s="26" t="s">
        <v>271</v>
      </c>
      <c r="B52" s="27">
        <v>17.087261500000004</v>
      </c>
      <c r="C52" s="27">
        <v>17.087261500000004</v>
      </c>
      <c r="D52" s="27">
        <v>17.087261500000004</v>
      </c>
      <c r="E52" s="27">
        <v>17.087261500000004</v>
      </c>
      <c r="F52" s="27">
        <v>17.087261500000004</v>
      </c>
      <c r="G52" s="27">
        <v>17.087261500000004</v>
      </c>
      <c r="H52" s="27">
        <v>17.087261500000004</v>
      </c>
      <c r="I52" s="27">
        <v>17.087261500000004</v>
      </c>
      <c r="J52" s="27">
        <v>17.087261500000004</v>
      </c>
      <c r="K52" s="27">
        <v>17.087261500000004</v>
      </c>
      <c r="L52" s="27">
        <v>17.087261500000004</v>
      </c>
      <c r="M52" s="27">
        <v>17.087261500000004</v>
      </c>
      <c r="N52" s="27">
        <v>17.087261500000004</v>
      </c>
      <c r="O52" s="27">
        <v>17.087261500000004</v>
      </c>
      <c r="P52" s="27">
        <v>17.087261500000004</v>
      </c>
      <c r="Q52" s="27">
        <v>17.087261500000004</v>
      </c>
      <c r="R52" s="27">
        <v>17.087261500000004</v>
      </c>
      <c r="S52" s="27">
        <v>17.087261500000004</v>
      </c>
      <c r="T52" s="27">
        <v>17.087261500000004</v>
      </c>
      <c r="U52" s="27">
        <v>17.087261500000004</v>
      </c>
      <c r="V52" s="27">
        <v>17.087261500000004</v>
      </c>
      <c r="W52" s="27">
        <v>17.087261500000004</v>
      </c>
      <c r="X52" s="27">
        <v>17.087261500000004</v>
      </c>
      <c r="Y52" s="27">
        <v>17.087261500000004</v>
      </c>
      <c r="Z52" s="27">
        <v>17.087261500000004</v>
      </c>
      <c r="AA52" s="27">
        <v>17.087261500000004</v>
      </c>
      <c r="AB52" s="27">
        <v>17.087261500000004</v>
      </c>
      <c r="AC52" s="27">
        <v>17.087261500000004</v>
      </c>
      <c r="AD52" s="27">
        <v>17.087261500000004</v>
      </c>
      <c r="AE52" s="27">
        <v>17.087261500000004</v>
      </c>
      <c r="AF52" s="27">
        <v>17.087261500000004</v>
      </c>
      <c r="AG52" s="27">
        <v>17.087261500000004</v>
      </c>
      <c r="AH52" s="27">
        <v>17.087261500000004</v>
      </c>
      <c r="AI52" s="27">
        <v>17.087261500000004</v>
      </c>
      <c r="AJ52" s="27">
        <v>17.087261500000004</v>
      </c>
      <c r="AK52" s="27">
        <v>17.087261500000004</v>
      </c>
      <c r="AL52" s="27">
        <v>17.087261500000004</v>
      </c>
      <c r="AM52" s="27">
        <v>17.087261500000004</v>
      </c>
      <c r="AN52" s="27">
        <v>17.087261500000004</v>
      </c>
      <c r="AO52" s="27">
        <v>17.087261500000004</v>
      </c>
      <c r="AP52" s="27">
        <v>17.087261500000004</v>
      </c>
      <c r="AQ52" s="27">
        <v>17.087261500000004</v>
      </c>
      <c r="AR52" s="27">
        <v>17.087261500000004</v>
      </c>
      <c r="AS52" s="27">
        <v>17.087261500000004</v>
      </c>
      <c r="AT52" s="27">
        <v>17.087261500000004</v>
      </c>
      <c r="AU52" s="27">
        <v>17.087261500000004</v>
      </c>
      <c r="AV52" s="27">
        <v>17.087261500000004</v>
      </c>
      <c r="AW52" s="27">
        <v>17.087261500000004</v>
      </c>
      <c r="AX52" s="27">
        <v>17.087261500000004</v>
      </c>
      <c r="AY52" s="27">
        <v>17.087261500000004</v>
      </c>
      <c r="AZ52" s="27">
        <v>17.087261500000004</v>
      </c>
      <c r="BA52" s="27">
        <v>17.087261500000004</v>
      </c>
      <c r="BB52" s="27">
        <v>17.087261500000004</v>
      </c>
      <c r="BC52" s="27">
        <v>17.087261500000004</v>
      </c>
      <c r="BD52" s="27">
        <v>17.087261500000004</v>
      </c>
      <c r="BE52" s="27">
        <v>17.087261500000004</v>
      </c>
      <c r="BF52" s="27">
        <v>17.087261500000004</v>
      </c>
      <c r="BG52" s="27">
        <v>17.087261500000004</v>
      </c>
      <c r="BH52" s="27">
        <v>17.087261500000004</v>
      </c>
    </row>
    <row r="53" spans="1:60" ht="21" customHeight="1" x14ac:dyDescent="0.25">
      <c r="A53" s="26" t="s">
        <v>272</v>
      </c>
      <c r="B53" s="27">
        <v>17.137724222222221</v>
      </c>
      <c r="C53" s="27">
        <v>17.137724222222221</v>
      </c>
      <c r="D53" s="27">
        <v>17.137724222222221</v>
      </c>
      <c r="E53" s="27">
        <v>17.137724222222221</v>
      </c>
      <c r="F53" s="27">
        <v>17.137724222222221</v>
      </c>
      <c r="G53" s="27">
        <v>17.137724222222221</v>
      </c>
      <c r="H53" s="27">
        <v>17.137724222222221</v>
      </c>
      <c r="I53" s="27">
        <v>17.137724222222221</v>
      </c>
      <c r="J53" s="27">
        <v>17.137724222222221</v>
      </c>
      <c r="K53" s="27">
        <v>17.137724222222221</v>
      </c>
      <c r="L53" s="27">
        <v>17.137724222222221</v>
      </c>
      <c r="M53" s="27">
        <v>17.137724222222221</v>
      </c>
      <c r="N53" s="27">
        <v>17.137724222222221</v>
      </c>
      <c r="O53" s="27">
        <v>17.137724222222221</v>
      </c>
      <c r="P53" s="27">
        <v>17.137724222222221</v>
      </c>
      <c r="Q53" s="27">
        <v>17.137724222222221</v>
      </c>
      <c r="R53" s="27">
        <v>17.137724222222221</v>
      </c>
      <c r="S53" s="27">
        <v>17.137724222222221</v>
      </c>
      <c r="T53" s="27">
        <v>17.137724222222221</v>
      </c>
      <c r="U53" s="27">
        <v>17.137724222222221</v>
      </c>
      <c r="V53" s="27">
        <v>17.137724222222221</v>
      </c>
      <c r="W53" s="27">
        <v>17.137724222222221</v>
      </c>
      <c r="X53" s="27">
        <v>17.137724222222221</v>
      </c>
      <c r="Y53" s="27">
        <v>17.137724222222221</v>
      </c>
      <c r="Z53" s="27">
        <v>17.137724222222221</v>
      </c>
      <c r="AA53" s="27">
        <v>17.137724222222221</v>
      </c>
      <c r="AB53" s="27">
        <v>17.137724222222221</v>
      </c>
      <c r="AC53" s="27">
        <v>17.137724222222221</v>
      </c>
      <c r="AD53" s="27">
        <v>17.137724222222221</v>
      </c>
      <c r="AE53" s="27">
        <v>17.137724222222221</v>
      </c>
      <c r="AF53" s="27">
        <v>17.137724222222221</v>
      </c>
      <c r="AG53" s="27">
        <v>17.137724222222221</v>
      </c>
      <c r="AH53" s="27">
        <v>17.137724222222221</v>
      </c>
      <c r="AI53" s="27">
        <v>17.137724222222221</v>
      </c>
      <c r="AJ53" s="27">
        <v>17.137724222222221</v>
      </c>
      <c r="AK53" s="27">
        <v>17.137724222222221</v>
      </c>
      <c r="AL53" s="27">
        <v>17.137724222222221</v>
      </c>
      <c r="AM53" s="27">
        <v>17.137724222222221</v>
      </c>
      <c r="AN53" s="27">
        <v>17.137724222222221</v>
      </c>
      <c r="AO53" s="27">
        <v>17.137724222222221</v>
      </c>
      <c r="AP53" s="27">
        <v>17.137724222222221</v>
      </c>
      <c r="AQ53" s="27">
        <v>17.137724222222221</v>
      </c>
      <c r="AR53" s="27">
        <v>17.137724222222221</v>
      </c>
      <c r="AS53" s="27">
        <v>17.137724222222221</v>
      </c>
      <c r="AT53" s="27">
        <v>17.137724222222221</v>
      </c>
      <c r="AU53" s="27">
        <v>17.137724222222221</v>
      </c>
      <c r="AV53" s="27">
        <v>17.137724222222221</v>
      </c>
      <c r="AW53" s="27">
        <v>17.137724222222221</v>
      </c>
      <c r="AX53" s="27">
        <v>17.137724222222221</v>
      </c>
      <c r="AY53" s="27">
        <v>17.137724222222221</v>
      </c>
      <c r="AZ53" s="27">
        <v>17.137724222222221</v>
      </c>
      <c r="BA53" s="27">
        <v>17.137724222222221</v>
      </c>
      <c r="BB53" s="27">
        <v>17.137724222222221</v>
      </c>
      <c r="BC53" s="27">
        <v>17.137724222222221</v>
      </c>
      <c r="BD53" s="27">
        <v>17.137724222222221</v>
      </c>
      <c r="BE53" s="27">
        <v>17.137724222222221</v>
      </c>
      <c r="BF53" s="27">
        <v>17.137724222222221</v>
      </c>
      <c r="BG53" s="27">
        <v>17.137724222222221</v>
      </c>
      <c r="BH53" s="27">
        <v>17.137724222222221</v>
      </c>
    </row>
    <row r="54" spans="1:60" ht="21" customHeight="1" x14ac:dyDescent="0.25">
      <c r="A54" s="56" t="s">
        <v>93</v>
      </c>
      <c r="B54" s="57">
        <v>2862366.87</v>
      </c>
      <c r="C54" s="57">
        <v>2863089.7047691308</v>
      </c>
      <c r="D54" s="57">
        <v>2863812.7220760449</v>
      </c>
      <c r="E54" s="57">
        <v>2864535.9219668387</v>
      </c>
      <c r="F54" s="57">
        <v>2865259.30448762</v>
      </c>
      <c r="G54" s="57">
        <v>2865982.8696845085</v>
      </c>
      <c r="H54" s="57">
        <v>2866706.6176036359</v>
      </c>
      <c r="I54" s="57">
        <v>2867430.5482911444</v>
      </c>
      <c r="J54" s="57">
        <v>2868154.6617931891</v>
      </c>
      <c r="K54" s="57">
        <v>2868878.9581559361</v>
      </c>
      <c r="L54" s="57">
        <v>2869603.4374255631</v>
      </c>
      <c r="M54" s="57">
        <v>2870328.09964826</v>
      </c>
      <c r="N54" s="57">
        <v>2871052.9448702279</v>
      </c>
      <c r="O54" s="57">
        <v>2871777.9731376795</v>
      </c>
      <c r="P54" s="57">
        <v>2872503.1844968395</v>
      </c>
      <c r="Q54" s="57">
        <v>2873228.5789939445</v>
      </c>
      <c r="R54" s="57">
        <v>2873954.1566752419</v>
      </c>
      <c r="S54" s="57">
        <v>2874679.9175869911</v>
      </c>
      <c r="T54" s="57">
        <v>2875405.8617754639</v>
      </c>
      <c r="U54" s="57">
        <v>2876131.9892869429</v>
      </c>
      <c r="V54" s="57">
        <v>2876858.3001677231</v>
      </c>
      <c r="W54" s="57">
        <v>2877584.7944641104</v>
      </c>
      <c r="X54" s="57">
        <v>2878311.4722224232</v>
      </c>
      <c r="Y54" s="57">
        <v>2879038.333488991</v>
      </c>
      <c r="Z54" s="57">
        <v>2879765.3783101556</v>
      </c>
      <c r="AA54" s="57">
        <v>2880492.6067322697</v>
      </c>
      <c r="AB54" s="57">
        <v>2881220.018801698</v>
      </c>
      <c r="AC54" s="57">
        <v>2881947.6145648174</v>
      </c>
      <c r="AD54" s="57">
        <v>2882675.3940680162</v>
      </c>
      <c r="AE54" s="57">
        <v>2883403.3573576938</v>
      </c>
      <c r="AF54" s="57">
        <v>2884131.5044802623</v>
      </c>
      <c r="AG54" s="57">
        <v>2884859.8354821452</v>
      </c>
      <c r="AH54" s="57">
        <v>2885588.3504097774</v>
      </c>
      <c r="AI54" s="57">
        <v>2886317.0493096057</v>
      </c>
      <c r="AJ54" s="57">
        <v>2887045.9322280893</v>
      </c>
      <c r="AK54" s="57">
        <v>2887774.9992116978</v>
      </c>
      <c r="AL54" s="57">
        <v>2888504.2503069136</v>
      </c>
      <c r="AM54" s="57">
        <v>2889233.6855602302</v>
      </c>
      <c r="AN54" s="57">
        <v>2889963.3050181535</v>
      </c>
      <c r="AO54" s="57">
        <v>2890693.1087272004</v>
      </c>
      <c r="AP54" s="57">
        <v>2891423.0967339003</v>
      </c>
      <c r="AQ54" s="57">
        <v>2892153.2690847935</v>
      </c>
      <c r="AR54" s="57">
        <v>2892883.6258264328</v>
      </c>
      <c r="AS54" s="57">
        <v>2893614.1670053825</v>
      </c>
      <c r="AT54" s="57">
        <v>2894344.8926682184</v>
      </c>
      <c r="AU54" s="57">
        <v>2895075.8028615285</v>
      </c>
      <c r="AV54" s="57">
        <v>2895806.8976319125</v>
      </c>
      <c r="AW54" s="57">
        <v>2896538.1770259817</v>
      </c>
      <c r="AX54" s="57">
        <v>2897269.6410903591</v>
      </c>
      <c r="AY54" s="57">
        <v>2898001.2898716792</v>
      </c>
      <c r="AZ54" s="57">
        <v>2898733.1234165891</v>
      </c>
      <c r="BA54" s="57">
        <v>2899465.1417717473</v>
      </c>
      <c r="BB54" s="57">
        <v>2900197.3449838236</v>
      </c>
      <c r="BC54" s="57">
        <v>2900929.7330995002</v>
      </c>
      <c r="BD54" s="57">
        <v>2901662.3061654712</v>
      </c>
      <c r="BE54" s="57">
        <v>2902395.0642284416</v>
      </c>
      <c r="BF54" s="57">
        <v>2903128.0073351292</v>
      </c>
      <c r="BG54" s="57">
        <v>2903861.1355322632</v>
      </c>
      <c r="BH54" s="57">
        <v>2904594.4488665843</v>
      </c>
    </row>
    <row r="55" spans="1:60" ht="21" customHeight="1" x14ac:dyDescent="0.25">
      <c r="A55" s="30" t="s">
        <v>94</v>
      </c>
      <c r="B55" s="31">
        <v>0</v>
      </c>
      <c r="C55" s="31">
        <v>0</v>
      </c>
      <c r="D55" s="31">
        <v>0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</row>
    <row r="56" spans="1:60" ht="21" customHeight="1" x14ac:dyDescent="0.25">
      <c r="A56" s="32" t="s">
        <v>95</v>
      </c>
      <c r="B56" s="33">
        <v>2862366.87</v>
      </c>
      <c r="C56" s="33">
        <v>2862366.87</v>
      </c>
      <c r="D56" s="33">
        <v>2862366.87</v>
      </c>
      <c r="E56" s="33">
        <v>2862366.87</v>
      </c>
      <c r="F56" s="33">
        <v>2862366.87</v>
      </c>
      <c r="G56" s="33">
        <v>2862366.87</v>
      </c>
      <c r="H56" s="33">
        <v>2862366.87</v>
      </c>
      <c r="I56" s="33">
        <v>2862366.87</v>
      </c>
      <c r="J56" s="33">
        <v>2862366.87</v>
      </c>
      <c r="K56" s="33">
        <v>2862366.87</v>
      </c>
      <c r="L56" s="33">
        <v>2862366.87</v>
      </c>
      <c r="M56" s="33">
        <v>2862366.87</v>
      </c>
      <c r="N56" s="33">
        <v>2862366.87</v>
      </c>
      <c r="O56" s="33">
        <v>2862366.87</v>
      </c>
      <c r="P56" s="33">
        <v>2862366.87</v>
      </c>
      <c r="Q56" s="33">
        <v>2862366.87</v>
      </c>
      <c r="R56" s="33">
        <v>2862366.87</v>
      </c>
      <c r="S56" s="33">
        <v>2862366.87</v>
      </c>
      <c r="T56" s="33">
        <v>2862366.87</v>
      </c>
      <c r="U56" s="33">
        <v>2862366.87</v>
      </c>
      <c r="V56" s="33">
        <v>2862366.87</v>
      </c>
      <c r="W56" s="33">
        <v>2862366.87</v>
      </c>
      <c r="X56" s="33">
        <v>2862366.87</v>
      </c>
      <c r="Y56" s="33">
        <v>2862366.87</v>
      </c>
      <c r="Z56" s="33">
        <v>2862366.87</v>
      </c>
      <c r="AA56" s="33">
        <v>2862366.87</v>
      </c>
      <c r="AB56" s="33">
        <v>2862366.87</v>
      </c>
      <c r="AC56" s="33">
        <v>2862366.87</v>
      </c>
      <c r="AD56" s="33">
        <v>2862366.87</v>
      </c>
      <c r="AE56" s="33">
        <v>2862366.87</v>
      </c>
      <c r="AF56" s="33">
        <v>2862366.87</v>
      </c>
      <c r="AG56" s="33">
        <v>2862366.87</v>
      </c>
      <c r="AH56" s="33">
        <v>2862366.87</v>
      </c>
      <c r="AI56" s="33">
        <v>2862366.87</v>
      </c>
      <c r="AJ56" s="33">
        <v>2862366.87</v>
      </c>
      <c r="AK56" s="33">
        <v>2862366.87</v>
      </c>
      <c r="AL56" s="33">
        <v>2862366.87</v>
      </c>
      <c r="AM56" s="33">
        <v>2862366.87</v>
      </c>
      <c r="AN56" s="33">
        <v>2862366.87</v>
      </c>
      <c r="AO56" s="33">
        <v>2862366.87</v>
      </c>
      <c r="AP56" s="33">
        <v>2862366.87</v>
      </c>
      <c r="AQ56" s="33">
        <v>2862366.87</v>
      </c>
      <c r="AR56" s="33">
        <v>2862366.87</v>
      </c>
      <c r="AS56" s="33">
        <v>2862366.87</v>
      </c>
      <c r="AT56" s="33">
        <v>2862366.87</v>
      </c>
      <c r="AU56" s="33">
        <v>2862366.87</v>
      </c>
      <c r="AV56" s="33">
        <v>2862366.87</v>
      </c>
      <c r="AW56" s="33">
        <v>2862366.87</v>
      </c>
      <c r="AX56" s="33">
        <v>2862366.87</v>
      </c>
      <c r="AY56" s="33">
        <v>2862366.87</v>
      </c>
      <c r="AZ56" s="33">
        <v>2862366.87</v>
      </c>
      <c r="BA56" s="33">
        <v>2862366.87</v>
      </c>
      <c r="BB56" s="33">
        <v>2862366.87</v>
      </c>
      <c r="BC56" s="33">
        <v>2862366.87</v>
      </c>
      <c r="BD56" s="33">
        <v>2862366.87</v>
      </c>
      <c r="BE56" s="33">
        <v>2862366.87</v>
      </c>
      <c r="BF56" s="33">
        <v>2862366.87</v>
      </c>
      <c r="BG56" s="33">
        <v>2862366.87</v>
      </c>
      <c r="BH56" s="33">
        <v>2862366.87</v>
      </c>
    </row>
    <row r="57" spans="1:60" ht="21" customHeight="1" x14ac:dyDescent="0.25">
      <c r="A57" s="32" t="s">
        <v>96</v>
      </c>
      <c r="B57" s="33">
        <v>2862366.87</v>
      </c>
      <c r="C57" s="33">
        <v>2862366.87</v>
      </c>
      <c r="D57" s="33">
        <v>2862366.87</v>
      </c>
      <c r="E57" s="33">
        <v>2862366.87</v>
      </c>
      <c r="F57" s="33">
        <v>2862366.87</v>
      </c>
      <c r="G57" s="33">
        <v>2862366.87</v>
      </c>
      <c r="H57" s="33">
        <v>2862366.87</v>
      </c>
      <c r="I57" s="33">
        <v>2862366.87</v>
      </c>
      <c r="J57" s="33">
        <v>2862366.87</v>
      </c>
      <c r="K57" s="33">
        <v>2862366.87</v>
      </c>
      <c r="L57" s="33">
        <v>2862366.87</v>
      </c>
      <c r="M57" s="33">
        <v>2862366.87</v>
      </c>
      <c r="N57" s="33">
        <v>2862366.87</v>
      </c>
      <c r="O57" s="33">
        <v>2862366.87</v>
      </c>
      <c r="P57" s="33">
        <v>2862366.87</v>
      </c>
      <c r="Q57" s="33">
        <v>2862366.87</v>
      </c>
      <c r="R57" s="33">
        <v>2862366.87</v>
      </c>
      <c r="S57" s="33">
        <v>2862366.87</v>
      </c>
      <c r="T57" s="33">
        <v>2862366.87</v>
      </c>
      <c r="U57" s="33">
        <v>2862366.87</v>
      </c>
      <c r="V57" s="33">
        <v>2862366.87</v>
      </c>
      <c r="W57" s="33">
        <v>2862366.87</v>
      </c>
      <c r="X57" s="33">
        <v>2862366.87</v>
      </c>
      <c r="Y57" s="33">
        <v>2862366.87</v>
      </c>
      <c r="Z57" s="33">
        <v>2862366.87</v>
      </c>
      <c r="AA57" s="33">
        <v>2862366.87</v>
      </c>
      <c r="AB57" s="33">
        <v>2862366.87</v>
      </c>
      <c r="AC57" s="33">
        <v>2862366.87</v>
      </c>
      <c r="AD57" s="33">
        <v>2862366.87</v>
      </c>
      <c r="AE57" s="33">
        <v>2862366.87</v>
      </c>
      <c r="AF57" s="33">
        <v>2862366.87</v>
      </c>
      <c r="AG57" s="33">
        <v>2862366.87</v>
      </c>
      <c r="AH57" s="33">
        <v>2862366.87</v>
      </c>
      <c r="AI57" s="33">
        <v>2862366.87</v>
      </c>
      <c r="AJ57" s="33">
        <v>2862366.87</v>
      </c>
      <c r="AK57" s="33">
        <v>2862366.87</v>
      </c>
      <c r="AL57" s="33">
        <v>2862366.87</v>
      </c>
      <c r="AM57" s="33">
        <v>2862366.87</v>
      </c>
      <c r="AN57" s="33">
        <v>2862366.87</v>
      </c>
      <c r="AO57" s="33">
        <v>2862366.87</v>
      </c>
      <c r="AP57" s="33">
        <v>2862366.87</v>
      </c>
      <c r="AQ57" s="33">
        <v>2862366.87</v>
      </c>
      <c r="AR57" s="33">
        <v>2862366.87</v>
      </c>
      <c r="AS57" s="33">
        <v>2862366.87</v>
      </c>
      <c r="AT57" s="33">
        <v>2862366.87</v>
      </c>
      <c r="AU57" s="33">
        <v>2862366.87</v>
      </c>
      <c r="AV57" s="33">
        <v>2862366.87</v>
      </c>
      <c r="AW57" s="33">
        <v>2862366.87</v>
      </c>
      <c r="AX57" s="33">
        <v>2862366.87</v>
      </c>
      <c r="AY57" s="33">
        <v>2862366.87</v>
      </c>
      <c r="AZ57" s="33">
        <v>2862366.87</v>
      </c>
      <c r="BA57" s="33">
        <v>2862366.87</v>
      </c>
      <c r="BB57" s="33">
        <v>2862366.87</v>
      </c>
      <c r="BC57" s="33">
        <v>2862366.87</v>
      </c>
      <c r="BD57" s="33">
        <v>2862366.87</v>
      </c>
      <c r="BE57" s="33">
        <v>2862366.87</v>
      </c>
      <c r="BF57" s="33">
        <v>2862366.87</v>
      </c>
      <c r="BG57" s="33">
        <v>2862366.87</v>
      </c>
      <c r="BH57" s="33">
        <v>2862366.87</v>
      </c>
    </row>
    <row r="58" spans="1:60" ht="21" customHeight="1" x14ac:dyDescent="0.25">
      <c r="A58" s="30" t="s">
        <v>97</v>
      </c>
      <c r="B58" s="31">
        <v>0</v>
      </c>
      <c r="C58" s="31">
        <v>0</v>
      </c>
      <c r="D58" s="31">
        <v>0</v>
      </c>
      <c r="E58" s="31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</row>
    <row r="59" spans="1:60" ht="21" customHeight="1" x14ac:dyDescent="0.25">
      <c r="A59" s="32" t="s">
        <v>98</v>
      </c>
      <c r="B59" s="33">
        <v>2862366.87</v>
      </c>
      <c r="C59" s="33">
        <v>2862366.87</v>
      </c>
      <c r="D59" s="33">
        <v>2862366.87</v>
      </c>
      <c r="E59" s="33">
        <v>2862366.87</v>
      </c>
      <c r="F59" s="33">
        <v>2862366.87</v>
      </c>
      <c r="G59" s="33">
        <v>2862366.87</v>
      </c>
      <c r="H59" s="33">
        <v>2862366.87</v>
      </c>
      <c r="I59" s="33">
        <v>2862366.87</v>
      </c>
      <c r="J59" s="33">
        <v>2862366.87</v>
      </c>
      <c r="K59" s="33">
        <v>2862366.87</v>
      </c>
      <c r="L59" s="33">
        <v>2862366.87</v>
      </c>
      <c r="M59" s="33">
        <v>2862366.87</v>
      </c>
      <c r="N59" s="33">
        <v>2862366.87</v>
      </c>
      <c r="O59" s="33">
        <v>2862366.87</v>
      </c>
      <c r="P59" s="33">
        <v>2862366.87</v>
      </c>
      <c r="Q59" s="33">
        <v>2862366.87</v>
      </c>
      <c r="R59" s="33">
        <v>2862366.87</v>
      </c>
      <c r="S59" s="33">
        <v>2862366.87</v>
      </c>
      <c r="T59" s="33">
        <v>2862366.87</v>
      </c>
      <c r="U59" s="33">
        <v>2862366.87</v>
      </c>
      <c r="V59" s="33">
        <v>2862366.87</v>
      </c>
      <c r="W59" s="33">
        <v>2862366.87</v>
      </c>
      <c r="X59" s="33">
        <v>2862366.87</v>
      </c>
      <c r="Y59" s="33">
        <v>2862366.87</v>
      </c>
      <c r="Z59" s="33">
        <v>2862366.87</v>
      </c>
      <c r="AA59" s="33">
        <v>2862366.87</v>
      </c>
      <c r="AB59" s="33">
        <v>2862366.87</v>
      </c>
      <c r="AC59" s="33">
        <v>2862366.87</v>
      </c>
      <c r="AD59" s="33">
        <v>2862366.87</v>
      </c>
      <c r="AE59" s="33">
        <v>2862366.87</v>
      </c>
      <c r="AF59" s="33">
        <v>2862366.87</v>
      </c>
      <c r="AG59" s="33">
        <v>2862366.87</v>
      </c>
      <c r="AH59" s="33">
        <v>2862366.87</v>
      </c>
      <c r="AI59" s="33">
        <v>2862366.87</v>
      </c>
      <c r="AJ59" s="33">
        <v>2862366.87</v>
      </c>
      <c r="AK59" s="33">
        <v>2862366.87</v>
      </c>
      <c r="AL59" s="33">
        <v>2862366.87</v>
      </c>
      <c r="AM59" s="33">
        <v>2862366.87</v>
      </c>
      <c r="AN59" s="33">
        <v>2862366.87</v>
      </c>
      <c r="AO59" s="33">
        <v>2862366.87</v>
      </c>
      <c r="AP59" s="33">
        <v>2862366.87</v>
      </c>
      <c r="AQ59" s="33">
        <v>2862366.87</v>
      </c>
      <c r="AR59" s="33">
        <v>2862366.87</v>
      </c>
      <c r="AS59" s="33">
        <v>2862366.87</v>
      </c>
      <c r="AT59" s="33">
        <v>2862366.87</v>
      </c>
      <c r="AU59" s="33">
        <v>2862366.87</v>
      </c>
      <c r="AV59" s="33">
        <v>2862366.87</v>
      </c>
      <c r="AW59" s="33">
        <v>2862366.87</v>
      </c>
      <c r="AX59" s="33">
        <v>2862366.87</v>
      </c>
      <c r="AY59" s="33">
        <v>2862366.87</v>
      </c>
      <c r="AZ59" s="33">
        <v>2862366.87</v>
      </c>
      <c r="BA59" s="33">
        <v>2862366.87</v>
      </c>
      <c r="BB59" s="33">
        <v>2862366.87</v>
      </c>
      <c r="BC59" s="33">
        <v>2862366.87</v>
      </c>
      <c r="BD59" s="33">
        <v>2862366.87</v>
      </c>
      <c r="BE59" s="33">
        <v>2862366.87</v>
      </c>
      <c r="BF59" s="33">
        <v>2862366.87</v>
      </c>
      <c r="BG59" s="33">
        <v>2862366.87</v>
      </c>
      <c r="BH59" s="33">
        <v>2862366.87</v>
      </c>
    </row>
    <row r="60" spans="1:60" ht="24" customHeight="1" x14ac:dyDescent="0.25">
      <c r="A60" s="19" t="s">
        <v>99</v>
      </c>
      <c r="B60" s="20">
        <v>1</v>
      </c>
      <c r="C60" s="20">
        <v>1.0002525304414003</v>
      </c>
      <c r="D60" s="20">
        <v>1.0005051246544245</v>
      </c>
      <c r="E60" s="20">
        <v>1.0007577826551768</v>
      </c>
      <c r="F60" s="20">
        <v>1.0010105044597655</v>
      </c>
      <c r="G60" s="20">
        <v>1.001263290084303</v>
      </c>
      <c r="H60" s="20">
        <v>1.0015161395449059</v>
      </c>
      <c r="I60" s="20">
        <v>1.0017690528576948</v>
      </c>
      <c r="J60" s="20">
        <v>1.0020220300387941</v>
      </c>
      <c r="K60" s="20">
        <v>1.0022750711043327</v>
      </c>
      <c r="L60" s="20">
        <v>1.002528176070443</v>
      </c>
      <c r="M60" s="20">
        <v>1.0027813449532623</v>
      </c>
      <c r="N60" s="20">
        <v>1.0030345777689313</v>
      </c>
      <c r="O60" s="20">
        <v>1.0032878745335951</v>
      </c>
      <c r="P60" s="20">
        <v>1.0035412352634026</v>
      </c>
      <c r="Q60" s="20">
        <v>1.0037946599745071</v>
      </c>
      <c r="R60" s="20">
        <v>1.0040481486830659</v>
      </c>
      <c r="S60" s="20">
        <v>1.0043017014052398</v>
      </c>
      <c r="T60" s="20">
        <v>1.0045553181571947</v>
      </c>
      <c r="U60" s="20">
        <v>1.0048089989550999</v>
      </c>
      <c r="V60" s="20">
        <v>1.0050627438151292</v>
      </c>
      <c r="W60" s="20">
        <v>1.0053165527534598</v>
      </c>
      <c r="X60" s="20">
        <v>1.0055704257862734</v>
      </c>
      <c r="Y60" s="20">
        <v>1.0058243629297565</v>
      </c>
      <c r="Z60" s="20">
        <v>1.0060783642000983</v>
      </c>
      <c r="AA60" s="20">
        <v>1.0063324296134932</v>
      </c>
      <c r="AB60" s="20">
        <v>1.0065865591861387</v>
      </c>
      <c r="AC60" s="20">
        <v>1.0068407529342378</v>
      </c>
      <c r="AD60" s="20">
        <v>1.007095010873996</v>
      </c>
      <c r="AE60" s="20">
        <v>1.0073493330216241</v>
      </c>
      <c r="AF60" s="20">
        <v>1.0076037193933363</v>
      </c>
      <c r="AG60" s="20">
        <v>1.0078581700053513</v>
      </c>
      <c r="AH60" s="20">
        <v>1.0081126848738915</v>
      </c>
      <c r="AI60" s="20">
        <v>1.008367264015184</v>
      </c>
      <c r="AJ60" s="20">
        <v>1.0086219074454594</v>
      </c>
      <c r="AK60" s="20">
        <v>1.0088766151809525</v>
      </c>
      <c r="AL60" s="20">
        <v>1.0091313872379026</v>
      </c>
      <c r="AM60" s="20">
        <v>1.0093862236325528</v>
      </c>
      <c r="AN60" s="20">
        <v>1.0096411243811501</v>
      </c>
      <c r="AO60" s="20">
        <v>1.009896089499946</v>
      </c>
      <c r="AP60" s="20">
        <v>1.0101511190051959</v>
      </c>
      <c r="AQ60" s="20">
        <v>1.0104062129131592</v>
      </c>
      <c r="AR60" s="20">
        <v>1.0106613712400998</v>
      </c>
      <c r="AS60" s="20">
        <v>1.0109165940022853</v>
      </c>
      <c r="AT60" s="20">
        <v>1.0111718812159876</v>
      </c>
      <c r="AU60" s="20">
        <v>1.0114272328974827</v>
      </c>
      <c r="AV60" s="20">
        <v>1.0116826490630506</v>
      </c>
      <c r="AW60" s="20">
        <v>1.0119381297289756</v>
      </c>
      <c r="AX60" s="20">
        <v>1.0121936749115459</v>
      </c>
      <c r="AY60" s="20">
        <v>1.0124492846270539</v>
      </c>
      <c r="AZ60" s="20">
        <v>1.012704958891796</v>
      </c>
      <c r="BA60" s="20">
        <v>1.0129606977220733</v>
      </c>
      <c r="BB60" s="20">
        <v>1.0132165011341903</v>
      </c>
      <c r="BC60" s="20">
        <v>1.0134723691444556</v>
      </c>
      <c r="BD60" s="20">
        <v>1.0137283017691827</v>
      </c>
      <c r="BE60" s="20">
        <v>1.0139842990246883</v>
      </c>
      <c r="BF60" s="20">
        <v>1.0142403609272941</v>
      </c>
      <c r="BG60" s="20">
        <v>1.0144964874933251</v>
      </c>
      <c r="BH60" s="20">
        <v>1.0147526787391108</v>
      </c>
    </row>
    <row r="61" spans="1:60" ht="21" customHeight="1" x14ac:dyDescent="0.25">
      <c r="A61" s="32" t="s">
        <v>100</v>
      </c>
      <c r="B61" s="33">
        <v>958.09779954166686</v>
      </c>
      <c r="C61" s="33">
        <v>958.33974840188966</v>
      </c>
      <c r="D61" s="33">
        <v>958.58175836156511</v>
      </c>
      <c r="E61" s="33">
        <v>958.82382943612254</v>
      </c>
      <c r="F61" s="33">
        <v>959.06596164099517</v>
      </c>
      <c r="G61" s="33">
        <v>959.30815499162031</v>
      </c>
      <c r="H61" s="33">
        <v>959.55040950343937</v>
      </c>
      <c r="I61" s="33">
        <v>959.79272519189703</v>
      </c>
      <c r="J61" s="33">
        <v>960.03510207244256</v>
      </c>
      <c r="K61" s="33">
        <v>960.2775401605287</v>
      </c>
      <c r="L61" s="33">
        <v>960.52003947161222</v>
      </c>
      <c r="M61" s="33">
        <v>960.76260002115384</v>
      </c>
      <c r="N61" s="33">
        <v>961.00522182461805</v>
      </c>
      <c r="O61" s="33">
        <v>961.2479048974734</v>
      </c>
      <c r="P61" s="33">
        <v>961.49064925519224</v>
      </c>
      <c r="Q61" s="33">
        <v>961.73345491325097</v>
      </c>
      <c r="R61" s="33">
        <v>961.97632188712964</v>
      </c>
      <c r="S61" s="33">
        <v>962.21925019231242</v>
      </c>
      <c r="T61" s="33">
        <v>962.4622398442873</v>
      </c>
      <c r="U61" s="33">
        <v>962.70529085854628</v>
      </c>
      <c r="V61" s="33">
        <v>962.94840325058522</v>
      </c>
      <c r="W61" s="33">
        <v>963.19157703590372</v>
      </c>
      <c r="X61" s="33">
        <v>963.4348122300056</v>
      </c>
      <c r="Y61" s="33">
        <v>963.67810884839844</v>
      </c>
      <c r="Z61" s="33">
        <v>963.92146690659388</v>
      </c>
      <c r="AA61" s="33">
        <v>964.16488642010711</v>
      </c>
      <c r="AB61" s="33">
        <v>964.40836740445729</v>
      </c>
      <c r="AC61" s="33">
        <v>964.65190987516814</v>
      </c>
      <c r="AD61" s="33">
        <v>964.89551384776667</v>
      </c>
      <c r="AE61" s="33">
        <v>965.13917933778373</v>
      </c>
      <c r="AF61" s="33">
        <v>965.38290636075453</v>
      </c>
      <c r="AG61" s="33">
        <v>965.62669493221813</v>
      </c>
      <c r="AH61" s="33">
        <v>965.87054506771722</v>
      </c>
      <c r="AI61" s="33">
        <v>966.1144567827987</v>
      </c>
      <c r="AJ61" s="33">
        <v>966.35843009301334</v>
      </c>
      <c r="AK61" s="33">
        <v>966.60246501391566</v>
      </c>
      <c r="AL61" s="33">
        <v>966.84656156106428</v>
      </c>
      <c r="AM61" s="33">
        <v>967.09071975002155</v>
      </c>
      <c r="AN61" s="33">
        <v>967.33493959635427</v>
      </c>
      <c r="AO61" s="33">
        <v>967.57922111563244</v>
      </c>
      <c r="AP61" s="33">
        <v>967.82356432343056</v>
      </c>
      <c r="AQ61" s="33">
        <v>968.06796923532681</v>
      </c>
      <c r="AR61" s="33">
        <v>968.31243586690334</v>
      </c>
      <c r="AS61" s="33">
        <v>968.55696423374616</v>
      </c>
      <c r="AT61" s="33">
        <v>968.80155435144536</v>
      </c>
      <c r="AU61" s="33">
        <v>969.04620623559504</v>
      </c>
      <c r="AV61" s="33">
        <v>969.29091990179302</v>
      </c>
      <c r="AW61" s="33">
        <v>969.53569536564123</v>
      </c>
      <c r="AX61" s="33">
        <v>969.78053264274524</v>
      </c>
      <c r="AY61" s="33">
        <v>970.02543174871494</v>
      </c>
      <c r="AZ61" s="33">
        <v>970.27039269916395</v>
      </c>
      <c r="BA61" s="33">
        <v>970.5154155097099</v>
      </c>
      <c r="BB61" s="33">
        <v>970.76050019597437</v>
      </c>
      <c r="BC61" s="33">
        <v>971.00564677358284</v>
      </c>
      <c r="BD61" s="33">
        <v>971.25085525816473</v>
      </c>
      <c r="BE61" s="33">
        <v>971.49612566535347</v>
      </c>
      <c r="BF61" s="33">
        <v>971.74145801078635</v>
      </c>
      <c r="BG61" s="33">
        <v>971.98685231010484</v>
      </c>
      <c r="BH61" s="33">
        <v>972.23230857895408</v>
      </c>
    </row>
    <row r="62" spans="1:60" ht="21" customHeight="1" x14ac:dyDescent="0.25">
      <c r="A62" s="32" t="s">
        <v>101</v>
      </c>
      <c r="B62" s="33">
        <v>2863089.7047691308</v>
      </c>
      <c r="C62" s="33">
        <v>2863812.7220760449</v>
      </c>
      <c r="D62" s="33">
        <v>2864535.9219668387</v>
      </c>
      <c r="E62" s="33">
        <v>2865259.30448762</v>
      </c>
      <c r="F62" s="33">
        <v>2865982.8696845085</v>
      </c>
      <c r="G62" s="33">
        <v>2866706.6176036359</v>
      </c>
      <c r="H62" s="33">
        <v>2867430.5482911444</v>
      </c>
      <c r="I62" s="33">
        <v>2868154.6617931891</v>
      </c>
      <c r="J62" s="33">
        <v>2868878.9581559361</v>
      </c>
      <c r="K62" s="33">
        <v>2869603.4374255631</v>
      </c>
      <c r="L62" s="33">
        <v>2870328.09964826</v>
      </c>
      <c r="M62" s="33">
        <v>2871052.9448702279</v>
      </c>
      <c r="N62" s="33">
        <v>2871777.9731376795</v>
      </c>
      <c r="O62" s="33">
        <v>2872503.1844968395</v>
      </c>
      <c r="P62" s="33">
        <v>2873228.5789939445</v>
      </c>
      <c r="Q62" s="33">
        <v>2873954.1566752419</v>
      </c>
      <c r="R62" s="33">
        <v>2874679.9175869911</v>
      </c>
      <c r="S62" s="33">
        <v>2875405.8617754639</v>
      </c>
      <c r="T62" s="33">
        <v>2876131.9892869429</v>
      </c>
      <c r="U62" s="33">
        <v>2876858.3001677231</v>
      </c>
      <c r="V62" s="33">
        <v>2877584.7944641104</v>
      </c>
      <c r="W62" s="33">
        <v>2878311.4722224232</v>
      </c>
      <c r="X62" s="33">
        <v>2879038.333488991</v>
      </c>
      <c r="Y62" s="33">
        <v>2879765.3783101556</v>
      </c>
      <c r="Z62" s="33">
        <v>2880492.6067322697</v>
      </c>
      <c r="AA62" s="33">
        <v>2881220.018801698</v>
      </c>
      <c r="AB62" s="33">
        <v>2881947.6145648174</v>
      </c>
      <c r="AC62" s="33">
        <v>2882675.3940680162</v>
      </c>
      <c r="AD62" s="33">
        <v>2883403.3573576938</v>
      </c>
      <c r="AE62" s="33">
        <v>2884131.5044802623</v>
      </c>
      <c r="AF62" s="33">
        <v>2884859.8354821452</v>
      </c>
      <c r="AG62" s="33">
        <v>2885588.3504097774</v>
      </c>
      <c r="AH62" s="33">
        <v>2886317.0493096057</v>
      </c>
      <c r="AI62" s="33">
        <v>2887045.9322280893</v>
      </c>
      <c r="AJ62" s="33">
        <v>2887774.9992116978</v>
      </c>
      <c r="AK62" s="33">
        <v>2888504.2503069136</v>
      </c>
      <c r="AL62" s="33">
        <v>2889233.6855602302</v>
      </c>
      <c r="AM62" s="33">
        <v>2889963.3050181535</v>
      </c>
      <c r="AN62" s="33">
        <v>2890693.1087272004</v>
      </c>
      <c r="AO62" s="33">
        <v>2891423.0967339003</v>
      </c>
      <c r="AP62" s="33">
        <v>2892153.2690847935</v>
      </c>
      <c r="AQ62" s="33">
        <v>2892883.6258264328</v>
      </c>
      <c r="AR62" s="33">
        <v>2893614.1670053825</v>
      </c>
      <c r="AS62" s="33">
        <v>2894344.8926682184</v>
      </c>
      <c r="AT62" s="33">
        <v>2895075.8028615285</v>
      </c>
      <c r="AU62" s="33">
        <v>2895806.8976319125</v>
      </c>
      <c r="AV62" s="33">
        <v>2896538.1770259817</v>
      </c>
      <c r="AW62" s="33">
        <v>2897269.6410903591</v>
      </c>
      <c r="AX62" s="33">
        <v>2898001.2898716792</v>
      </c>
      <c r="AY62" s="33">
        <v>2898733.1234165891</v>
      </c>
      <c r="AZ62" s="33">
        <v>2899465.1417717473</v>
      </c>
      <c r="BA62" s="33">
        <v>2900197.3449838236</v>
      </c>
      <c r="BB62" s="33">
        <v>2900929.7330995002</v>
      </c>
      <c r="BC62" s="33">
        <v>2901662.3061654712</v>
      </c>
      <c r="BD62" s="33">
        <v>2902395.0642284416</v>
      </c>
      <c r="BE62" s="33">
        <v>2903128.0073351292</v>
      </c>
      <c r="BF62" s="33">
        <v>2903861.1355322632</v>
      </c>
      <c r="BG62" s="33">
        <v>2904594.4488665843</v>
      </c>
      <c r="BH62" s="33">
        <v>2905327.9473848455</v>
      </c>
    </row>
    <row r="63" spans="1:60" ht="21" customHeight="1" x14ac:dyDescent="0.25">
      <c r="A63" s="34" t="s">
        <v>102</v>
      </c>
      <c r="B63" s="35">
        <v>78.421010136986311</v>
      </c>
      <c r="C63" s="35">
        <v>78.440813829291258</v>
      </c>
      <c r="D63" s="35">
        <v>78.460622522631368</v>
      </c>
      <c r="E63" s="35">
        <v>78.48043621826956</v>
      </c>
      <c r="F63" s="35">
        <v>78.50025491746905</v>
      </c>
      <c r="G63" s="35">
        <v>78.520078621493383</v>
      </c>
      <c r="H63" s="35">
        <v>78.539907331606472</v>
      </c>
      <c r="I63" s="35">
        <v>78.559741049072457</v>
      </c>
      <c r="J63" s="35">
        <v>78.579579775155864</v>
      </c>
      <c r="K63" s="35">
        <v>78.599423511121543</v>
      </c>
      <c r="L63" s="35">
        <v>78.619272258234602</v>
      </c>
      <c r="M63" s="35">
        <v>78.639126017760546</v>
      </c>
      <c r="N63" s="35">
        <v>78.65898479096515</v>
      </c>
      <c r="O63" s="35">
        <v>78.678848579114515</v>
      </c>
      <c r="P63" s="35">
        <v>78.698717383475056</v>
      </c>
      <c r="Q63" s="35">
        <v>78.718591205313544</v>
      </c>
      <c r="R63" s="35">
        <v>78.738470045897046</v>
      </c>
      <c r="S63" s="35">
        <v>78.758353906492914</v>
      </c>
      <c r="T63" s="35">
        <v>78.778242788368871</v>
      </c>
      <c r="U63" s="35">
        <v>78.798136692792951</v>
      </c>
      <c r="V63" s="35">
        <v>78.818035621033516</v>
      </c>
      <c r="W63" s="35">
        <v>78.837939574359197</v>
      </c>
      <c r="X63" s="35">
        <v>78.857848554038995</v>
      </c>
      <c r="Y63" s="35">
        <v>78.877762561342223</v>
      </c>
      <c r="Z63" s="35">
        <v>78.897681597538508</v>
      </c>
      <c r="AA63" s="35">
        <v>78.917605663897803</v>
      </c>
      <c r="AB63" s="35">
        <v>78.937534761690358</v>
      </c>
      <c r="AC63" s="35">
        <v>78.957468892186782</v>
      </c>
      <c r="AD63" s="35">
        <v>78.977408056657978</v>
      </c>
      <c r="AE63" s="35">
        <v>78.99735225637518</v>
      </c>
      <c r="AF63" s="35">
        <v>79.017301492609931</v>
      </c>
      <c r="AG63" s="35">
        <v>79.037255766634118</v>
      </c>
      <c r="AH63" s="35">
        <v>79.057215079719924</v>
      </c>
      <c r="AI63" s="35">
        <v>79.077179433139889</v>
      </c>
      <c r="AJ63" s="35">
        <v>79.097148828166837</v>
      </c>
      <c r="AK63" s="35">
        <v>79.117123266073918</v>
      </c>
      <c r="AL63" s="35">
        <v>79.137102748134623</v>
      </c>
      <c r="AM63" s="35">
        <v>79.157087275622743</v>
      </c>
      <c r="AN63" s="35">
        <v>79.177076849812423</v>
      </c>
      <c r="AO63" s="35">
        <v>79.197071471978091</v>
      </c>
      <c r="AP63" s="35">
        <v>79.217071143394534</v>
      </c>
      <c r="AQ63" s="35">
        <v>79.237075865336806</v>
      </c>
      <c r="AR63" s="35">
        <v>79.257085639080358</v>
      </c>
      <c r="AS63" s="35">
        <v>79.277100465900887</v>
      </c>
      <c r="AT63" s="35">
        <v>79.297120347074483</v>
      </c>
      <c r="AU63" s="35">
        <v>79.317145283877494</v>
      </c>
      <c r="AV63" s="35">
        <v>79.337175277586653</v>
      </c>
      <c r="AW63" s="35">
        <v>79.35721032947896</v>
      </c>
      <c r="AX63" s="35">
        <v>79.377250440831759</v>
      </c>
      <c r="AY63" s="35">
        <v>79.397295612922719</v>
      </c>
      <c r="AZ63" s="35">
        <v>79.417345847029836</v>
      </c>
      <c r="BA63" s="35">
        <v>79.437401144431433</v>
      </c>
      <c r="BB63" s="35">
        <v>79.457461506406133</v>
      </c>
      <c r="BC63" s="35">
        <v>79.477526934232884</v>
      </c>
      <c r="BD63" s="35">
        <v>79.497597429190989</v>
      </c>
      <c r="BE63" s="35">
        <v>79.517672992560051</v>
      </c>
      <c r="BF63" s="35">
        <v>79.537753625619985</v>
      </c>
      <c r="BG63" s="35">
        <v>79.557839329651046</v>
      </c>
      <c r="BH63" s="35">
        <v>79.577930105933817</v>
      </c>
    </row>
    <row r="64" spans="1:60" ht="21" customHeight="1" x14ac:dyDescent="0.25">
      <c r="A64" s="34" t="s">
        <v>103</v>
      </c>
      <c r="B64" s="35">
        <v>156.84202027397262</v>
      </c>
      <c r="C64" s="35">
        <v>156.88162765858252</v>
      </c>
      <c r="D64" s="35">
        <v>156.92124504526274</v>
      </c>
      <c r="E64" s="35">
        <v>156.96087243653912</v>
      </c>
      <c r="F64" s="35">
        <v>157.0005098349381</v>
      </c>
      <c r="G64" s="35">
        <v>157.04015724298677</v>
      </c>
      <c r="H64" s="35">
        <v>157.07981466321294</v>
      </c>
      <c r="I64" s="35">
        <v>157.11948209814491</v>
      </c>
      <c r="J64" s="35">
        <v>157.15915955031173</v>
      </c>
      <c r="K64" s="35">
        <v>157.19884702224309</v>
      </c>
      <c r="L64" s="35">
        <v>157.2385445164692</v>
      </c>
      <c r="M64" s="35">
        <v>157.27825203552109</v>
      </c>
      <c r="N64" s="35">
        <v>157.3179695819303</v>
      </c>
      <c r="O64" s="35">
        <v>157.35769715822903</v>
      </c>
      <c r="P64" s="35">
        <v>157.39743476695011</v>
      </c>
      <c r="Q64" s="35">
        <v>157.43718241062709</v>
      </c>
      <c r="R64" s="35">
        <v>157.47694009179409</v>
      </c>
      <c r="S64" s="35">
        <v>157.51670781298583</v>
      </c>
      <c r="T64" s="35">
        <v>157.55648557673774</v>
      </c>
      <c r="U64" s="35">
        <v>157.5962733855859</v>
      </c>
      <c r="V64" s="35">
        <v>157.63607124206703</v>
      </c>
      <c r="W64" s="35">
        <v>157.67587914871839</v>
      </c>
      <c r="X64" s="35">
        <v>157.71569710807799</v>
      </c>
      <c r="Y64" s="35">
        <v>157.75552512268445</v>
      </c>
      <c r="Z64" s="35">
        <v>157.79536319507702</v>
      </c>
      <c r="AA64" s="35">
        <v>157.83521132779561</v>
      </c>
      <c r="AB64" s="35">
        <v>157.87506952338072</v>
      </c>
      <c r="AC64" s="35">
        <v>157.91493778437356</v>
      </c>
      <c r="AD64" s="35">
        <v>157.95481611331596</v>
      </c>
      <c r="AE64" s="35">
        <v>157.99470451275036</v>
      </c>
      <c r="AF64" s="35">
        <v>158.03460298521986</v>
      </c>
      <c r="AG64" s="35">
        <v>158.07451153326824</v>
      </c>
      <c r="AH64" s="35">
        <v>158.11443015943985</v>
      </c>
      <c r="AI64" s="35">
        <v>158.15435886627978</v>
      </c>
      <c r="AJ64" s="35">
        <v>158.19429765633367</v>
      </c>
      <c r="AK64" s="35">
        <v>158.23424653214784</v>
      </c>
      <c r="AL64" s="35">
        <v>158.27420549626925</v>
      </c>
      <c r="AM64" s="35">
        <v>158.31417455124549</v>
      </c>
      <c r="AN64" s="35">
        <v>158.35415369962485</v>
      </c>
      <c r="AO64" s="35">
        <v>158.39414294395618</v>
      </c>
      <c r="AP64" s="35">
        <v>158.43414228678907</v>
      </c>
      <c r="AQ64" s="35">
        <v>158.47415173067361</v>
      </c>
      <c r="AR64" s="35">
        <v>158.51417127816072</v>
      </c>
      <c r="AS64" s="35">
        <v>158.55420093180177</v>
      </c>
      <c r="AT64" s="35">
        <v>158.59424069414897</v>
      </c>
      <c r="AU64" s="35">
        <v>158.63429056775499</v>
      </c>
      <c r="AV64" s="35">
        <v>158.67435055517331</v>
      </c>
      <c r="AW64" s="35">
        <v>158.71442065895792</v>
      </c>
      <c r="AX64" s="35">
        <v>158.75450088166352</v>
      </c>
      <c r="AY64" s="35">
        <v>158.79459122584544</v>
      </c>
      <c r="AZ64" s="35">
        <v>158.83469169405967</v>
      </c>
      <c r="BA64" s="35">
        <v>158.87480228886287</v>
      </c>
      <c r="BB64" s="35">
        <v>158.91492301281227</v>
      </c>
      <c r="BC64" s="35">
        <v>158.95505386846577</v>
      </c>
      <c r="BD64" s="35">
        <v>158.99519485838198</v>
      </c>
      <c r="BE64" s="35">
        <v>159.0353459851201</v>
      </c>
      <c r="BF64" s="35">
        <v>159.07550725123997</v>
      </c>
      <c r="BG64" s="35">
        <v>159.11567865930209</v>
      </c>
      <c r="BH64" s="35">
        <v>159.15586021186763</v>
      </c>
    </row>
    <row r="65" spans="1:60" ht="21" customHeight="1" x14ac:dyDescent="0.25">
      <c r="A65" s="34" t="s">
        <v>104</v>
      </c>
      <c r="B65" s="35">
        <v>0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  <c r="AB65" s="35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0</v>
      </c>
      <c r="AI65" s="35">
        <v>0</v>
      </c>
      <c r="AJ65" s="35">
        <v>0</v>
      </c>
      <c r="AK65" s="35">
        <v>0</v>
      </c>
      <c r="AL65" s="35">
        <v>0</v>
      </c>
      <c r="AM65" s="35">
        <v>0</v>
      </c>
      <c r="AN65" s="35">
        <v>0</v>
      </c>
      <c r="AO65" s="35">
        <v>0</v>
      </c>
      <c r="AP65" s="35">
        <v>0</v>
      </c>
      <c r="AQ65" s="35">
        <v>0</v>
      </c>
      <c r="AR65" s="35">
        <v>0</v>
      </c>
      <c r="AS65" s="35">
        <v>0</v>
      </c>
      <c r="AT65" s="35">
        <v>0</v>
      </c>
      <c r="AU65" s="35">
        <v>0</v>
      </c>
      <c r="AV65" s="35">
        <v>0</v>
      </c>
      <c r="AW65" s="35">
        <v>0</v>
      </c>
      <c r="AX65" s="35">
        <v>0</v>
      </c>
      <c r="AY65" s="35">
        <v>0</v>
      </c>
      <c r="AZ65" s="35">
        <v>0</v>
      </c>
      <c r="BA65" s="35">
        <v>0</v>
      </c>
      <c r="BB65" s="35">
        <v>0</v>
      </c>
      <c r="BC65" s="35">
        <v>0</v>
      </c>
      <c r="BD65" s="35">
        <v>0</v>
      </c>
      <c r="BE65" s="35">
        <v>0</v>
      </c>
      <c r="BF65" s="35">
        <v>0</v>
      </c>
      <c r="BG65" s="35">
        <v>0</v>
      </c>
      <c r="BH65" s="35">
        <v>0</v>
      </c>
    </row>
    <row r="66" spans="1:60" ht="21" customHeight="1" x14ac:dyDescent="0.25">
      <c r="A66" s="36" t="s">
        <v>105</v>
      </c>
      <c r="B66" s="37">
        <v>722.83476913070785</v>
      </c>
      <c r="C66" s="37">
        <v>723.01730691401588</v>
      </c>
      <c r="D66" s="37">
        <v>723.19989079367099</v>
      </c>
      <c r="E66" s="37">
        <v>723.38252078131381</v>
      </c>
      <c r="F66" s="37">
        <v>723.56519688858805</v>
      </c>
      <c r="G66" s="37">
        <v>723.74791912714022</v>
      </c>
      <c r="H66" s="37">
        <v>723.93068750861994</v>
      </c>
      <c r="I66" s="37">
        <v>724.11350204467965</v>
      </c>
      <c r="J66" s="37">
        <v>724.29636274697498</v>
      </c>
      <c r="K66" s="37">
        <v>724.47926962716406</v>
      </c>
      <c r="L66" s="37">
        <v>724.66222269690843</v>
      </c>
      <c r="M66" s="37">
        <v>724.84522196787225</v>
      </c>
      <c r="N66" s="37">
        <v>725.02826745172263</v>
      </c>
      <c r="O66" s="37">
        <v>725.21135916012986</v>
      </c>
      <c r="P66" s="37">
        <v>725.39449710476708</v>
      </c>
      <c r="Q66" s="37">
        <v>725.57768129731039</v>
      </c>
      <c r="R66" s="37">
        <v>725.76091174943849</v>
      </c>
      <c r="S66" s="37">
        <v>725.94418847283373</v>
      </c>
      <c r="T66" s="37">
        <v>726.12751147918061</v>
      </c>
      <c r="U66" s="37">
        <v>726.31088078016739</v>
      </c>
      <c r="V66" s="37">
        <v>726.49429638748461</v>
      </c>
      <c r="W66" s="37">
        <v>726.6777583128262</v>
      </c>
      <c r="X66" s="37">
        <v>726.86126656788861</v>
      </c>
      <c r="Y66" s="37">
        <v>727.0448211643718</v>
      </c>
      <c r="Z66" s="37">
        <v>727.22842211397835</v>
      </c>
      <c r="AA66" s="37">
        <v>727.4120694284137</v>
      </c>
      <c r="AB66" s="37">
        <v>727.59576311938622</v>
      </c>
      <c r="AC66" s="37">
        <v>727.77950319860781</v>
      </c>
      <c r="AD66" s="37">
        <v>727.96328967779277</v>
      </c>
      <c r="AE66" s="37">
        <v>728.14712256865823</v>
      </c>
      <c r="AF66" s="37">
        <v>728.33100188292474</v>
      </c>
      <c r="AG66" s="37">
        <v>728.51492763231579</v>
      </c>
      <c r="AH66" s="37">
        <v>728.69889982855739</v>
      </c>
      <c r="AI66" s="37">
        <v>728.88291848337906</v>
      </c>
      <c r="AJ66" s="37">
        <v>729.06698360851283</v>
      </c>
      <c r="AK66" s="37">
        <v>729.25109521569391</v>
      </c>
      <c r="AL66" s="37">
        <v>729.43525331666046</v>
      </c>
      <c r="AM66" s="37">
        <v>729.61945792315328</v>
      </c>
      <c r="AN66" s="37">
        <v>729.80370904691699</v>
      </c>
      <c r="AO66" s="37">
        <v>729.98800669969819</v>
      </c>
      <c r="AP66" s="37">
        <v>730.17235089324697</v>
      </c>
      <c r="AQ66" s="37">
        <v>730.3567416393164</v>
      </c>
      <c r="AR66" s="37">
        <v>730.54117894966225</v>
      </c>
      <c r="AS66" s="37">
        <v>730.72566283604351</v>
      </c>
      <c r="AT66" s="37">
        <v>730.91019331022198</v>
      </c>
      <c r="AU66" s="37">
        <v>731.09477038396255</v>
      </c>
      <c r="AV66" s="37">
        <v>731.27939406903306</v>
      </c>
      <c r="AW66" s="37">
        <v>731.46406437720429</v>
      </c>
      <c r="AX66" s="37">
        <v>731.64878132025001</v>
      </c>
      <c r="AY66" s="37">
        <v>731.8335449099468</v>
      </c>
      <c r="AZ66" s="37">
        <v>732.01835515807443</v>
      </c>
      <c r="BA66" s="37">
        <v>732.20321207641564</v>
      </c>
      <c r="BB66" s="37">
        <v>732.388115676756</v>
      </c>
      <c r="BC66" s="37">
        <v>732.57306597088416</v>
      </c>
      <c r="BD66" s="37">
        <v>732.75806297059171</v>
      </c>
      <c r="BE66" s="37">
        <v>732.94310668767332</v>
      </c>
      <c r="BF66" s="37">
        <v>733.12819713392639</v>
      </c>
      <c r="BG66" s="37">
        <v>733.31333432115173</v>
      </c>
      <c r="BH66" s="37">
        <v>733.49851826115264</v>
      </c>
    </row>
    <row r="67" spans="1:60" ht="24" customHeight="1" x14ac:dyDescent="0.25">
      <c r="A67" s="38" t="s">
        <v>106</v>
      </c>
      <c r="B67" s="39">
        <v>2863089.7047691308</v>
      </c>
      <c r="C67" s="39">
        <v>2863812.7220760449</v>
      </c>
      <c r="D67" s="39">
        <v>2864535.9219668387</v>
      </c>
      <c r="E67" s="39">
        <v>2865259.30448762</v>
      </c>
      <c r="F67" s="39">
        <v>2865982.8696845085</v>
      </c>
      <c r="G67" s="39">
        <v>2866706.6176036359</v>
      </c>
      <c r="H67" s="39">
        <v>2867430.5482911444</v>
      </c>
      <c r="I67" s="39">
        <v>2868154.6617931891</v>
      </c>
      <c r="J67" s="39">
        <v>2868878.9581559361</v>
      </c>
      <c r="K67" s="39">
        <v>2869603.4374255631</v>
      </c>
      <c r="L67" s="39">
        <v>2870328.09964826</v>
      </c>
      <c r="M67" s="39">
        <v>2871052.9448702279</v>
      </c>
      <c r="N67" s="39">
        <v>2871777.9731376795</v>
      </c>
      <c r="O67" s="39">
        <v>2872503.1844968395</v>
      </c>
      <c r="P67" s="39">
        <v>2873228.5789939445</v>
      </c>
      <c r="Q67" s="39">
        <v>2873954.1566752419</v>
      </c>
      <c r="R67" s="39">
        <v>2874679.9175869911</v>
      </c>
      <c r="S67" s="39">
        <v>2875405.8617754639</v>
      </c>
      <c r="T67" s="39">
        <v>2876131.9892869429</v>
      </c>
      <c r="U67" s="39">
        <v>2876858.3001677231</v>
      </c>
      <c r="V67" s="39">
        <v>2877584.7944641104</v>
      </c>
      <c r="W67" s="39">
        <v>2878311.4722224232</v>
      </c>
      <c r="X67" s="39">
        <v>2879038.333488991</v>
      </c>
      <c r="Y67" s="39">
        <v>2879765.3783101556</v>
      </c>
      <c r="Z67" s="39">
        <v>2880492.6067322697</v>
      </c>
      <c r="AA67" s="39">
        <v>2881220.018801698</v>
      </c>
      <c r="AB67" s="39">
        <v>2881947.6145648174</v>
      </c>
      <c r="AC67" s="39">
        <v>2882675.3940680162</v>
      </c>
      <c r="AD67" s="39">
        <v>2883403.3573576938</v>
      </c>
      <c r="AE67" s="39">
        <v>2884131.5044802623</v>
      </c>
      <c r="AF67" s="39">
        <v>2884859.8354821452</v>
      </c>
      <c r="AG67" s="39">
        <v>2885588.3504097774</v>
      </c>
      <c r="AH67" s="39">
        <v>2886317.0493096057</v>
      </c>
      <c r="AI67" s="39">
        <v>2887045.9322280893</v>
      </c>
      <c r="AJ67" s="39">
        <v>2887774.9992116978</v>
      </c>
      <c r="AK67" s="39">
        <v>2888504.2503069136</v>
      </c>
      <c r="AL67" s="39">
        <v>2889233.6855602302</v>
      </c>
      <c r="AM67" s="39">
        <v>2889963.3050181535</v>
      </c>
      <c r="AN67" s="39">
        <v>2890693.1087272004</v>
      </c>
      <c r="AO67" s="39">
        <v>2891423.0967339003</v>
      </c>
      <c r="AP67" s="39">
        <v>2892153.2690847935</v>
      </c>
      <c r="AQ67" s="39">
        <v>2892883.6258264328</v>
      </c>
      <c r="AR67" s="39">
        <v>2893614.1670053825</v>
      </c>
      <c r="AS67" s="39">
        <v>2894344.8926682184</v>
      </c>
      <c r="AT67" s="39">
        <v>2895075.8028615285</v>
      </c>
      <c r="AU67" s="39">
        <v>2895806.8976319125</v>
      </c>
      <c r="AV67" s="39">
        <v>2896538.1770259817</v>
      </c>
      <c r="AW67" s="39">
        <v>2897269.6410903591</v>
      </c>
      <c r="AX67" s="39">
        <v>2898001.2898716792</v>
      </c>
      <c r="AY67" s="39">
        <v>2898733.1234165891</v>
      </c>
      <c r="AZ67" s="39">
        <v>2899465.1417717473</v>
      </c>
      <c r="BA67" s="39">
        <v>2900197.3449838236</v>
      </c>
      <c r="BB67" s="39">
        <v>2900929.7330995002</v>
      </c>
      <c r="BC67" s="39">
        <v>2901662.3061654712</v>
      </c>
      <c r="BD67" s="39">
        <v>2902395.0642284416</v>
      </c>
      <c r="BE67" s="39">
        <v>2903128.0073351292</v>
      </c>
      <c r="BF67" s="39">
        <v>2903861.1355322632</v>
      </c>
      <c r="BG67" s="39">
        <v>2904594.4488665843</v>
      </c>
      <c r="BH67" s="39">
        <v>2905327.9473848455</v>
      </c>
    </row>
    <row r="68" spans="1:60" ht="24" customHeight="1" x14ac:dyDescent="0.25">
      <c r="A68" s="19" t="s">
        <v>107</v>
      </c>
      <c r="B68" s="20">
        <v>1.0002525304414003</v>
      </c>
      <c r="C68" s="20">
        <v>1.0005051246544245</v>
      </c>
      <c r="D68" s="20">
        <v>1.0007577826551768</v>
      </c>
      <c r="E68" s="20">
        <v>1.0010105044597655</v>
      </c>
      <c r="F68" s="20">
        <v>1.001263290084303</v>
      </c>
      <c r="G68" s="20">
        <v>1.0015161395449059</v>
      </c>
      <c r="H68" s="20">
        <v>1.0017690528576948</v>
      </c>
      <c r="I68" s="20">
        <v>1.0020220300387941</v>
      </c>
      <c r="J68" s="20">
        <v>1.0022750711043327</v>
      </c>
      <c r="K68" s="20">
        <v>1.002528176070443</v>
      </c>
      <c r="L68" s="20">
        <v>1.0027813449532623</v>
      </c>
      <c r="M68" s="20">
        <v>1.0030345777689313</v>
      </c>
      <c r="N68" s="20">
        <v>1.0032878745335951</v>
      </c>
      <c r="O68" s="20">
        <v>1.0035412352634026</v>
      </c>
      <c r="P68" s="20">
        <v>1.0037946599745071</v>
      </c>
      <c r="Q68" s="20">
        <v>1.0040481486830659</v>
      </c>
      <c r="R68" s="20">
        <v>1.0043017014052398</v>
      </c>
      <c r="S68" s="20">
        <v>1.0045553181571947</v>
      </c>
      <c r="T68" s="20">
        <v>1.0048089989550999</v>
      </c>
      <c r="U68" s="20">
        <v>1.0050627438151292</v>
      </c>
      <c r="V68" s="20">
        <v>1.0053165527534598</v>
      </c>
      <c r="W68" s="20">
        <v>1.0055704257862734</v>
      </c>
      <c r="X68" s="20">
        <v>1.0058243629297565</v>
      </c>
      <c r="Y68" s="20">
        <v>1.0060783642000983</v>
      </c>
      <c r="Z68" s="20">
        <v>1.0063324296134932</v>
      </c>
      <c r="AA68" s="20">
        <v>1.0065865591861387</v>
      </c>
      <c r="AB68" s="20">
        <v>1.0068407529342378</v>
      </c>
      <c r="AC68" s="20">
        <v>1.007095010873996</v>
      </c>
      <c r="AD68" s="20">
        <v>1.0073493330216241</v>
      </c>
      <c r="AE68" s="20">
        <v>1.0076037193933363</v>
      </c>
      <c r="AF68" s="20">
        <v>1.0078581700053513</v>
      </c>
      <c r="AG68" s="20">
        <v>1.0081126848738915</v>
      </c>
      <c r="AH68" s="20">
        <v>1.008367264015184</v>
      </c>
      <c r="AI68" s="20">
        <v>1.0086219074454594</v>
      </c>
      <c r="AJ68" s="20">
        <v>1.0088766151809525</v>
      </c>
      <c r="AK68" s="20">
        <v>1.0091313872379026</v>
      </c>
      <c r="AL68" s="20">
        <v>1.0093862236325528</v>
      </c>
      <c r="AM68" s="20">
        <v>1.0096411243811501</v>
      </c>
      <c r="AN68" s="20">
        <v>1.009896089499946</v>
      </c>
      <c r="AO68" s="20">
        <v>1.0101511190051959</v>
      </c>
      <c r="AP68" s="20">
        <v>1.0104062129131592</v>
      </c>
      <c r="AQ68" s="20">
        <v>1.0106613712400998</v>
      </c>
      <c r="AR68" s="20">
        <v>1.0109165940022853</v>
      </c>
      <c r="AS68" s="20">
        <v>1.0111718812159876</v>
      </c>
      <c r="AT68" s="20">
        <v>1.0114272328974827</v>
      </c>
      <c r="AU68" s="20">
        <v>1.0116826490630506</v>
      </c>
      <c r="AV68" s="20">
        <v>1.0119381297289756</v>
      </c>
      <c r="AW68" s="20">
        <v>1.0121936749115459</v>
      </c>
      <c r="AX68" s="20">
        <v>1.0124492846270539</v>
      </c>
      <c r="AY68" s="20">
        <v>1.012704958891796</v>
      </c>
      <c r="AZ68" s="20">
        <v>1.0129606977220733</v>
      </c>
      <c r="BA68" s="20">
        <v>1.0132165011341903</v>
      </c>
      <c r="BB68" s="20">
        <v>1.0134723691444556</v>
      </c>
      <c r="BC68" s="20">
        <v>1.0137283017691827</v>
      </c>
      <c r="BD68" s="20">
        <v>1.0139842990246883</v>
      </c>
      <c r="BE68" s="20">
        <v>1.0142403609272941</v>
      </c>
      <c r="BF68" s="20">
        <v>1.0144964874933251</v>
      </c>
      <c r="BG68" s="20">
        <v>1.0147526787391108</v>
      </c>
      <c r="BH68" s="20">
        <v>1.015008934680985</v>
      </c>
    </row>
    <row r="69" spans="1:60" x14ac:dyDescent="0.25">
      <c r="L69" s="55">
        <f>+L68-K68</f>
        <v>2.5316888281934347E-4</v>
      </c>
      <c r="M69" s="55">
        <f t="shared" ref="M69:N69" si="0">+M68-L68</f>
        <v>2.5323281566902445E-4</v>
      </c>
      <c r="N69" s="55">
        <f t="shared" si="0"/>
        <v>2.532967646637907E-4</v>
      </c>
    </row>
    <row r="71" spans="1:60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</row>
    <row r="72" spans="1:60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</row>
    <row r="73" spans="1:60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</row>
    <row r="76" spans="1:60" ht="21" customHeight="1" x14ac:dyDescent="0.25">
      <c r="A76" s="28" t="s">
        <v>93</v>
      </c>
      <c r="B76" s="41">
        <v>2050776.6247674723</v>
      </c>
      <c r="C76" s="22">
        <f>+B143</f>
        <v>2051394.6163773299</v>
      </c>
      <c r="D76" s="22">
        <f t="shared" ref="D76:BH76" si="1">+C143</f>
        <v>2052012.6587810186</v>
      </c>
      <c r="E76" s="22">
        <f t="shared" si="1"/>
        <v>2052630.7519827129</v>
      </c>
      <c r="F76" s="22">
        <f t="shared" si="1"/>
        <v>2053253.2795485882</v>
      </c>
      <c r="G76" s="22">
        <f t="shared" si="1"/>
        <v>2053875.8582811127</v>
      </c>
      <c r="H76" s="22">
        <f t="shared" si="1"/>
        <v>2054498.4881844921</v>
      </c>
      <c r="I76" s="22">
        <f t="shared" si="1"/>
        <v>2055121.1692629319</v>
      </c>
      <c r="J76" s="22">
        <f t="shared" si="1"/>
        <v>2055743.9015206385</v>
      </c>
      <c r="K76" s="22">
        <f t="shared" si="1"/>
        <v>2056366.6849618182</v>
      </c>
      <c r="L76" s="22">
        <f t="shared" si="1"/>
        <v>2056989.5195906779</v>
      </c>
      <c r="M76" s="22">
        <f t="shared" si="1"/>
        <v>2057612.405411425</v>
      </c>
      <c r="N76" s="22">
        <f t="shared" si="1"/>
        <v>2058235.342428267</v>
      </c>
      <c r="O76" s="22">
        <f t="shared" si="1"/>
        <v>2058858.3306454117</v>
      </c>
      <c r="P76" s="22">
        <f t="shared" si="1"/>
        <v>2059481.3700670674</v>
      </c>
      <c r="Q76" s="22">
        <f t="shared" si="1"/>
        <v>2060104.4606974428</v>
      </c>
      <c r="R76" s="22">
        <f t="shared" si="1"/>
        <v>2060727.6025407466</v>
      </c>
      <c r="S76" s="22">
        <f t="shared" si="1"/>
        <v>2061350.7956011882</v>
      </c>
      <c r="T76" s="22">
        <f t="shared" si="1"/>
        <v>2061974.0398829773</v>
      </c>
      <c r="U76" s="22">
        <f t="shared" si="1"/>
        <v>2062597.3353903238</v>
      </c>
      <c r="V76" s="22">
        <f t="shared" si="1"/>
        <v>2063220.682127438</v>
      </c>
      <c r="W76" s="22">
        <f t="shared" si="1"/>
        <v>2063844.0800985307</v>
      </c>
      <c r="X76" s="22">
        <f t="shared" si="1"/>
        <v>2064467.5293078129</v>
      </c>
      <c r="Y76" s="22">
        <f t="shared" si="1"/>
        <v>2065091.0297594958</v>
      </c>
      <c r="Z76" s="22">
        <f t="shared" si="1"/>
        <v>2065714.5814577912</v>
      </c>
      <c r="AA76" s="22">
        <f t="shared" si="1"/>
        <v>2066338.184406911</v>
      </c>
      <c r="AB76" s="22">
        <f t="shared" si="1"/>
        <v>2066961.8386110677</v>
      </c>
      <c r="AC76" s="22">
        <f t="shared" si="1"/>
        <v>2067585.5440744741</v>
      </c>
      <c r="AD76" s="22">
        <f t="shared" si="1"/>
        <v>2068209.3008013433</v>
      </c>
      <c r="AE76" s="22">
        <f t="shared" si="1"/>
        <v>2068833.1087958885</v>
      </c>
      <c r="AF76" s="22">
        <f t="shared" si="1"/>
        <v>2069456.9680623238</v>
      </c>
      <c r="AG76" s="22">
        <f t="shared" si="1"/>
        <v>2070080.8786048631</v>
      </c>
      <c r="AH76" s="22">
        <f t="shared" si="1"/>
        <v>2070704.8404277209</v>
      </c>
      <c r="AI76" s="22">
        <f t="shared" si="1"/>
        <v>2071328.8535351122</v>
      </c>
      <c r="AJ76" s="22">
        <f t="shared" si="1"/>
        <v>2071957.3014932522</v>
      </c>
      <c r="AK76" s="22">
        <f t="shared" si="1"/>
        <v>2072585.801104649</v>
      </c>
      <c r="AL76" s="22">
        <f t="shared" si="1"/>
        <v>2073214.3523735481</v>
      </c>
      <c r="AM76" s="22">
        <f t="shared" si="1"/>
        <v>2073842.9553041952</v>
      </c>
      <c r="AN76" s="22">
        <f t="shared" si="1"/>
        <v>2074471.6099008366</v>
      </c>
      <c r="AO76" s="22">
        <f t="shared" si="1"/>
        <v>2075100.316167719</v>
      </c>
      <c r="AP76" s="22">
        <f t="shared" si="1"/>
        <v>2075729.0741090889</v>
      </c>
      <c r="AQ76" s="22">
        <f t="shared" si="1"/>
        <v>2076357.8837291938</v>
      </c>
      <c r="AR76" s="22">
        <f t="shared" si="1"/>
        <v>2076986.7450322811</v>
      </c>
      <c r="AS76" s="22">
        <f t="shared" si="1"/>
        <v>2077615.6580225988</v>
      </c>
      <c r="AT76" s="22">
        <f t="shared" si="1"/>
        <v>2078244.6227043951</v>
      </c>
      <c r="AU76" s="22">
        <f t="shared" si="1"/>
        <v>2078873.6390819186</v>
      </c>
      <c r="AV76" s="22">
        <f t="shared" si="1"/>
        <v>2079502.7071594186</v>
      </c>
      <c r="AW76" s="22">
        <f t="shared" si="1"/>
        <v>2080131.826941144</v>
      </c>
      <c r="AX76" s="22">
        <f t="shared" si="1"/>
        <v>2080760.9984313445</v>
      </c>
      <c r="AY76" s="22">
        <f t="shared" si="1"/>
        <v>2081390.2216342704</v>
      </c>
      <c r="AZ76" s="22">
        <f t="shared" si="1"/>
        <v>2082019.4965541719</v>
      </c>
      <c r="BA76" s="22">
        <f t="shared" si="1"/>
        <v>2082648.8231952996</v>
      </c>
      <c r="BB76" s="22">
        <f t="shared" si="1"/>
        <v>2083278.2015619047</v>
      </c>
      <c r="BC76" s="22">
        <f t="shared" si="1"/>
        <v>2083907.6316582386</v>
      </c>
      <c r="BD76" s="22">
        <f t="shared" si="1"/>
        <v>2084537.1134885529</v>
      </c>
      <c r="BE76" s="22">
        <f t="shared" si="1"/>
        <v>2085166.6470571</v>
      </c>
      <c r="BF76" s="22">
        <f t="shared" si="1"/>
        <v>2085796.2323681321</v>
      </c>
      <c r="BG76" s="22">
        <f t="shared" si="1"/>
        <v>2086425.8694259021</v>
      </c>
      <c r="BH76" s="22">
        <f t="shared" si="1"/>
        <v>2087055.5582346632</v>
      </c>
    </row>
    <row r="77" spans="1:60" ht="21" customHeight="1" x14ac:dyDescent="0.25">
      <c r="A77" s="30" t="s">
        <v>94</v>
      </c>
      <c r="B77" s="31">
        <v>0</v>
      </c>
      <c r="C77" s="31">
        <v>0</v>
      </c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0</v>
      </c>
      <c r="AD77" s="31">
        <v>0</v>
      </c>
      <c r="AE77" s="31">
        <v>0</v>
      </c>
      <c r="AF77" s="31">
        <v>0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0</v>
      </c>
      <c r="AY77" s="31">
        <v>0</v>
      </c>
      <c r="AZ77" s="31">
        <v>0</v>
      </c>
      <c r="BA77" s="31">
        <v>0</v>
      </c>
      <c r="BB77" s="31">
        <v>0</v>
      </c>
      <c r="BC77" s="31">
        <v>0</v>
      </c>
      <c r="BD77" s="31">
        <v>0</v>
      </c>
      <c r="BE77" s="31">
        <v>0</v>
      </c>
      <c r="BF77" s="31">
        <v>0</v>
      </c>
      <c r="BG77" s="31">
        <v>0</v>
      </c>
      <c r="BH77" s="31">
        <v>0</v>
      </c>
    </row>
    <row r="78" spans="1:60" ht="21" customHeight="1" x14ac:dyDescent="0.25">
      <c r="A78" s="32" t="s">
        <v>95</v>
      </c>
      <c r="B78" s="33">
        <f>+B76+B77</f>
        <v>2050776.6247674723</v>
      </c>
      <c r="C78" s="33">
        <f>+C76+C77</f>
        <v>2051394.6163773299</v>
      </c>
      <c r="D78" s="33">
        <f t="shared" ref="D78:BH78" si="2">+D76+D77</f>
        <v>2052012.6587810186</v>
      </c>
      <c r="E78" s="33">
        <f t="shared" si="2"/>
        <v>2052630.7519827129</v>
      </c>
      <c r="F78" s="33">
        <f t="shared" si="2"/>
        <v>2053253.2795485882</v>
      </c>
      <c r="G78" s="33">
        <f t="shared" si="2"/>
        <v>2053875.8582811127</v>
      </c>
      <c r="H78" s="33">
        <f t="shared" si="2"/>
        <v>2054498.4881844921</v>
      </c>
      <c r="I78" s="33">
        <f t="shared" si="2"/>
        <v>2055121.1692629319</v>
      </c>
      <c r="J78" s="33">
        <f t="shared" si="2"/>
        <v>2055743.9015206385</v>
      </c>
      <c r="K78" s="33">
        <f t="shared" si="2"/>
        <v>2056366.6849618182</v>
      </c>
      <c r="L78" s="33">
        <f t="shared" si="2"/>
        <v>2056989.5195906779</v>
      </c>
      <c r="M78" s="33">
        <f t="shared" si="2"/>
        <v>2057612.405411425</v>
      </c>
      <c r="N78" s="33">
        <f t="shared" si="2"/>
        <v>2058235.342428267</v>
      </c>
      <c r="O78" s="33">
        <f t="shared" si="2"/>
        <v>2058858.3306454117</v>
      </c>
      <c r="P78" s="33">
        <f t="shared" si="2"/>
        <v>2059481.3700670674</v>
      </c>
      <c r="Q78" s="33">
        <f t="shared" si="2"/>
        <v>2060104.4606974428</v>
      </c>
      <c r="R78" s="33">
        <f t="shared" si="2"/>
        <v>2060727.6025407466</v>
      </c>
      <c r="S78" s="33">
        <f t="shared" si="2"/>
        <v>2061350.7956011882</v>
      </c>
      <c r="T78" s="33">
        <f t="shared" si="2"/>
        <v>2061974.0398829773</v>
      </c>
      <c r="U78" s="33">
        <f t="shared" si="2"/>
        <v>2062597.3353903238</v>
      </c>
      <c r="V78" s="33">
        <f t="shared" si="2"/>
        <v>2063220.682127438</v>
      </c>
      <c r="W78" s="33">
        <f t="shared" si="2"/>
        <v>2063844.0800985307</v>
      </c>
      <c r="X78" s="33">
        <f t="shared" si="2"/>
        <v>2064467.5293078129</v>
      </c>
      <c r="Y78" s="33">
        <f t="shared" si="2"/>
        <v>2065091.0297594958</v>
      </c>
      <c r="Z78" s="33">
        <f t="shared" si="2"/>
        <v>2065714.5814577912</v>
      </c>
      <c r="AA78" s="33">
        <f t="shared" si="2"/>
        <v>2066338.184406911</v>
      </c>
      <c r="AB78" s="33">
        <f t="shared" si="2"/>
        <v>2066961.8386110677</v>
      </c>
      <c r="AC78" s="33">
        <f t="shared" si="2"/>
        <v>2067585.5440744741</v>
      </c>
      <c r="AD78" s="33">
        <f t="shared" si="2"/>
        <v>2068209.3008013433</v>
      </c>
      <c r="AE78" s="33">
        <f t="shared" si="2"/>
        <v>2068833.1087958885</v>
      </c>
      <c r="AF78" s="33">
        <f t="shared" si="2"/>
        <v>2069456.9680623238</v>
      </c>
      <c r="AG78" s="33">
        <f t="shared" si="2"/>
        <v>2070080.8786048631</v>
      </c>
      <c r="AH78" s="33">
        <f t="shared" si="2"/>
        <v>2070704.8404277209</v>
      </c>
      <c r="AI78" s="33">
        <f t="shared" si="2"/>
        <v>2071328.8535351122</v>
      </c>
      <c r="AJ78" s="33">
        <f t="shared" si="2"/>
        <v>2071957.3014932522</v>
      </c>
      <c r="AK78" s="33">
        <f t="shared" si="2"/>
        <v>2072585.801104649</v>
      </c>
      <c r="AL78" s="33">
        <f t="shared" si="2"/>
        <v>2073214.3523735481</v>
      </c>
      <c r="AM78" s="33">
        <f t="shared" si="2"/>
        <v>2073842.9553041952</v>
      </c>
      <c r="AN78" s="33">
        <f t="shared" si="2"/>
        <v>2074471.6099008366</v>
      </c>
      <c r="AO78" s="33">
        <f t="shared" si="2"/>
        <v>2075100.316167719</v>
      </c>
      <c r="AP78" s="33">
        <f t="shared" si="2"/>
        <v>2075729.0741090889</v>
      </c>
      <c r="AQ78" s="33">
        <f t="shared" si="2"/>
        <v>2076357.8837291938</v>
      </c>
      <c r="AR78" s="33">
        <f t="shared" si="2"/>
        <v>2076986.7450322811</v>
      </c>
      <c r="AS78" s="33">
        <f t="shared" si="2"/>
        <v>2077615.6580225988</v>
      </c>
      <c r="AT78" s="33">
        <f t="shared" si="2"/>
        <v>2078244.6227043951</v>
      </c>
      <c r="AU78" s="33">
        <f t="shared" si="2"/>
        <v>2078873.6390819186</v>
      </c>
      <c r="AV78" s="33">
        <f t="shared" si="2"/>
        <v>2079502.7071594186</v>
      </c>
      <c r="AW78" s="33">
        <f t="shared" si="2"/>
        <v>2080131.826941144</v>
      </c>
      <c r="AX78" s="33">
        <f t="shared" si="2"/>
        <v>2080760.9984313445</v>
      </c>
      <c r="AY78" s="33">
        <f t="shared" si="2"/>
        <v>2081390.2216342704</v>
      </c>
      <c r="AZ78" s="33">
        <f t="shared" si="2"/>
        <v>2082019.4965541719</v>
      </c>
      <c r="BA78" s="33">
        <f t="shared" si="2"/>
        <v>2082648.8231952996</v>
      </c>
      <c r="BB78" s="33">
        <f t="shared" si="2"/>
        <v>2083278.2015619047</v>
      </c>
      <c r="BC78" s="33">
        <f t="shared" si="2"/>
        <v>2083907.6316582386</v>
      </c>
      <c r="BD78" s="33">
        <f t="shared" si="2"/>
        <v>2084537.1134885529</v>
      </c>
      <c r="BE78" s="33">
        <f t="shared" si="2"/>
        <v>2085166.6470571</v>
      </c>
      <c r="BF78" s="33">
        <f t="shared" si="2"/>
        <v>2085796.2323681321</v>
      </c>
      <c r="BG78" s="33">
        <f t="shared" si="2"/>
        <v>2086425.8694259021</v>
      </c>
      <c r="BH78" s="33">
        <f t="shared" si="2"/>
        <v>2087055.5582346632</v>
      </c>
    </row>
    <row r="79" spans="1:60" ht="21" customHeight="1" x14ac:dyDescent="0.25">
      <c r="A79" s="28" t="s">
        <v>96</v>
      </c>
      <c r="B79" s="41">
        <v>2050763</v>
      </c>
      <c r="C79" s="33">
        <f>+B81</f>
        <v>2050763</v>
      </c>
      <c r="D79" s="33">
        <f t="shared" ref="D79:BH79" si="3">+C81</f>
        <v>2050763</v>
      </c>
      <c r="E79" s="33">
        <f t="shared" si="3"/>
        <v>2050763</v>
      </c>
      <c r="F79" s="33">
        <f t="shared" si="3"/>
        <v>2050763</v>
      </c>
      <c r="G79" s="33">
        <f t="shared" si="3"/>
        <v>2050763</v>
      </c>
      <c r="H79" s="33">
        <f t="shared" si="3"/>
        <v>2050763</v>
      </c>
      <c r="I79" s="33">
        <f t="shared" si="3"/>
        <v>2050763</v>
      </c>
      <c r="J79" s="33">
        <f t="shared" si="3"/>
        <v>2050763</v>
      </c>
      <c r="K79" s="33">
        <f t="shared" si="3"/>
        <v>2050763</v>
      </c>
      <c r="L79" s="33">
        <f t="shared" si="3"/>
        <v>2050763</v>
      </c>
      <c r="M79" s="33">
        <f t="shared" si="3"/>
        <v>2050763</v>
      </c>
      <c r="N79" s="33">
        <f t="shared" si="3"/>
        <v>2050763</v>
      </c>
      <c r="O79" s="33">
        <f t="shared" si="3"/>
        <v>2050763</v>
      </c>
      <c r="P79" s="33">
        <f t="shared" si="3"/>
        <v>2050763</v>
      </c>
      <c r="Q79" s="33">
        <f t="shared" si="3"/>
        <v>2050763</v>
      </c>
      <c r="R79" s="33">
        <f t="shared" si="3"/>
        <v>2050763</v>
      </c>
      <c r="S79" s="33">
        <f t="shared" si="3"/>
        <v>2050763</v>
      </c>
      <c r="T79" s="33">
        <f t="shared" si="3"/>
        <v>2050763</v>
      </c>
      <c r="U79" s="33">
        <f t="shared" si="3"/>
        <v>2050763</v>
      </c>
      <c r="V79" s="33">
        <f t="shared" si="3"/>
        <v>2050763</v>
      </c>
      <c r="W79" s="33">
        <f t="shared" si="3"/>
        <v>2050763</v>
      </c>
      <c r="X79" s="33">
        <f t="shared" si="3"/>
        <v>2050763</v>
      </c>
      <c r="Y79" s="33">
        <f t="shared" si="3"/>
        <v>2050763</v>
      </c>
      <c r="Z79" s="33">
        <f t="shared" si="3"/>
        <v>2050763</v>
      </c>
      <c r="AA79" s="33">
        <f t="shared" si="3"/>
        <v>2050763</v>
      </c>
      <c r="AB79" s="33">
        <f t="shared" si="3"/>
        <v>2050763</v>
      </c>
      <c r="AC79" s="33">
        <f t="shared" si="3"/>
        <v>2050763</v>
      </c>
      <c r="AD79" s="33">
        <f t="shared" si="3"/>
        <v>2050763</v>
      </c>
      <c r="AE79" s="33">
        <f t="shared" si="3"/>
        <v>2050763</v>
      </c>
      <c r="AF79" s="33">
        <f t="shared" si="3"/>
        <v>2050763</v>
      </c>
      <c r="AG79" s="33">
        <f t="shared" si="3"/>
        <v>2050763</v>
      </c>
      <c r="AH79" s="33">
        <f t="shared" si="3"/>
        <v>2050763</v>
      </c>
      <c r="AI79" s="33">
        <f t="shared" si="3"/>
        <v>2050763</v>
      </c>
      <c r="AJ79" s="33">
        <f t="shared" si="3"/>
        <v>2050763</v>
      </c>
      <c r="AK79" s="33">
        <f t="shared" si="3"/>
        <v>2050763</v>
      </c>
      <c r="AL79" s="33">
        <f t="shared" si="3"/>
        <v>2050763</v>
      </c>
      <c r="AM79" s="33">
        <f t="shared" si="3"/>
        <v>2050763</v>
      </c>
      <c r="AN79" s="33">
        <f t="shared" si="3"/>
        <v>2050763</v>
      </c>
      <c r="AO79" s="33">
        <f t="shared" si="3"/>
        <v>2050763</v>
      </c>
      <c r="AP79" s="33">
        <f t="shared" si="3"/>
        <v>2050763</v>
      </c>
      <c r="AQ79" s="33">
        <f t="shared" si="3"/>
        <v>2050763</v>
      </c>
      <c r="AR79" s="33">
        <f t="shared" si="3"/>
        <v>2050763</v>
      </c>
      <c r="AS79" s="33">
        <f t="shared" si="3"/>
        <v>2050763</v>
      </c>
      <c r="AT79" s="33">
        <f t="shared" si="3"/>
        <v>2050763</v>
      </c>
      <c r="AU79" s="33">
        <f t="shared" si="3"/>
        <v>2050763</v>
      </c>
      <c r="AV79" s="33">
        <f t="shared" si="3"/>
        <v>2050763</v>
      </c>
      <c r="AW79" s="33">
        <f t="shared" si="3"/>
        <v>2050763</v>
      </c>
      <c r="AX79" s="33">
        <f t="shared" si="3"/>
        <v>2050763</v>
      </c>
      <c r="AY79" s="33">
        <f t="shared" si="3"/>
        <v>2050763</v>
      </c>
      <c r="AZ79" s="33">
        <f t="shared" si="3"/>
        <v>2050763</v>
      </c>
      <c r="BA79" s="33">
        <f t="shared" si="3"/>
        <v>2050763</v>
      </c>
      <c r="BB79" s="33">
        <f t="shared" si="3"/>
        <v>2050763</v>
      </c>
      <c r="BC79" s="33">
        <f t="shared" si="3"/>
        <v>2050763</v>
      </c>
      <c r="BD79" s="33">
        <f t="shared" si="3"/>
        <v>2050763</v>
      </c>
      <c r="BE79" s="33">
        <f t="shared" si="3"/>
        <v>2050763</v>
      </c>
      <c r="BF79" s="33">
        <f t="shared" si="3"/>
        <v>2050763</v>
      </c>
      <c r="BG79" s="33">
        <f t="shared" si="3"/>
        <v>2050763</v>
      </c>
      <c r="BH79" s="33">
        <f t="shared" si="3"/>
        <v>2050763</v>
      </c>
    </row>
    <row r="80" spans="1:60" ht="21" customHeight="1" x14ac:dyDescent="0.25">
      <c r="A80" s="30" t="s">
        <v>97</v>
      </c>
      <c r="B80" s="42">
        <v>0</v>
      </c>
      <c r="C80" s="42">
        <f>INT(+C77/B$144)</f>
        <v>0</v>
      </c>
      <c r="D80" s="42">
        <f t="shared" ref="D80:BH80" si="4">INT(+D77/C$144)</f>
        <v>0</v>
      </c>
      <c r="E80" s="42">
        <f t="shared" si="4"/>
        <v>0</v>
      </c>
      <c r="F80" s="42">
        <f t="shared" si="4"/>
        <v>0</v>
      </c>
      <c r="G80" s="42">
        <f t="shared" si="4"/>
        <v>0</v>
      </c>
      <c r="H80" s="42">
        <f t="shared" si="4"/>
        <v>0</v>
      </c>
      <c r="I80" s="42">
        <f t="shared" si="4"/>
        <v>0</v>
      </c>
      <c r="J80" s="42">
        <f t="shared" si="4"/>
        <v>0</v>
      </c>
      <c r="K80" s="42">
        <f t="shared" si="4"/>
        <v>0</v>
      </c>
      <c r="L80" s="42">
        <f t="shared" si="4"/>
        <v>0</v>
      </c>
      <c r="M80" s="42">
        <f t="shared" si="4"/>
        <v>0</v>
      </c>
      <c r="N80" s="42">
        <f t="shared" si="4"/>
        <v>0</v>
      </c>
      <c r="O80" s="42">
        <f t="shared" si="4"/>
        <v>0</v>
      </c>
      <c r="P80" s="42">
        <f t="shared" si="4"/>
        <v>0</v>
      </c>
      <c r="Q80" s="42">
        <f t="shared" si="4"/>
        <v>0</v>
      </c>
      <c r="R80" s="42">
        <f t="shared" si="4"/>
        <v>0</v>
      </c>
      <c r="S80" s="42">
        <f t="shared" si="4"/>
        <v>0</v>
      </c>
      <c r="T80" s="42">
        <f t="shared" si="4"/>
        <v>0</v>
      </c>
      <c r="U80" s="42">
        <f t="shared" si="4"/>
        <v>0</v>
      </c>
      <c r="V80" s="42">
        <f t="shared" si="4"/>
        <v>0</v>
      </c>
      <c r="W80" s="42">
        <f t="shared" si="4"/>
        <v>0</v>
      </c>
      <c r="X80" s="42">
        <f t="shared" si="4"/>
        <v>0</v>
      </c>
      <c r="Y80" s="42">
        <f t="shared" si="4"/>
        <v>0</v>
      </c>
      <c r="Z80" s="42">
        <f t="shared" si="4"/>
        <v>0</v>
      </c>
      <c r="AA80" s="42">
        <f t="shared" si="4"/>
        <v>0</v>
      </c>
      <c r="AB80" s="42">
        <f t="shared" si="4"/>
        <v>0</v>
      </c>
      <c r="AC80" s="42">
        <f t="shared" si="4"/>
        <v>0</v>
      </c>
      <c r="AD80" s="42">
        <f t="shared" si="4"/>
        <v>0</v>
      </c>
      <c r="AE80" s="42">
        <f t="shared" si="4"/>
        <v>0</v>
      </c>
      <c r="AF80" s="42">
        <f t="shared" si="4"/>
        <v>0</v>
      </c>
      <c r="AG80" s="42">
        <f t="shared" si="4"/>
        <v>0</v>
      </c>
      <c r="AH80" s="42">
        <f t="shared" si="4"/>
        <v>0</v>
      </c>
      <c r="AI80" s="42">
        <f t="shared" si="4"/>
        <v>0</v>
      </c>
      <c r="AJ80" s="42">
        <f t="shared" si="4"/>
        <v>0</v>
      </c>
      <c r="AK80" s="42">
        <f t="shared" si="4"/>
        <v>0</v>
      </c>
      <c r="AL80" s="42">
        <f t="shared" si="4"/>
        <v>0</v>
      </c>
      <c r="AM80" s="42">
        <f t="shared" si="4"/>
        <v>0</v>
      </c>
      <c r="AN80" s="42">
        <f t="shared" si="4"/>
        <v>0</v>
      </c>
      <c r="AO80" s="42">
        <f t="shared" si="4"/>
        <v>0</v>
      </c>
      <c r="AP80" s="42">
        <f t="shared" si="4"/>
        <v>0</v>
      </c>
      <c r="AQ80" s="42">
        <f t="shared" si="4"/>
        <v>0</v>
      </c>
      <c r="AR80" s="42">
        <f t="shared" si="4"/>
        <v>0</v>
      </c>
      <c r="AS80" s="42">
        <f t="shared" si="4"/>
        <v>0</v>
      </c>
      <c r="AT80" s="42">
        <f t="shared" si="4"/>
        <v>0</v>
      </c>
      <c r="AU80" s="42">
        <f t="shared" si="4"/>
        <v>0</v>
      </c>
      <c r="AV80" s="42">
        <f t="shared" si="4"/>
        <v>0</v>
      </c>
      <c r="AW80" s="42">
        <f t="shared" si="4"/>
        <v>0</v>
      </c>
      <c r="AX80" s="42">
        <f t="shared" si="4"/>
        <v>0</v>
      </c>
      <c r="AY80" s="42">
        <f t="shared" si="4"/>
        <v>0</v>
      </c>
      <c r="AZ80" s="42">
        <f t="shared" si="4"/>
        <v>0</v>
      </c>
      <c r="BA80" s="42">
        <f t="shared" si="4"/>
        <v>0</v>
      </c>
      <c r="BB80" s="42">
        <f t="shared" si="4"/>
        <v>0</v>
      </c>
      <c r="BC80" s="42">
        <f t="shared" si="4"/>
        <v>0</v>
      </c>
      <c r="BD80" s="42">
        <f t="shared" si="4"/>
        <v>0</v>
      </c>
      <c r="BE80" s="42">
        <f t="shared" si="4"/>
        <v>0</v>
      </c>
      <c r="BF80" s="42">
        <f t="shared" si="4"/>
        <v>0</v>
      </c>
      <c r="BG80" s="42">
        <f t="shared" si="4"/>
        <v>0</v>
      </c>
      <c r="BH80" s="42">
        <f t="shared" si="4"/>
        <v>0</v>
      </c>
    </row>
    <row r="81" spans="1:67" ht="21" customHeight="1" x14ac:dyDescent="0.25">
      <c r="A81" s="32" t="s">
        <v>98</v>
      </c>
      <c r="B81" s="33">
        <f>+B79+B80</f>
        <v>2050763</v>
      </c>
      <c r="C81" s="33">
        <f t="shared" ref="C81:BH81" si="5">+C79+C80</f>
        <v>2050763</v>
      </c>
      <c r="D81" s="33">
        <f t="shared" si="5"/>
        <v>2050763</v>
      </c>
      <c r="E81" s="33">
        <f t="shared" si="5"/>
        <v>2050763</v>
      </c>
      <c r="F81" s="33">
        <f t="shared" si="5"/>
        <v>2050763</v>
      </c>
      <c r="G81" s="33">
        <f t="shared" si="5"/>
        <v>2050763</v>
      </c>
      <c r="H81" s="33">
        <f t="shared" si="5"/>
        <v>2050763</v>
      </c>
      <c r="I81" s="33">
        <f t="shared" si="5"/>
        <v>2050763</v>
      </c>
      <c r="J81" s="33">
        <f t="shared" si="5"/>
        <v>2050763</v>
      </c>
      <c r="K81" s="33">
        <f t="shared" si="5"/>
        <v>2050763</v>
      </c>
      <c r="L81" s="33">
        <f t="shared" si="5"/>
        <v>2050763</v>
      </c>
      <c r="M81" s="33">
        <f t="shared" si="5"/>
        <v>2050763</v>
      </c>
      <c r="N81" s="33">
        <f t="shared" si="5"/>
        <v>2050763</v>
      </c>
      <c r="O81" s="33">
        <f t="shared" si="5"/>
        <v>2050763</v>
      </c>
      <c r="P81" s="33">
        <f t="shared" si="5"/>
        <v>2050763</v>
      </c>
      <c r="Q81" s="33">
        <f t="shared" si="5"/>
        <v>2050763</v>
      </c>
      <c r="R81" s="33">
        <f t="shared" si="5"/>
        <v>2050763</v>
      </c>
      <c r="S81" s="33">
        <f t="shared" si="5"/>
        <v>2050763</v>
      </c>
      <c r="T81" s="33">
        <f t="shared" si="5"/>
        <v>2050763</v>
      </c>
      <c r="U81" s="33">
        <f t="shared" si="5"/>
        <v>2050763</v>
      </c>
      <c r="V81" s="33">
        <f t="shared" si="5"/>
        <v>2050763</v>
      </c>
      <c r="W81" s="33">
        <f t="shared" si="5"/>
        <v>2050763</v>
      </c>
      <c r="X81" s="33">
        <f t="shared" si="5"/>
        <v>2050763</v>
      </c>
      <c r="Y81" s="33">
        <f t="shared" si="5"/>
        <v>2050763</v>
      </c>
      <c r="Z81" s="33">
        <f t="shared" si="5"/>
        <v>2050763</v>
      </c>
      <c r="AA81" s="33">
        <f t="shared" si="5"/>
        <v>2050763</v>
      </c>
      <c r="AB81" s="33">
        <f t="shared" si="5"/>
        <v>2050763</v>
      </c>
      <c r="AC81" s="33">
        <f t="shared" si="5"/>
        <v>2050763</v>
      </c>
      <c r="AD81" s="33">
        <f t="shared" si="5"/>
        <v>2050763</v>
      </c>
      <c r="AE81" s="33">
        <f t="shared" si="5"/>
        <v>2050763</v>
      </c>
      <c r="AF81" s="33">
        <f t="shared" si="5"/>
        <v>2050763</v>
      </c>
      <c r="AG81" s="33">
        <f t="shared" si="5"/>
        <v>2050763</v>
      </c>
      <c r="AH81" s="33">
        <f t="shared" si="5"/>
        <v>2050763</v>
      </c>
      <c r="AI81" s="33">
        <f t="shared" si="5"/>
        <v>2050763</v>
      </c>
      <c r="AJ81" s="33">
        <f t="shared" si="5"/>
        <v>2050763</v>
      </c>
      <c r="AK81" s="33">
        <f t="shared" si="5"/>
        <v>2050763</v>
      </c>
      <c r="AL81" s="33">
        <f t="shared" si="5"/>
        <v>2050763</v>
      </c>
      <c r="AM81" s="33">
        <f t="shared" si="5"/>
        <v>2050763</v>
      </c>
      <c r="AN81" s="33">
        <f t="shared" si="5"/>
        <v>2050763</v>
      </c>
      <c r="AO81" s="33">
        <f t="shared" si="5"/>
        <v>2050763</v>
      </c>
      <c r="AP81" s="33">
        <f t="shared" si="5"/>
        <v>2050763</v>
      </c>
      <c r="AQ81" s="33">
        <f t="shared" si="5"/>
        <v>2050763</v>
      </c>
      <c r="AR81" s="33">
        <f t="shared" si="5"/>
        <v>2050763</v>
      </c>
      <c r="AS81" s="33">
        <f t="shared" si="5"/>
        <v>2050763</v>
      </c>
      <c r="AT81" s="33">
        <f t="shared" si="5"/>
        <v>2050763</v>
      </c>
      <c r="AU81" s="33">
        <f t="shared" si="5"/>
        <v>2050763</v>
      </c>
      <c r="AV81" s="33">
        <f t="shared" si="5"/>
        <v>2050763</v>
      </c>
      <c r="AW81" s="33">
        <f t="shared" si="5"/>
        <v>2050763</v>
      </c>
      <c r="AX81" s="33">
        <f t="shared" si="5"/>
        <v>2050763</v>
      </c>
      <c r="AY81" s="33">
        <f t="shared" si="5"/>
        <v>2050763</v>
      </c>
      <c r="AZ81" s="33">
        <f t="shared" si="5"/>
        <v>2050763</v>
      </c>
      <c r="BA81" s="33">
        <f t="shared" si="5"/>
        <v>2050763</v>
      </c>
      <c r="BB81" s="33">
        <f t="shared" si="5"/>
        <v>2050763</v>
      </c>
      <c r="BC81" s="33">
        <f t="shared" si="5"/>
        <v>2050763</v>
      </c>
      <c r="BD81" s="33">
        <f t="shared" si="5"/>
        <v>2050763</v>
      </c>
      <c r="BE81" s="33">
        <f t="shared" si="5"/>
        <v>2050763</v>
      </c>
      <c r="BF81" s="33">
        <f t="shared" si="5"/>
        <v>2050763</v>
      </c>
      <c r="BG81" s="33">
        <f t="shared" si="5"/>
        <v>2050763</v>
      </c>
      <c r="BH81" s="33">
        <f t="shared" si="5"/>
        <v>2050763</v>
      </c>
    </row>
    <row r="82" spans="1:67" ht="24" customHeight="1" x14ac:dyDescent="0.25">
      <c r="A82" s="28" t="s">
        <v>99</v>
      </c>
      <c r="B82" s="43">
        <v>1</v>
      </c>
      <c r="C82" s="20">
        <f>+B144</f>
        <v>1.0003079909172001</v>
      </c>
      <c r="D82" s="20">
        <f t="shared" ref="D82:BH82" si="6">+C144</f>
        <v>1.000609362847398</v>
      </c>
      <c r="E82" s="20">
        <f t="shared" si="6"/>
        <v>1.0009107595478917</v>
      </c>
      <c r="F82" s="20">
        <f t="shared" si="6"/>
        <v>1.0012143185480664</v>
      </c>
      <c r="G82" s="20">
        <f t="shared" si="6"/>
        <v>1.0015179024982959</v>
      </c>
      <c r="H82" s="20">
        <f t="shared" si="6"/>
        <v>1.001821511400631</v>
      </c>
      <c r="I82" s="20">
        <f t="shared" si="6"/>
        <v>1.0021251452571223</v>
      </c>
      <c r="J82" s="20">
        <f t="shared" si="6"/>
        <v>1.002428804069821</v>
      </c>
      <c r="K82" s="20">
        <f t="shared" si="6"/>
        <v>1.0027324878407784</v>
      </c>
      <c r="L82" s="20">
        <f t="shared" si="6"/>
        <v>1.0030361965720456</v>
      </c>
      <c r="M82" s="20">
        <f t="shared" si="6"/>
        <v>1.0033399302656743</v>
      </c>
      <c r="N82" s="20">
        <f t="shared" si="6"/>
        <v>1.0036436889237161</v>
      </c>
      <c r="O82" s="20">
        <f t="shared" si="6"/>
        <v>1.0039474725482231</v>
      </c>
      <c r="P82" s="20">
        <f t="shared" si="6"/>
        <v>1.0042512811412472</v>
      </c>
      <c r="Q82" s="20">
        <f t="shared" si="6"/>
        <v>1.0045551147048404</v>
      </c>
      <c r="R82" s="20">
        <f t="shared" si="6"/>
        <v>1.0048589732410553</v>
      </c>
      <c r="S82" s="20">
        <f t="shared" si="6"/>
        <v>1.0051628567519446</v>
      </c>
      <c r="T82" s="20">
        <f t="shared" si="6"/>
        <v>1.0054667652395608</v>
      </c>
      <c r="U82" s="20">
        <f t="shared" si="6"/>
        <v>1.0057706987059567</v>
      </c>
      <c r="V82" s="20">
        <f t="shared" si="6"/>
        <v>1.0060746571531853</v>
      </c>
      <c r="W82" s="20">
        <f t="shared" si="6"/>
        <v>1.0063786405833004</v>
      </c>
      <c r="X82" s="20">
        <f t="shared" si="6"/>
        <v>1.0066826489983547</v>
      </c>
      <c r="Y82" s="20">
        <f t="shared" si="6"/>
        <v>1.0069866824004021</v>
      </c>
      <c r="Z82" s="20">
        <f t="shared" si="6"/>
        <v>1.0072907407914962</v>
      </c>
      <c r="AA82" s="20">
        <f t="shared" si="6"/>
        <v>1.007594824173691</v>
      </c>
      <c r="AB82" s="20">
        <f t="shared" si="6"/>
        <v>1.0078989325490404</v>
      </c>
      <c r="AC82" s="20">
        <f t="shared" si="6"/>
        <v>1.0082030659195989</v>
      </c>
      <c r="AD82" s="20">
        <f t="shared" si="6"/>
        <v>1.0085072242874205</v>
      </c>
      <c r="AE82" s="20">
        <f t="shared" si="6"/>
        <v>1.00881140765456</v>
      </c>
      <c r="AF82" s="20">
        <f t="shared" si="6"/>
        <v>1.0091156160230723</v>
      </c>
      <c r="AG82" s="20">
        <f t="shared" si="6"/>
        <v>1.0094198493950119</v>
      </c>
      <c r="AH82" s="20">
        <f t="shared" si="6"/>
        <v>1.0097241077724344</v>
      </c>
      <c r="AI82" s="20">
        <f t="shared" si="6"/>
        <v>1.0100283911573946</v>
      </c>
      <c r="AJ82" s="20">
        <f t="shared" si="6"/>
        <v>1.0103348370792979</v>
      </c>
      <c r="AK82" s="20">
        <f t="shared" si="6"/>
        <v>1.010641308188537</v>
      </c>
      <c r="AL82" s="20">
        <f t="shared" si="6"/>
        <v>1.0109478044871827</v>
      </c>
      <c r="AM82" s="20">
        <f t="shared" si="6"/>
        <v>1.0112543259773046</v>
      </c>
      <c r="AN82" s="20">
        <f t="shared" si="6"/>
        <v>1.0115608726609737</v>
      </c>
      <c r="AO82" s="20">
        <f t="shared" si="6"/>
        <v>1.0118674445402609</v>
      </c>
      <c r="AP82" s="20">
        <f t="shared" si="6"/>
        <v>1.0121740416172365</v>
      </c>
      <c r="AQ82" s="20">
        <f t="shared" si="6"/>
        <v>1.0124806638939721</v>
      </c>
      <c r="AR82" s="20">
        <f t="shared" si="6"/>
        <v>1.0127873113725385</v>
      </c>
      <c r="AS82" s="20">
        <f t="shared" si="6"/>
        <v>1.0130939840550073</v>
      </c>
      <c r="AT82" s="20">
        <f t="shared" si="6"/>
        <v>1.0134006819434498</v>
      </c>
      <c r="AU82" s="20">
        <f t="shared" si="6"/>
        <v>1.0137074050399382</v>
      </c>
      <c r="AV82" s="20">
        <f t="shared" si="6"/>
        <v>1.0140141533465441</v>
      </c>
      <c r="AW82" s="20">
        <f t="shared" si="6"/>
        <v>1.0143209268653393</v>
      </c>
      <c r="AX82" s="20">
        <f t="shared" si="6"/>
        <v>1.0146277255983966</v>
      </c>
      <c r="AY82" s="20">
        <f t="shared" si="6"/>
        <v>1.0149345495477879</v>
      </c>
      <c r="AZ82" s="20">
        <f t="shared" si="6"/>
        <v>1.0152413987155864</v>
      </c>
      <c r="BA82" s="20">
        <f t="shared" si="6"/>
        <v>1.0155482731038641</v>
      </c>
      <c r="BB82" s="20">
        <f t="shared" si="6"/>
        <v>1.0158551727146943</v>
      </c>
      <c r="BC82" s="20">
        <f t="shared" si="6"/>
        <v>1.0161620975501502</v>
      </c>
      <c r="BD82" s="20">
        <f t="shared" si="6"/>
        <v>1.0164690476123046</v>
      </c>
      <c r="BE82" s="20">
        <f t="shared" si="6"/>
        <v>1.0167760229032317</v>
      </c>
      <c r="BF82" s="20">
        <f t="shared" si="6"/>
        <v>1.0170830234250043</v>
      </c>
      <c r="BG82" s="20">
        <f t="shared" si="6"/>
        <v>1.0173900491796966</v>
      </c>
      <c r="BH82" s="20">
        <f t="shared" si="6"/>
        <v>1.0176971001693824</v>
      </c>
    </row>
    <row r="83" spans="1:67" s="45" customFormat="1" ht="24" customHeight="1" x14ac:dyDescent="0.25">
      <c r="A83" s="44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</row>
    <row r="84" spans="1:67" s="45" customFormat="1" ht="24" customHeight="1" x14ac:dyDescent="0.25">
      <c r="A84" s="28" t="s">
        <v>283</v>
      </c>
      <c r="B84" s="46">
        <v>0.11036645971001455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</row>
    <row r="85" spans="1:67" s="45" customFormat="1" ht="24" customHeight="1" x14ac:dyDescent="0.25">
      <c r="A85" s="47" t="s">
        <v>275</v>
      </c>
      <c r="B85" s="48">
        <f>+B84/365</f>
        <v>3.0237386221921794E-4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</row>
    <row r="86" spans="1:67" s="45" customFormat="1" ht="24" customHeight="1" x14ac:dyDescent="0.25">
      <c r="A86" s="47" t="s">
        <v>274</v>
      </c>
      <c r="B86" s="49">
        <f>+$B$85*B$76</f>
        <v>620.10124857983249</v>
      </c>
      <c r="C86" s="49">
        <f t="shared" ref="C86:BH86" si="7">+$B$85*C$76</f>
        <v>620.28811308972422</v>
      </c>
      <c r="D86" s="49">
        <f t="shared" si="7"/>
        <v>620.4749929583428</v>
      </c>
      <c r="E86" s="49">
        <f t="shared" si="7"/>
        <v>620.66188818695059</v>
      </c>
      <c r="F86" s="49">
        <f t="shared" si="7"/>
        <v>620.85012425138223</v>
      </c>
      <c r="G86" s="49">
        <f t="shared" si="7"/>
        <v>621.03837578727121</v>
      </c>
      <c r="H86" s="49">
        <f t="shared" si="7"/>
        <v>621.22664279588912</v>
      </c>
      <c r="I86" s="49">
        <f t="shared" si="7"/>
        <v>621.41492527850789</v>
      </c>
      <c r="J86" s="49">
        <f t="shared" si="7"/>
        <v>621.60322323639912</v>
      </c>
      <c r="K86" s="49">
        <f t="shared" si="7"/>
        <v>621.79153667083472</v>
      </c>
      <c r="L86" s="49">
        <f t="shared" si="7"/>
        <v>621.97986558308696</v>
      </c>
      <c r="M86" s="49">
        <f t="shared" si="7"/>
        <v>622.1682099744279</v>
      </c>
      <c r="N86" s="49">
        <f t="shared" si="7"/>
        <v>622.35656984612967</v>
      </c>
      <c r="O86" s="49">
        <f t="shared" si="7"/>
        <v>622.54494519946479</v>
      </c>
      <c r="P86" s="49">
        <f t="shared" si="7"/>
        <v>622.73333603570563</v>
      </c>
      <c r="Q86" s="49">
        <f t="shared" si="7"/>
        <v>622.92174235612481</v>
      </c>
      <c r="R86" s="49">
        <f t="shared" si="7"/>
        <v>623.11016416199504</v>
      </c>
      <c r="S86" s="49">
        <f t="shared" si="7"/>
        <v>623.29860145458895</v>
      </c>
      <c r="T86" s="49">
        <f t="shared" si="7"/>
        <v>623.48705423517958</v>
      </c>
      <c r="U86" s="49">
        <f t="shared" si="7"/>
        <v>623.67552250503979</v>
      </c>
      <c r="V86" s="49">
        <f t="shared" si="7"/>
        <v>623.86400626544275</v>
      </c>
      <c r="W86" s="49">
        <f t="shared" si="7"/>
        <v>624.05250551766176</v>
      </c>
      <c r="X86" s="49">
        <f t="shared" si="7"/>
        <v>624.24102026296987</v>
      </c>
      <c r="Y86" s="49">
        <f t="shared" si="7"/>
        <v>624.42955050264061</v>
      </c>
      <c r="Z86" s="49">
        <f t="shared" si="7"/>
        <v>624.61809623794761</v>
      </c>
      <c r="AA86" s="49">
        <f t="shared" si="7"/>
        <v>624.80665747016428</v>
      </c>
      <c r="AB86" s="49">
        <f t="shared" si="7"/>
        <v>624.99523420056437</v>
      </c>
      <c r="AC86" s="49">
        <f t="shared" si="7"/>
        <v>625.18382643042185</v>
      </c>
      <c r="AD86" s="49">
        <f t="shared" si="7"/>
        <v>625.37243416101046</v>
      </c>
      <c r="AE86" s="49">
        <f t="shared" si="7"/>
        <v>625.5610573936043</v>
      </c>
      <c r="AF86" s="49">
        <f t="shared" si="7"/>
        <v>625.74969612947757</v>
      </c>
      <c r="AG86" s="49">
        <f t="shared" si="7"/>
        <v>625.93835036990447</v>
      </c>
      <c r="AH86" s="49">
        <f t="shared" si="7"/>
        <v>626.12702011615931</v>
      </c>
      <c r="AI86" s="49">
        <f t="shared" si="7"/>
        <v>626.31570536951665</v>
      </c>
      <c r="AJ86" s="49">
        <f t="shared" si="7"/>
        <v>626.50573160582326</v>
      </c>
      <c r="AK86" s="49">
        <f t="shared" si="7"/>
        <v>626.69577346072458</v>
      </c>
      <c r="AL86" s="49">
        <f t="shared" si="7"/>
        <v>626.88583093550437</v>
      </c>
      <c r="AM86" s="49">
        <f t="shared" si="7"/>
        <v>627.0759040314465</v>
      </c>
      <c r="AN86" s="49">
        <f t="shared" si="7"/>
        <v>627.26599274983482</v>
      </c>
      <c r="AO86" s="49">
        <f t="shared" si="7"/>
        <v>627.45609709195344</v>
      </c>
      <c r="AP86" s="49">
        <f t="shared" si="7"/>
        <v>627.64621705908644</v>
      </c>
      <c r="AQ86" s="49">
        <f t="shared" si="7"/>
        <v>627.83635265251814</v>
      </c>
      <c r="AR86" s="49">
        <f t="shared" si="7"/>
        <v>628.02650387353287</v>
      </c>
      <c r="AS86" s="49">
        <f t="shared" si="7"/>
        <v>628.21667072341506</v>
      </c>
      <c r="AT86" s="49">
        <f t="shared" si="7"/>
        <v>628.40685320344937</v>
      </c>
      <c r="AU86" s="49">
        <f t="shared" si="7"/>
        <v>628.59705131492024</v>
      </c>
      <c r="AV86" s="49">
        <f t="shared" si="7"/>
        <v>628.78726505911277</v>
      </c>
      <c r="AW86" s="49">
        <f t="shared" si="7"/>
        <v>628.97749443731152</v>
      </c>
      <c r="AX86" s="49">
        <f t="shared" si="7"/>
        <v>629.16773945080172</v>
      </c>
      <c r="AY86" s="49">
        <f t="shared" si="7"/>
        <v>629.35800010086837</v>
      </c>
      <c r="AZ86" s="49">
        <f t="shared" si="7"/>
        <v>629.54827638879669</v>
      </c>
      <c r="BA86" s="49">
        <f t="shared" si="7"/>
        <v>629.73856831587193</v>
      </c>
      <c r="BB86" s="49">
        <f t="shared" si="7"/>
        <v>629.92887588337953</v>
      </c>
      <c r="BC86" s="49">
        <f t="shared" si="7"/>
        <v>630.11919909260496</v>
      </c>
      <c r="BD86" s="49">
        <f t="shared" si="7"/>
        <v>630.30953794483401</v>
      </c>
      <c r="BE86" s="49">
        <f t="shared" si="7"/>
        <v>630.49989244135213</v>
      </c>
      <c r="BF86" s="49">
        <f t="shared" si="7"/>
        <v>630.69026258344547</v>
      </c>
      <c r="BG86" s="49">
        <f t="shared" si="7"/>
        <v>630.88064837239972</v>
      </c>
      <c r="BH86" s="49">
        <f t="shared" si="7"/>
        <v>631.07104980950101</v>
      </c>
      <c r="BJ86" s="22">
        <f>SUM(B86:BI86)</f>
        <v>36908.674031196846</v>
      </c>
      <c r="BL86" s="22">
        <f>+BJ86-BJ141</f>
        <v>0</v>
      </c>
    </row>
    <row r="87" spans="1:67" ht="20.100000000000001" hidden="1" customHeight="1" outlineLevel="1" x14ac:dyDescent="0.25">
      <c r="A87" s="58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</row>
    <row r="88" spans="1:67" ht="20.100000000000001" hidden="1" customHeight="1" outlineLevel="1" x14ac:dyDescent="0.25">
      <c r="A88" s="59" t="s">
        <v>222</v>
      </c>
      <c r="B88" s="51">
        <v>19.178082</v>
      </c>
      <c r="C88" s="51">
        <v>19.178082</v>
      </c>
      <c r="D88" s="51">
        <v>19.178082</v>
      </c>
      <c r="E88" s="51">
        <v>19.178082</v>
      </c>
      <c r="F88" s="51">
        <v>19.178082</v>
      </c>
      <c r="G88" s="51">
        <v>19.178082</v>
      </c>
      <c r="H88" s="51">
        <v>19.178082</v>
      </c>
      <c r="I88" s="51">
        <v>19.178082</v>
      </c>
      <c r="J88" s="51">
        <v>19.178082</v>
      </c>
      <c r="K88" s="51">
        <v>19.178082</v>
      </c>
      <c r="L88" s="51">
        <v>19.178082</v>
      </c>
      <c r="M88" s="51">
        <v>19.178082</v>
      </c>
      <c r="N88" s="51">
        <v>19.178082</v>
      </c>
      <c r="O88" s="51">
        <v>19.178082</v>
      </c>
      <c r="P88" s="51">
        <v>19.178082</v>
      </c>
      <c r="Q88" s="51">
        <v>19.178082</v>
      </c>
      <c r="R88" s="51">
        <v>19.178082</v>
      </c>
      <c r="S88" s="51">
        <v>19.178082</v>
      </c>
      <c r="T88" s="51">
        <v>19.178082</v>
      </c>
      <c r="U88" s="51">
        <v>19.178082</v>
      </c>
      <c r="V88" s="51">
        <v>19.178082</v>
      </c>
      <c r="W88" s="51">
        <v>19.178082</v>
      </c>
      <c r="X88" s="51">
        <v>19.178082</v>
      </c>
      <c r="Y88" s="51">
        <v>19.178082</v>
      </c>
      <c r="Z88" s="51">
        <v>19.178082</v>
      </c>
      <c r="AA88" s="51">
        <v>19.178082</v>
      </c>
      <c r="AB88" s="51">
        <v>19.178082</v>
      </c>
      <c r="AC88" s="51">
        <v>19.178082</v>
      </c>
      <c r="AD88" s="51">
        <v>19.178082</v>
      </c>
      <c r="AE88" s="51">
        <v>19.178082</v>
      </c>
      <c r="AF88" s="51">
        <v>19.178082</v>
      </c>
      <c r="AG88" s="51">
        <v>19.178082</v>
      </c>
      <c r="AH88" s="51">
        <v>19.178082</v>
      </c>
      <c r="AI88" s="51">
        <v>19.178082</v>
      </c>
      <c r="AJ88" s="51">
        <v>19.178082</v>
      </c>
      <c r="AK88" s="51">
        <v>19.178082</v>
      </c>
      <c r="AL88" s="51">
        <v>19.178082</v>
      </c>
      <c r="AM88" s="51">
        <v>19.178082</v>
      </c>
      <c r="AN88" s="51">
        <v>19.178082</v>
      </c>
      <c r="AO88" s="51">
        <v>19.178082</v>
      </c>
      <c r="AP88" s="51">
        <v>19.178082</v>
      </c>
      <c r="AQ88" s="51">
        <v>19.178082</v>
      </c>
      <c r="AR88" s="51">
        <v>19.178082</v>
      </c>
      <c r="AS88" s="51">
        <v>19.178082</v>
      </c>
      <c r="AT88" s="51">
        <v>19.178082</v>
      </c>
      <c r="AU88" s="51">
        <v>19.178082</v>
      </c>
      <c r="AV88" s="51">
        <v>19.178082</v>
      </c>
      <c r="AW88" s="51">
        <v>19.178082</v>
      </c>
      <c r="AX88" s="51">
        <v>19.178082</v>
      </c>
      <c r="AY88" s="51">
        <v>19.178082</v>
      </c>
      <c r="AZ88" s="50">
        <v>19.178082</v>
      </c>
      <c r="BA88" s="51">
        <v>19.178082</v>
      </c>
      <c r="BB88" s="50">
        <v>19.178082</v>
      </c>
      <c r="BC88" s="51">
        <v>19.178082</v>
      </c>
      <c r="BD88" s="51">
        <v>19.178082</v>
      </c>
      <c r="BE88" s="51">
        <v>19.178082</v>
      </c>
      <c r="BF88" s="51">
        <v>19.178082</v>
      </c>
      <c r="BG88" s="51">
        <v>19.178082</v>
      </c>
      <c r="BH88" s="51">
        <v>19.178082</v>
      </c>
      <c r="BI88" s="51"/>
      <c r="BJ88" s="51"/>
    </row>
    <row r="89" spans="1:67" ht="20.100000000000001" hidden="1" customHeight="1" outlineLevel="1" x14ac:dyDescent="0.25">
      <c r="A89" s="59" t="s">
        <v>223</v>
      </c>
      <c r="B89" s="51">
        <v>5.753425</v>
      </c>
      <c r="C89" s="51">
        <v>5.753425</v>
      </c>
      <c r="D89" s="51">
        <v>5.753425</v>
      </c>
      <c r="E89" s="51">
        <v>5.753425</v>
      </c>
      <c r="F89" s="51">
        <v>5.753425</v>
      </c>
      <c r="G89" s="51">
        <v>5.753425</v>
      </c>
      <c r="H89" s="51">
        <v>5.753425</v>
      </c>
      <c r="I89" s="51">
        <v>5.753425</v>
      </c>
      <c r="J89" s="51">
        <v>5.753425</v>
      </c>
      <c r="K89" s="51">
        <v>5.753425</v>
      </c>
      <c r="L89" s="51">
        <v>5.753425</v>
      </c>
      <c r="M89" s="51">
        <v>5.753425</v>
      </c>
      <c r="N89" s="51">
        <v>5.753425</v>
      </c>
      <c r="O89" s="51">
        <v>5.753425</v>
      </c>
      <c r="P89" s="51">
        <v>5.753425</v>
      </c>
      <c r="Q89" s="51">
        <v>5.753425</v>
      </c>
      <c r="R89" s="51">
        <v>5.753425</v>
      </c>
      <c r="S89" s="51">
        <v>5.753425</v>
      </c>
      <c r="T89" s="51">
        <v>5.753425</v>
      </c>
      <c r="U89" s="51">
        <v>5.753425</v>
      </c>
      <c r="V89" s="51">
        <v>5.753425</v>
      </c>
      <c r="W89" s="51">
        <v>5.753425</v>
      </c>
      <c r="X89" s="51">
        <v>5.753425</v>
      </c>
      <c r="Y89" s="51">
        <v>5.753425</v>
      </c>
      <c r="Z89" s="51">
        <v>5.753425</v>
      </c>
      <c r="AA89" s="51">
        <v>5.753425</v>
      </c>
      <c r="AB89" s="51">
        <v>5.753425</v>
      </c>
      <c r="AC89" s="51">
        <v>5.753425</v>
      </c>
      <c r="AD89" s="51">
        <v>5.753425</v>
      </c>
      <c r="AE89" s="51">
        <v>5.753425</v>
      </c>
      <c r="AF89" s="51">
        <v>5.753425</v>
      </c>
      <c r="AG89" s="51">
        <v>5.753425</v>
      </c>
      <c r="AH89" s="51">
        <v>5.753425</v>
      </c>
      <c r="AI89" s="51">
        <v>5.753425</v>
      </c>
      <c r="AJ89" s="51">
        <v>5.753425</v>
      </c>
      <c r="AK89" s="51">
        <v>5.753425</v>
      </c>
      <c r="AL89" s="51">
        <v>5.753425</v>
      </c>
      <c r="AM89" s="51">
        <v>5.753425</v>
      </c>
      <c r="AN89" s="51">
        <v>5.753425</v>
      </c>
      <c r="AO89" s="51">
        <v>5.753425</v>
      </c>
      <c r="AP89" s="51">
        <v>5.753425</v>
      </c>
      <c r="AQ89" s="51">
        <v>5.753425</v>
      </c>
      <c r="AR89" s="51">
        <v>5.753425</v>
      </c>
      <c r="AS89" s="51">
        <v>5.753425</v>
      </c>
      <c r="AT89" s="51">
        <v>5.753425</v>
      </c>
      <c r="AU89" s="51">
        <v>5.753425</v>
      </c>
      <c r="AV89" s="51">
        <v>5.753425</v>
      </c>
      <c r="AW89" s="51">
        <v>5.753425</v>
      </c>
      <c r="AX89" s="51">
        <v>5.753425</v>
      </c>
      <c r="AY89" s="51">
        <v>5.753425</v>
      </c>
      <c r="AZ89" s="50">
        <v>5.753425</v>
      </c>
      <c r="BA89" s="51">
        <v>5.753425</v>
      </c>
      <c r="BB89" s="50">
        <v>5.753425</v>
      </c>
      <c r="BC89" s="51">
        <v>5.753425</v>
      </c>
      <c r="BD89" s="51">
        <v>5.753425</v>
      </c>
      <c r="BE89" s="51">
        <v>5.753425</v>
      </c>
      <c r="BF89" s="51">
        <v>5.753425</v>
      </c>
      <c r="BG89" s="51">
        <v>5.753425</v>
      </c>
      <c r="BH89" s="51">
        <v>5.753425</v>
      </c>
      <c r="BI89" s="51"/>
      <c r="BJ89" s="51"/>
    </row>
    <row r="90" spans="1:67" ht="20.100000000000001" hidden="1" customHeight="1" outlineLevel="1" x14ac:dyDescent="0.25">
      <c r="A90" s="59" t="s">
        <v>224</v>
      </c>
      <c r="B90" s="51">
        <v>22.279775999999998</v>
      </c>
      <c r="C90" s="51">
        <v>22.279775999999998</v>
      </c>
      <c r="D90" s="51">
        <v>22.279775999999998</v>
      </c>
      <c r="E90" s="51">
        <v>22.279775999999998</v>
      </c>
      <c r="F90" s="51">
        <v>22.279775999999998</v>
      </c>
      <c r="G90" s="51">
        <v>22.279775999999998</v>
      </c>
      <c r="H90" s="51">
        <v>22.279775999999998</v>
      </c>
      <c r="I90" s="51">
        <v>22.279775999999998</v>
      </c>
      <c r="J90" s="51">
        <v>22.279775999999998</v>
      </c>
      <c r="K90" s="51">
        <v>22.279775999999998</v>
      </c>
      <c r="L90" s="51">
        <v>22.279775999999998</v>
      </c>
      <c r="M90" s="51">
        <v>22.279775999999998</v>
      </c>
      <c r="N90" s="51">
        <v>22.279775999999998</v>
      </c>
      <c r="O90" s="51">
        <v>22.279775999999998</v>
      </c>
      <c r="P90" s="51">
        <v>22.279775999999998</v>
      </c>
      <c r="Q90" s="51">
        <v>22.279775999999998</v>
      </c>
      <c r="R90" s="51">
        <v>22.279775999999998</v>
      </c>
      <c r="S90" s="51">
        <v>22.279775999999998</v>
      </c>
      <c r="T90" s="51">
        <v>22.279775999999998</v>
      </c>
      <c r="U90" s="51">
        <v>22.279775999999998</v>
      </c>
      <c r="V90" s="51">
        <v>22.279775999999998</v>
      </c>
      <c r="W90" s="51">
        <v>22.279775999999998</v>
      </c>
      <c r="X90" s="51">
        <v>22.279775999999998</v>
      </c>
      <c r="Y90" s="51">
        <v>22.279775999999998</v>
      </c>
      <c r="Z90" s="51">
        <v>22.279775999999998</v>
      </c>
      <c r="AA90" s="51">
        <v>22.279775999999998</v>
      </c>
      <c r="AB90" s="51">
        <v>22.279775999999998</v>
      </c>
      <c r="AC90" s="51">
        <v>22.279775999999998</v>
      </c>
      <c r="AD90" s="51">
        <v>22.279775999999998</v>
      </c>
      <c r="AE90" s="51">
        <v>22.279775999999998</v>
      </c>
      <c r="AF90" s="51">
        <v>22.279775999999998</v>
      </c>
      <c r="AG90" s="51">
        <v>22.279775999999998</v>
      </c>
      <c r="AH90" s="51">
        <v>22.279775999999998</v>
      </c>
      <c r="AI90" s="51">
        <v>22.279775999999998</v>
      </c>
      <c r="AJ90" s="51">
        <v>22.279775999999998</v>
      </c>
      <c r="AK90" s="51">
        <v>22.279775999999998</v>
      </c>
      <c r="AL90" s="51">
        <v>22.279775999999998</v>
      </c>
      <c r="AM90" s="51">
        <v>22.279775999999998</v>
      </c>
      <c r="AN90" s="51">
        <v>22.279775999999998</v>
      </c>
      <c r="AO90" s="51">
        <v>22.279775999999998</v>
      </c>
      <c r="AP90" s="51">
        <v>22.279775999999998</v>
      </c>
      <c r="AQ90" s="51">
        <v>22.279775999999998</v>
      </c>
      <c r="AR90" s="51">
        <v>22.279775999999998</v>
      </c>
      <c r="AS90" s="51">
        <v>22.279775999999998</v>
      </c>
      <c r="AT90" s="51">
        <v>22.279775999999998</v>
      </c>
      <c r="AU90" s="51">
        <v>22.279775999999998</v>
      </c>
      <c r="AV90" s="51">
        <v>22.279775999999998</v>
      </c>
      <c r="AW90" s="51">
        <v>22.279775999999998</v>
      </c>
      <c r="AX90" s="51">
        <v>22.279775999999998</v>
      </c>
      <c r="AY90" s="51">
        <v>22.279775999999998</v>
      </c>
      <c r="AZ90" s="50">
        <v>22.279775999999998</v>
      </c>
      <c r="BA90" s="51">
        <v>22.279775999999998</v>
      </c>
      <c r="BB90" s="50">
        <v>22.279775999999998</v>
      </c>
      <c r="BC90" s="51">
        <v>22.279775999999998</v>
      </c>
      <c r="BD90" s="51">
        <v>22.279775999999998</v>
      </c>
      <c r="BE90" s="51">
        <v>22.279775999999998</v>
      </c>
      <c r="BF90" s="51">
        <v>22.279775999999998</v>
      </c>
      <c r="BG90" s="51">
        <v>22.279775999999998</v>
      </c>
      <c r="BH90" s="51">
        <v>22.279775999999998</v>
      </c>
      <c r="BI90" s="51"/>
      <c r="BJ90" s="51"/>
    </row>
    <row r="91" spans="1:67" ht="20.100000000000001" hidden="1" customHeight="1" outlineLevel="1" x14ac:dyDescent="0.25">
      <c r="A91" s="59" t="s">
        <v>225</v>
      </c>
      <c r="B91" s="51">
        <v>5.6076269999999999</v>
      </c>
      <c r="C91" s="51">
        <v>5.6076269999999999</v>
      </c>
      <c r="D91" s="51">
        <v>5.6076269999999999</v>
      </c>
      <c r="E91" s="51">
        <v>5.6076269999999999</v>
      </c>
      <c r="F91" s="51">
        <v>5.6076269999999999</v>
      </c>
      <c r="G91" s="51">
        <v>5.6076269999999999</v>
      </c>
      <c r="H91" s="51">
        <v>5.6076269999999999</v>
      </c>
      <c r="I91" s="51">
        <v>5.6076269999999999</v>
      </c>
      <c r="J91" s="51">
        <v>5.6076269999999999</v>
      </c>
      <c r="K91" s="51">
        <v>5.6076269999999999</v>
      </c>
      <c r="L91" s="51">
        <v>5.6076269999999999</v>
      </c>
      <c r="M91" s="51">
        <v>5.6076269999999999</v>
      </c>
      <c r="N91" s="51">
        <v>5.6076269999999999</v>
      </c>
      <c r="O91" s="51">
        <v>5.6076269999999999</v>
      </c>
      <c r="P91" s="51">
        <v>5.6076269999999999</v>
      </c>
      <c r="Q91" s="51">
        <v>5.6076269999999999</v>
      </c>
      <c r="R91" s="51">
        <v>5.6076269999999999</v>
      </c>
      <c r="S91" s="51">
        <v>5.6076269999999999</v>
      </c>
      <c r="T91" s="51">
        <v>5.6076269999999999</v>
      </c>
      <c r="U91" s="51">
        <v>5.6076269999999999</v>
      </c>
      <c r="V91" s="51">
        <v>5.6076269999999999</v>
      </c>
      <c r="W91" s="51">
        <v>5.6076269999999999</v>
      </c>
      <c r="X91" s="51">
        <v>5.6076269999999999</v>
      </c>
      <c r="Y91" s="51">
        <v>5.6076269999999999</v>
      </c>
      <c r="Z91" s="51">
        <v>5.6076269999999999</v>
      </c>
      <c r="AA91" s="51">
        <v>5.6076269999999999</v>
      </c>
      <c r="AB91" s="51">
        <v>5.6076269999999999</v>
      </c>
      <c r="AC91" s="51">
        <v>5.6076269999999999</v>
      </c>
      <c r="AD91" s="51">
        <v>5.6076269999999999</v>
      </c>
      <c r="AE91" s="51">
        <v>5.6076269999999999</v>
      </c>
      <c r="AF91" s="51">
        <v>5.6076269999999999</v>
      </c>
      <c r="AG91" s="51">
        <v>5.6076269999999999</v>
      </c>
      <c r="AH91" s="51">
        <v>5.6076269999999999</v>
      </c>
      <c r="AI91" s="51">
        <v>5.6076269999999999</v>
      </c>
      <c r="AJ91" s="51">
        <v>5.6076269999999999</v>
      </c>
      <c r="AK91" s="51">
        <v>5.6076269999999999</v>
      </c>
      <c r="AL91" s="51">
        <v>5.6076269999999999</v>
      </c>
      <c r="AM91" s="51">
        <v>5.6076269999999999</v>
      </c>
      <c r="AN91" s="51">
        <v>5.6076269999999999</v>
      </c>
      <c r="AO91" s="51">
        <v>5.6076269999999999</v>
      </c>
      <c r="AP91" s="51">
        <v>5.6076269999999999</v>
      </c>
      <c r="AQ91" s="51">
        <v>5.6076269999999999</v>
      </c>
      <c r="AR91" s="51">
        <v>5.6076269999999999</v>
      </c>
      <c r="AS91" s="51">
        <v>5.6076269999999999</v>
      </c>
      <c r="AT91" s="51">
        <v>5.6076269999999999</v>
      </c>
      <c r="AU91" s="51">
        <v>5.6076269999999999</v>
      </c>
      <c r="AV91" s="51">
        <v>5.6076269999999999</v>
      </c>
      <c r="AW91" s="51">
        <v>5.6076269999999999</v>
      </c>
      <c r="AX91" s="51">
        <v>5.6076269999999999</v>
      </c>
      <c r="AY91" s="51">
        <v>5.6076269999999999</v>
      </c>
      <c r="AZ91" s="50">
        <v>5.6076269999999999</v>
      </c>
      <c r="BA91" s="51">
        <v>5.6076269999999999</v>
      </c>
      <c r="BB91" s="50">
        <v>5.6076269999999999</v>
      </c>
      <c r="BC91" s="51">
        <v>5.6076269999999999</v>
      </c>
      <c r="BD91" s="51">
        <v>5.6076269999999999</v>
      </c>
      <c r="BE91" s="51">
        <v>5.6076269999999999</v>
      </c>
      <c r="BF91" s="51">
        <v>5.6076269999999999</v>
      </c>
      <c r="BG91" s="51">
        <v>5.6076269999999999</v>
      </c>
      <c r="BH91" s="51">
        <v>5.6076269999999999</v>
      </c>
      <c r="BI91" s="51"/>
      <c r="BJ91" s="51"/>
    </row>
    <row r="92" spans="1:67" ht="20.100000000000001" hidden="1" customHeight="1" outlineLevel="1" x14ac:dyDescent="0.25">
      <c r="A92" s="59" t="s">
        <v>226</v>
      </c>
      <c r="B92" s="51">
        <v>16.301369999999999</v>
      </c>
      <c r="C92" s="51">
        <v>16.301369999999999</v>
      </c>
      <c r="D92" s="51">
        <v>16.301369999999999</v>
      </c>
      <c r="E92" s="51">
        <v>16.301369999999999</v>
      </c>
      <c r="F92" s="51">
        <v>16.301369999999999</v>
      </c>
      <c r="G92" s="51">
        <v>16.301369999999999</v>
      </c>
      <c r="H92" s="51">
        <v>16.301369999999999</v>
      </c>
      <c r="I92" s="51">
        <v>16.301369999999999</v>
      </c>
      <c r="J92" s="51">
        <v>16.301369999999999</v>
      </c>
      <c r="K92" s="51">
        <v>16.301369999999999</v>
      </c>
      <c r="L92" s="51">
        <v>16.301369999999999</v>
      </c>
      <c r="M92" s="51">
        <v>16.301369999999999</v>
      </c>
      <c r="N92" s="51">
        <v>16.301369999999999</v>
      </c>
      <c r="O92" s="51">
        <v>16.301369999999999</v>
      </c>
      <c r="P92" s="51">
        <v>16.301369999999999</v>
      </c>
      <c r="Q92" s="51">
        <v>16.301369999999999</v>
      </c>
      <c r="R92" s="51">
        <v>16.301369999999999</v>
      </c>
      <c r="S92" s="51">
        <v>16.301369999999999</v>
      </c>
      <c r="T92" s="51">
        <v>16.301369999999999</v>
      </c>
      <c r="U92" s="51">
        <v>16.301369999999999</v>
      </c>
      <c r="V92" s="51">
        <v>16.301369999999999</v>
      </c>
      <c r="W92" s="51">
        <v>16.301369999999999</v>
      </c>
      <c r="X92" s="51">
        <v>16.301369999999999</v>
      </c>
      <c r="Y92" s="51">
        <v>16.301369999999999</v>
      </c>
      <c r="Z92" s="51">
        <v>16.301369999999999</v>
      </c>
      <c r="AA92" s="51">
        <v>16.301369999999999</v>
      </c>
      <c r="AB92" s="51">
        <v>16.301369999999999</v>
      </c>
      <c r="AC92" s="51">
        <v>16.301369999999999</v>
      </c>
      <c r="AD92" s="51">
        <v>16.301369999999999</v>
      </c>
      <c r="AE92" s="51">
        <v>16.301369999999999</v>
      </c>
      <c r="AF92" s="51">
        <v>16.301369999999999</v>
      </c>
      <c r="AG92" s="51">
        <v>16.301369999999999</v>
      </c>
      <c r="AH92" s="51">
        <v>16.301369999999999</v>
      </c>
      <c r="AI92" s="51">
        <v>16.301369999999999</v>
      </c>
      <c r="AJ92" s="51">
        <v>16.301369999999999</v>
      </c>
      <c r="AK92" s="51">
        <v>16.301369999999999</v>
      </c>
      <c r="AL92" s="51">
        <v>16.301369999999999</v>
      </c>
      <c r="AM92" s="51">
        <v>16.301369999999999</v>
      </c>
      <c r="AN92" s="51">
        <v>16.301369999999999</v>
      </c>
      <c r="AO92" s="51">
        <v>16.301369999999999</v>
      </c>
      <c r="AP92" s="51">
        <v>16.301369999999999</v>
      </c>
      <c r="AQ92" s="51">
        <v>16.301369999999999</v>
      </c>
      <c r="AR92" s="51">
        <v>16.301369999999999</v>
      </c>
      <c r="AS92" s="51">
        <v>16.301369999999999</v>
      </c>
      <c r="AT92" s="51">
        <v>16.301369999999999</v>
      </c>
      <c r="AU92" s="51">
        <v>16.301369999999999</v>
      </c>
      <c r="AV92" s="51">
        <v>16.301369999999999</v>
      </c>
      <c r="AW92" s="51">
        <v>16.301369999999999</v>
      </c>
      <c r="AX92" s="51">
        <v>16.301369999999999</v>
      </c>
      <c r="AY92" s="51">
        <v>16.301369999999999</v>
      </c>
      <c r="AZ92" s="50">
        <v>16.301369999999999</v>
      </c>
      <c r="BA92" s="51">
        <v>16.301369999999999</v>
      </c>
      <c r="BB92" s="50">
        <v>16.301369999999999</v>
      </c>
      <c r="BC92" s="51">
        <v>16.301369999999999</v>
      </c>
      <c r="BD92" s="51">
        <v>16.301369999999999</v>
      </c>
      <c r="BE92" s="51">
        <v>16.301369999999999</v>
      </c>
      <c r="BF92" s="51">
        <v>16.301369999999999</v>
      </c>
      <c r="BG92" s="51">
        <v>16.301369999999999</v>
      </c>
      <c r="BH92" s="51">
        <v>16.301369999999999</v>
      </c>
      <c r="BI92" s="51"/>
      <c r="BJ92" s="51"/>
    </row>
    <row r="93" spans="1:67" ht="20.100000000000001" hidden="1" customHeight="1" outlineLevel="1" x14ac:dyDescent="0.25">
      <c r="A93" s="59" t="s">
        <v>227</v>
      </c>
      <c r="B93" s="51">
        <v>0</v>
      </c>
      <c r="C93" s="51">
        <v>0</v>
      </c>
      <c r="D93" s="51">
        <v>0</v>
      </c>
      <c r="E93" s="51">
        <v>4.3835620000000004</v>
      </c>
      <c r="F93" s="51">
        <v>4.3835620000000004</v>
      </c>
      <c r="G93" s="51">
        <v>4.3835620000000004</v>
      </c>
      <c r="H93" s="51">
        <v>4.3835620000000004</v>
      </c>
      <c r="I93" s="51">
        <v>4.3835620000000004</v>
      </c>
      <c r="J93" s="51">
        <v>4.3835620000000004</v>
      </c>
      <c r="K93" s="51">
        <v>4.3835620000000004</v>
      </c>
      <c r="L93" s="51">
        <v>4.3835620000000004</v>
      </c>
      <c r="M93" s="51">
        <v>4.3835620000000004</v>
      </c>
      <c r="N93" s="51">
        <v>4.3835620000000004</v>
      </c>
      <c r="O93" s="51">
        <v>4.3835620000000004</v>
      </c>
      <c r="P93" s="51">
        <v>4.3835620000000004</v>
      </c>
      <c r="Q93" s="51">
        <v>4.3835620000000004</v>
      </c>
      <c r="R93" s="51">
        <v>4.3835620000000004</v>
      </c>
      <c r="S93" s="51">
        <v>4.3835620000000004</v>
      </c>
      <c r="T93" s="51">
        <v>4.3835620000000004</v>
      </c>
      <c r="U93" s="51">
        <v>4.3835620000000004</v>
      </c>
      <c r="V93" s="51">
        <v>4.3835620000000004</v>
      </c>
      <c r="W93" s="51">
        <v>4.3835620000000004</v>
      </c>
      <c r="X93" s="51">
        <v>4.3835620000000004</v>
      </c>
      <c r="Y93" s="51">
        <v>4.3835620000000004</v>
      </c>
      <c r="Z93" s="51">
        <v>4.3835620000000004</v>
      </c>
      <c r="AA93" s="51">
        <v>4.3835620000000004</v>
      </c>
      <c r="AB93" s="51">
        <v>4.3835620000000004</v>
      </c>
      <c r="AC93" s="51">
        <v>4.3835620000000004</v>
      </c>
      <c r="AD93" s="51">
        <v>4.3835620000000004</v>
      </c>
      <c r="AE93" s="51">
        <v>4.3835620000000004</v>
      </c>
      <c r="AF93" s="51">
        <v>4.3835620000000004</v>
      </c>
      <c r="AG93" s="51">
        <v>4.3835620000000004</v>
      </c>
      <c r="AH93" s="51">
        <v>4.3835620000000004</v>
      </c>
      <c r="AI93" s="51">
        <v>4.3835620000000004</v>
      </c>
      <c r="AJ93" s="51">
        <v>4.3835620000000004</v>
      </c>
      <c r="AK93" s="51">
        <v>4.3835620000000004</v>
      </c>
      <c r="AL93" s="51">
        <v>4.3835620000000004</v>
      </c>
      <c r="AM93" s="51">
        <v>4.3835620000000004</v>
      </c>
      <c r="AN93" s="51">
        <v>4.3835620000000004</v>
      </c>
      <c r="AO93" s="51">
        <v>4.3835620000000004</v>
      </c>
      <c r="AP93" s="51">
        <v>4.3835620000000004</v>
      </c>
      <c r="AQ93" s="51">
        <v>4.3835620000000004</v>
      </c>
      <c r="AR93" s="51">
        <v>4.3835620000000004</v>
      </c>
      <c r="AS93" s="51">
        <v>4.3835620000000004</v>
      </c>
      <c r="AT93" s="51">
        <v>4.3835620000000004</v>
      </c>
      <c r="AU93" s="51">
        <v>4.3835620000000004</v>
      </c>
      <c r="AV93" s="51">
        <v>4.3835620000000004</v>
      </c>
      <c r="AW93" s="51">
        <v>4.3835620000000004</v>
      </c>
      <c r="AX93" s="51">
        <v>4.3835620000000004</v>
      </c>
      <c r="AY93" s="51">
        <v>4.3835620000000004</v>
      </c>
      <c r="AZ93" s="50">
        <v>4.3835620000000004</v>
      </c>
      <c r="BA93" s="51">
        <v>4.3835620000000004</v>
      </c>
      <c r="BB93" s="50">
        <v>4.3835620000000004</v>
      </c>
      <c r="BC93" s="51">
        <v>4.3835620000000004</v>
      </c>
      <c r="BD93" s="51">
        <v>4.3835620000000004</v>
      </c>
      <c r="BE93" s="51">
        <v>4.3835620000000004</v>
      </c>
      <c r="BF93" s="51">
        <v>4.3835620000000004</v>
      </c>
      <c r="BG93" s="51">
        <v>4.3835620000000004</v>
      </c>
      <c r="BH93" s="51">
        <v>4.3835620000000004</v>
      </c>
      <c r="BI93" s="51"/>
      <c r="BJ93" s="51"/>
    </row>
    <row r="94" spans="1:67" ht="20.100000000000001" hidden="1" customHeight="1" outlineLevel="1" x14ac:dyDescent="0.25">
      <c r="A94" s="59" t="s">
        <v>228</v>
      </c>
      <c r="B94" s="51">
        <v>0</v>
      </c>
      <c r="C94" s="51">
        <v>0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0</v>
      </c>
      <c r="V94" s="51">
        <v>0</v>
      </c>
      <c r="W94" s="51">
        <v>0</v>
      </c>
      <c r="X94" s="51">
        <v>0</v>
      </c>
      <c r="Y94" s="51">
        <v>0</v>
      </c>
      <c r="Z94" s="51">
        <v>0</v>
      </c>
      <c r="AA94" s="51">
        <v>0</v>
      </c>
      <c r="AB94" s="51">
        <v>0</v>
      </c>
      <c r="AC94" s="51">
        <v>0</v>
      </c>
      <c r="AD94" s="51">
        <v>0</v>
      </c>
      <c r="AE94" s="51">
        <v>0</v>
      </c>
      <c r="AF94" s="51">
        <v>0</v>
      </c>
      <c r="AG94" s="51">
        <v>0</v>
      </c>
      <c r="AH94" s="51">
        <v>0</v>
      </c>
      <c r="AI94" s="51">
        <v>4.3835620000000004</v>
      </c>
      <c r="AJ94" s="51">
        <v>4.3835620000000004</v>
      </c>
      <c r="AK94" s="51">
        <v>4.3835620000000004</v>
      </c>
      <c r="AL94" s="51">
        <v>4.3835620000000004</v>
      </c>
      <c r="AM94" s="51">
        <v>4.3835620000000004</v>
      </c>
      <c r="AN94" s="51">
        <v>4.3835620000000004</v>
      </c>
      <c r="AO94" s="51">
        <v>4.3835620000000004</v>
      </c>
      <c r="AP94" s="51">
        <v>4.3835620000000004</v>
      </c>
      <c r="AQ94" s="51">
        <v>4.3835620000000004</v>
      </c>
      <c r="AR94" s="51">
        <v>4.3835620000000004</v>
      </c>
      <c r="AS94" s="51">
        <v>4.3835620000000004</v>
      </c>
      <c r="AT94" s="51">
        <v>4.3835620000000004</v>
      </c>
      <c r="AU94" s="51">
        <v>4.3835620000000004</v>
      </c>
      <c r="AV94" s="51">
        <v>4.3835620000000004</v>
      </c>
      <c r="AW94" s="51">
        <v>4.3835620000000004</v>
      </c>
      <c r="AX94" s="51">
        <v>4.3835620000000004</v>
      </c>
      <c r="AY94" s="51">
        <v>4.3835620000000004</v>
      </c>
      <c r="AZ94" s="50">
        <v>4.3835620000000004</v>
      </c>
      <c r="BA94" s="51">
        <v>4.3835620000000004</v>
      </c>
      <c r="BB94" s="50">
        <v>4.3835620000000004</v>
      </c>
      <c r="BC94" s="51">
        <v>4.3835620000000004</v>
      </c>
      <c r="BD94" s="51">
        <v>4.3835620000000004</v>
      </c>
      <c r="BE94" s="51">
        <v>4.3835620000000004</v>
      </c>
      <c r="BF94" s="51">
        <v>4.3835620000000004</v>
      </c>
      <c r="BG94" s="51">
        <v>4.3835620000000004</v>
      </c>
      <c r="BH94" s="51">
        <v>4.3835620000000004</v>
      </c>
      <c r="BI94" s="51"/>
      <c r="BJ94" s="51"/>
    </row>
    <row r="95" spans="1:67" ht="20.100000000000001" hidden="1" customHeight="1" outlineLevel="1" x14ac:dyDescent="0.25">
      <c r="A95" s="59" t="s">
        <v>230</v>
      </c>
      <c r="B95" s="51">
        <v>6.575342</v>
      </c>
      <c r="C95" s="51">
        <v>6.575342</v>
      </c>
      <c r="D95" s="51">
        <v>6.575342</v>
      </c>
      <c r="E95" s="51">
        <v>6.575342</v>
      </c>
      <c r="F95" s="51">
        <v>6.575342</v>
      </c>
      <c r="G95" s="51">
        <v>6.575342</v>
      </c>
      <c r="H95" s="51">
        <v>6.575342</v>
      </c>
      <c r="I95" s="51">
        <v>6.575342</v>
      </c>
      <c r="J95" s="51">
        <v>6.575342</v>
      </c>
      <c r="K95" s="51">
        <v>6.575342</v>
      </c>
      <c r="L95" s="51">
        <v>6.575342</v>
      </c>
      <c r="M95" s="51">
        <v>6.575342</v>
      </c>
      <c r="N95" s="51">
        <v>6.575342</v>
      </c>
      <c r="O95" s="51">
        <v>6.575342</v>
      </c>
      <c r="P95" s="51">
        <v>6.575342</v>
      </c>
      <c r="Q95" s="51">
        <v>6.575342</v>
      </c>
      <c r="R95" s="51">
        <v>6.575342</v>
      </c>
      <c r="S95" s="51">
        <v>6.575342</v>
      </c>
      <c r="T95" s="51">
        <v>6.575342</v>
      </c>
      <c r="U95" s="51">
        <v>6.575342</v>
      </c>
      <c r="V95" s="51">
        <v>6.575342</v>
      </c>
      <c r="W95" s="51">
        <v>6.575342</v>
      </c>
      <c r="X95" s="51">
        <v>6.575342</v>
      </c>
      <c r="Y95" s="51">
        <v>6.575342</v>
      </c>
      <c r="Z95" s="51">
        <v>6.575342</v>
      </c>
      <c r="AA95" s="51">
        <v>6.575342</v>
      </c>
      <c r="AB95" s="51">
        <v>6.575342</v>
      </c>
      <c r="AC95" s="51">
        <v>6.575342</v>
      </c>
      <c r="AD95" s="51">
        <v>6.575342</v>
      </c>
      <c r="AE95" s="51">
        <v>6.575342</v>
      </c>
      <c r="AF95" s="51">
        <v>6.575342</v>
      </c>
      <c r="AG95" s="51">
        <v>6.575342</v>
      </c>
      <c r="AH95" s="51">
        <v>6.575342</v>
      </c>
      <c r="AI95" s="51">
        <v>6.575342</v>
      </c>
      <c r="AJ95" s="51">
        <v>6.575342</v>
      </c>
      <c r="AK95" s="51">
        <v>6.575342</v>
      </c>
      <c r="AL95" s="51">
        <v>6.575342</v>
      </c>
      <c r="AM95" s="51">
        <v>6.575342</v>
      </c>
      <c r="AN95" s="51">
        <v>6.575342</v>
      </c>
      <c r="AO95" s="51">
        <v>6.575342</v>
      </c>
      <c r="AP95" s="51">
        <v>6.575342</v>
      </c>
      <c r="AQ95" s="51">
        <v>6.575342</v>
      </c>
      <c r="AR95" s="51">
        <v>6.575342</v>
      </c>
      <c r="AS95" s="51">
        <v>6.575342</v>
      </c>
      <c r="AT95" s="51">
        <v>6.575342</v>
      </c>
      <c r="AU95" s="51">
        <v>6.575342</v>
      </c>
      <c r="AV95" s="51">
        <v>6.575342</v>
      </c>
      <c r="AW95" s="51">
        <v>6.575342</v>
      </c>
      <c r="AX95" s="51">
        <v>6.575342</v>
      </c>
      <c r="AY95" s="51">
        <v>6.575342</v>
      </c>
      <c r="AZ95" s="50">
        <v>6.575342</v>
      </c>
      <c r="BA95" s="51">
        <v>6.575342</v>
      </c>
      <c r="BB95" s="50">
        <v>6.575342</v>
      </c>
      <c r="BC95" s="51">
        <v>6.575342</v>
      </c>
      <c r="BD95" s="51">
        <v>6.575342</v>
      </c>
      <c r="BE95" s="51">
        <v>6.575342</v>
      </c>
      <c r="BF95" s="51">
        <v>6.575342</v>
      </c>
      <c r="BG95" s="51">
        <v>6.575342</v>
      </c>
      <c r="BH95" s="51">
        <v>6.575342</v>
      </c>
      <c r="BI95" s="51"/>
      <c r="BJ95" s="51"/>
    </row>
    <row r="96" spans="1:67" ht="20.100000000000001" hidden="1" customHeight="1" outlineLevel="1" x14ac:dyDescent="0.25">
      <c r="A96" s="59" t="s">
        <v>231</v>
      </c>
      <c r="B96" s="51">
        <v>4.6575340000000001</v>
      </c>
      <c r="C96" s="51">
        <v>4.6575340000000001</v>
      </c>
      <c r="D96" s="51">
        <v>4.6575340000000001</v>
      </c>
      <c r="E96" s="51">
        <v>4.6575340000000001</v>
      </c>
      <c r="F96" s="51">
        <v>4.6575340000000001</v>
      </c>
      <c r="G96" s="51">
        <v>4.6575340000000001</v>
      </c>
      <c r="H96" s="51">
        <v>4.6575340000000001</v>
      </c>
      <c r="I96" s="51">
        <v>4.6575340000000001</v>
      </c>
      <c r="J96" s="51">
        <v>4.6575340000000001</v>
      </c>
      <c r="K96" s="51">
        <v>4.6575340000000001</v>
      </c>
      <c r="L96" s="51">
        <v>4.6575340000000001</v>
      </c>
      <c r="M96" s="51">
        <v>4.6575340000000001</v>
      </c>
      <c r="N96" s="51">
        <v>4.6575340000000001</v>
      </c>
      <c r="O96" s="51">
        <v>4.6575340000000001</v>
      </c>
      <c r="P96" s="51">
        <v>4.6575340000000001</v>
      </c>
      <c r="Q96" s="51">
        <v>4.6575340000000001</v>
      </c>
      <c r="R96" s="51">
        <v>4.6575340000000001</v>
      </c>
      <c r="S96" s="51">
        <v>4.6575340000000001</v>
      </c>
      <c r="T96" s="51">
        <v>4.6575340000000001</v>
      </c>
      <c r="U96" s="51">
        <v>4.6575340000000001</v>
      </c>
      <c r="V96" s="51">
        <v>4.6575340000000001</v>
      </c>
      <c r="W96" s="51">
        <v>4.6575340000000001</v>
      </c>
      <c r="X96" s="51">
        <v>4.6575340000000001</v>
      </c>
      <c r="Y96" s="51">
        <v>4.6575340000000001</v>
      </c>
      <c r="Z96" s="51">
        <v>4.6575340000000001</v>
      </c>
      <c r="AA96" s="51">
        <v>4.6575340000000001</v>
      </c>
      <c r="AB96" s="51">
        <v>4.6575340000000001</v>
      </c>
      <c r="AC96" s="51">
        <v>4.6575340000000001</v>
      </c>
      <c r="AD96" s="51">
        <v>4.6575340000000001</v>
      </c>
      <c r="AE96" s="51">
        <v>4.6575340000000001</v>
      </c>
      <c r="AF96" s="51">
        <v>4.6575340000000001</v>
      </c>
      <c r="AG96" s="51">
        <v>4.6575340000000001</v>
      </c>
      <c r="AH96" s="51">
        <v>4.6575340000000001</v>
      </c>
      <c r="AI96" s="51">
        <v>4.6575340000000001</v>
      </c>
      <c r="AJ96" s="51">
        <v>4.6575340000000001</v>
      </c>
      <c r="AK96" s="51">
        <v>4.6575340000000001</v>
      </c>
      <c r="AL96" s="51">
        <v>4.6575340000000001</v>
      </c>
      <c r="AM96" s="51">
        <v>4.6575340000000001</v>
      </c>
      <c r="AN96" s="51">
        <v>4.6575340000000001</v>
      </c>
      <c r="AO96" s="51">
        <v>4.6575340000000001</v>
      </c>
      <c r="AP96" s="51">
        <v>4.6575340000000001</v>
      </c>
      <c r="AQ96" s="51">
        <v>4.6575340000000001</v>
      </c>
      <c r="AR96" s="51">
        <v>4.6575340000000001</v>
      </c>
      <c r="AS96" s="51">
        <v>4.6575340000000001</v>
      </c>
      <c r="AT96" s="51">
        <v>4.6575340000000001</v>
      </c>
      <c r="AU96" s="51">
        <v>4.6575340000000001</v>
      </c>
      <c r="AV96" s="51">
        <v>4.6575340000000001</v>
      </c>
      <c r="AW96" s="51">
        <v>4.6575340000000001</v>
      </c>
      <c r="AX96" s="51">
        <v>4.6575340000000001</v>
      </c>
      <c r="AY96" s="51">
        <v>4.6575340000000001</v>
      </c>
      <c r="AZ96" s="50">
        <v>4.6575340000000001</v>
      </c>
      <c r="BA96" s="51">
        <v>4.6575340000000001</v>
      </c>
      <c r="BB96" s="50">
        <v>4.6575340000000001</v>
      </c>
      <c r="BC96" s="51">
        <v>4.6575340000000001</v>
      </c>
      <c r="BD96" s="51">
        <v>4.6575340000000001</v>
      </c>
      <c r="BE96" s="51">
        <v>4.6575340000000001</v>
      </c>
      <c r="BF96" s="51">
        <v>4.6575340000000001</v>
      </c>
      <c r="BG96" s="51">
        <v>4.6575340000000001</v>
      </c>
      <c r="BH96" s="51">
        <v>4.6575340000000001</v>
      </c>
      <c r="BI96" s="51"/>
      <c r="BJ96" s="51"/>
    </row>
    <row r="97" spans="1:62" ht="20.100000000000001" hidden="1" customHeight="1" outlineLevel="1" x14ac:dyDescent="0.25">
      <c r="A97" s="59" t="s">
        <v>236</v>
      </c>
      <c r="B97" s="51">
        <v>9.1986299999999996</v>
      </c>
      <c r="C97" s="51">
        <v>9.1986299999999996</v>
      </c>
      <c r="D97" s="51">
        <v>9.1986299999999996</v>
      </c>
      <c r="E97" s="51">
        <v>9.1986299999999996</v>
      </c>
      <c r="F97" s="51">
        <v>9.1986299999999996</v>
      </c>
      <c r="G97" s="51">
        <v>9.1986299999999996</v>
      </c>
      <c r="H97" s="51">
        <v>9.1986299999999996</v>
      </c>
      <c r="I97" s="51">
        <v>9.1986299999999996</v>
      </c>
      <c r="J97" s="51">
        <v>9.1986299999999996</v>
      </c>
      <c r="K97" s="51">
        <v>9.1986299999999996</v>
      </c>
      <c r="L97" s="51">
        <v>9.1986299999999996</v>
      </c>
      <c r="M97" s="51">
        <v>9.1986299999999996</v>
      </c>
      <c r="N97" s="51">
        <v>9.1986299999999996</v>
      </c>
      <c r="O97" s="51">
        <v>9.1986299999999996</v>
      </c>
      <c r="P97" s="51">
        <v>9.1986299999999996</v>
      </c>
      <c r="Q97" s="51">
        <v>9.1986299999999996</v>
      </c>
      <c r="R97" s="51">
        <v>9.1986299999999996</v>
      </c>
      <c r="S97" s="51">
        <v>9.1986299999999996</v>
      </c>
      <c r="T97" s="51">
        <v>9.1986299999999996</v>
      </c>
      <c r="U97" s="51">
        <v>9.1986299999999996</v>
      </c>
      <c r="V97" s="51">
        <v>9.1986299999999996</v>
      </c>
      <c r="W97" s="51">
        <v>9.1986299999999996</v>
      </c>
      <c r="X97" s="51">
        <v>9.1986299999999996</v>
      </c>
      <c r="Y97" s="51">
        <v>9.1986299999999996</v>
      </c>
      <c r="Z97" s="51">
        <v>9.1986299999999996</v>
      </c>
      <c r="AA97" s="51">
        <v>9.1986299999999996</v>
      </c>
      <c r="AB97" s="51">
        <v>9.1986299999999996</v>
      </c>
      <c r="AC97" s="51">
        <v>9.1986299999999996</v>
      </c>
      <c r="AD97" s="51">
        <v>9.1986299999999996</v>
      </c>
      <c r="AE97" s="51">
        <v>9.1986299999999996</v>
      </c>
      <c r="AF97" s="51">
        <v>9.1986299999999996</v>
      </c>
      <c r="AG97" s="51">
        <v>9.1986299999999996</v>
      </c>
      <c r="AH97" s="51">
        <v>9.1986299999999996</v>
      </c>
      <c r="AI97" s="51">
        <v>9.1986299999999996</v>
      </c>
      <c r="AJ97" s="51">
        <v>9.1986299999999996</v>
      </c>
      <c r="AK97" s="51">
        <v>9.1986299999999996</v>
      </c>
      <c r="AL97" s="51">
        <v>9.1986299999999996</v>
      </c>
      <c r="AM97" s="51">
        <v>9.1986299999999996</v>
      </c>
      <c r="AN97" s="51">
        <v>9.1986299999999996</v>
      </c>
      <c r="AO97" s="51">
        <v>9.1986299999999996</v>
      </c>
      <c r="AP97" s="51">
        <v>9.1986299999999996</v>
      </c>
      <c r="AQ97" s="51">
        <v>9.1986299999999996</v>
      </c>
      <c r="AR97" s="51">
        <v>9.1986299999999996</v>
      </c>
      <c r="AS97" s="51">
        <v>9.1986299999999996</v>
      </c>
      <c r="AT97" s="51">
        <v>9.1986299999999996</v>
      </c>
      <c r="AU97" s="51">
        <v>9.1986299999999996</v>
      </c>
      <c r="AV97" s="51">
        <v>9.1986299999999996</v>
      </c>
      <c r="AW97" s="51">
        <v>9.1986299999999996</v>
      </c>
      <c r="AX97" s="51">
        <v>9.1986299999999996</v>
      </c>
      <c r="AY97" s="51">
        <v>9.1986299999999996</v>
      </c>
      <c r="AZ97" s="50">
        <v>9.1986299999999996</v>
      </c>
      <c r="BA97" s="51">
        <v>9.1986299999999996</v>
      </c>
      <c r="BB97" s="50">
        <v>9.1986299999999996</v>
      </c>
      <c r="BC97" s="51">
        <v>9.1986299999999996</v>
      </c>
      <c r="BD97" s="51">
        <v>9.1986299999999996</v>
      </c>
      <c r="BE97" s="51">
        <v>9.1986299999999996</v>
      </c>
      <c r="BF97" s="51">
        <v>9.1986299999999996</v>
      </c>
      <c r="BG97" s="51">
        <v>9.1986299999999996</v>
      </c>
      <c r="BH97" s="51">
        <v>9.1986299999999996</v>
      </c>
      <c r="BI97" s="51"/>
      <c r="BJ97" s="51"/>
    </row>
    <row r="98" spans="1:62" ht="20.100000000000001" hidden="1" customHeight="1" outlineLevel="1" x14ac:dyDescent="0.25">
      <c r="A98" s="59" t="s">
        <v>237</v>
      </c>
      <c r="B98" s="51">
        <v>17.724188000000002</v>
      </c>
      <c r="C98" s="51">
        <v>17.724188000000002</v>
      </c>
      <c r="D98" s="51">
        <v>17.724188000000002</v>
      </c>
      <c r="E98" s="51">
        <v>17.724188000000002</v>
      </c>
      <c r="F98" s="51">
        <v>17.724188000000002</v>
      </c>
      <c r="G98" s="51">
        <v>17.724188000000002</v>
      </c>
      <c r="H98" s="51">
        <v>17.724188000000002</v>
      </c>
      <c r="I98" s="51">
        <v>17.724188000000002</v>
      </c>
      <c r="J98" s="51">
        <v>17.724188000000002</v>
      </c>
      <c r="K98" s="51">
        <v>17.724188000000002</v>
      </c>
      <c r="L98" s="51">
        <v>17.724188000000002</v>
      </c>
      <c r="M98" s="51">
        <v>17.724188000000002</v>
      </c>
      <c r="N98" s="51">
        <v>17.724188000000002</v>
      </c>
      <c r="O98" s="51">
        <v>17.724188000000002</v>
      </c>
      <c r="P98" s="51">
        <v>17.724188000000002</v>
      </c>
      <c r="Q98" s="51">
        <v>17.724188000000002</v>
      </c>
      <c r="R98" s="51">
        <v>17.724188000000002</v>
      </c>
      <c r="S98" s="51">
        <v>17.724188000000002</v>
      </c>
      <c r="T98" s="51">
        <v>17.724188000000002</v>
      </c>
      <c r="U98" s="51">
        <v>17.724188000000002</v>
      </c>
      <c r="V98" s="51">
        <v>17.724188000000002</v>
      </c>
      <c r="W98" s="51">
        <v>17.724188000000002</v>
      </c>
      <c r="X98" s="51">
        <v>17.724188000000002</v>
      </c>
      <c r="Y98" s="51">
        <v>17.724188000000002</v>
      </c>
      <c r="Z98" s="51">
        <v>17.724188000000002</v>
      </c>
      <c r="AA98" s="51">
        <v>17.724188000000002</v>
      </c>
      <c r="AB98" s="51">
        <v>17.724188000000002</v>
      </c>
      <c r="AC98" s="51">
        <v>17.724188000000002</v>
      </c>
      <c r="AD98" s="51">
        <v>17.724188000000002</v>
      </c>
      <c r="AE98" s="51">
        <v>17.724188000000002</v>
      </c>
      <c r="AF98" s="51">
        <v>17.724188000000002</v>
      </c>
      <c r="AG98" s="51">
        <v>17.724188000000002</v>
      </c>
      <c r="AH98" s="51">
        <v>17.724188000000002</v>
      </c>
      <c r="AI98" s="51">
        <v>17.724188000000002</v>
      </c>
      <c r="AJ98" s="51">
        <v>17.724188000000002</v>
      </c>
      <c r="AK98" s="51">
        <v>17.724188000000002</v>
      </c>
      <c r="AL98" s="51">
        <v>17.724188000000002</v>
      </c>
      <c r="AM98" s="51">
        <v>17.724188000000002</v>
      </c>
      <c r="AN98" s="51">
        <v>17.724188000000002</v>
      </c>
      <c r="AO98" s="51">
        <v>17.724188000000002</v>
      </c>
      <c r="AP98" s="51">
        <v>17.724188000000002</v>
      </c>
      <c r="AQ98" s="51">
        <v>17.724188000000002</v>
      </c>
      <c r="AR98" s="51">
        <v>17.724188000000002</v>
      </c>
      <c r="AS98" s="51">
        <v>17.724188000000002</v>
      </c>
      <c r="AT98" s="51">
        <v>17.724188000000002</v>
      </c>
      <c r="AU98" s="51">
        <v>17.724188000000002</v>
      </c>
      <c r="AV98" s="51">
        <v>17.724188000000002</v>
      </c>
      <c r="AW98" s="51">
        <v>17.724188000000002</v>
      </c>
      <c r="AX98" s="51">
        <v>17.724188000000002</v>
      </c>
      <c r="AY98" s="51">
        <v>17.724188000000002</v>
      </c>
      <c r="AZ98" s="50">
        <v>17.724188000000002</v>
      </c>
      <c r="BA98" s="51">
        <v>17.724188000000002</v>
      </c>
      <c r="BB98" s="50">
        <v>17.724188000000002</v>
      </c>
      <c r="BC98" s="51">
        <v>17.724188000000002</v>
      </c>
      <c r="BD98" s="51">
        <v>17.724188000000002</v>
      </c>
      <c r="BE98" s="51">
        <v>17.724188000000002</v>
      </c>
      <c r="BF98" s="51">
        <v>17.724188000000002</v>
      </c>
      <c r="BG98" s="51">
        <v>17.724188000000002</v>
      </c>
      <c r="BH98" s="51">
        <v>17.724188000000002</v>
      </c>
      <c r="BI98" s="51"/>
      <c r="BJ98" s="51"/>
    </row>
    <row r="99" spans="1:62" ht="20.100000000000001" hidden="1" customHeight="1" outlineLevel="1" x14ac:dyDescent="0.25">
      <c r="A99" s="59" t="s">
        <v>238</v>
      </c>
      <c r="B99" s="51">
        <v>12.054795</v>
      </c>
      <c r="C99" s="51">
        <v>12.054795</v>
      </c>
      <c r="D99" s="51">
        <v>12.054795</v>
      </c>
      <c r="E99" s="51">
        <v>12.054795</v>
      </c>
      <c r="F99" s="51">
        <v>12.054795</v>
      </c>
      <c r="G99" s="51">
        <v>12.054795</v>
      </c>
      <c r="H99" s="51">
        <v>12.054795</v>
      </c>
      <c r="I99" s="51">
        <v>12.054795</v>
      </c>
      <c r="J99" s="51">
        <v>12.054795</v>
      </c>
      <c r="K99" s="51">
        <v>12.054795</v>
      </c>
      <c r="L99" s="51">
        <v>12.054795</v>
      </c>
      <c r="M99" s="51">
        <v>12.054795</v>
      </c>
      <c r="N99" s="51">
        <v>12.054795</v>
      </c>
      <c r="O99" s="51">
        <v>12.054795</v>
      </c>
      <c r="P99" s="51">
        <v>12.054795</v>
      </c>
      <c r="Q99" s="51">
        <v>12.054795</v>
      </c>
      <c r="R99" s="51">
        <v>12.054795</v>
      </c>
      <c r="S99" s="51">
        <v>12.054795</v>
      </c>
      <c r="T99" s="51">
        <v>12.054795</v>
      </c>
      <c r="U99" s="51">
        <v>12.054795</v>
      </c>
      <c r="V99" s="51">
        <v>12.054795</v>
      </c>
      <c r="W99" s="51">
        <v>12.054795</v>
      </c>
      <c r="X99" s="51">
        <v>12.054795</v>
      </c>
      <c r="Y99" s="51">
        <v>12.054795</v>
      </c>
      <c r="Z99" s="51">
        <v>12.054795</v>
      </c>
      <c r="AA99" s="51">
        <v>12.054795</v>
      </c>
      <c r="AB99" s="51">
        <v>12.054795</v>
      </c>
      <c r="AC99" s="51">
        <v>12.054795</v>
      </c>
      <c r="AD99" s="51">
        <v>12.054795</v>
      </c>
      <c r="AE99" s="51">
        <v>12.054795</v>
      </c>
      <c r="AF99" s="51">
        <v>12.054795</v>
      </c>
      <c r="AG99" s="51">
        <v>12.054795</v>
      </c>
      <c r="AH99" s="51">
        <v>12.054795</v>
      </c>
      <c r="AI99" s="51">
        <v>12.054795</v>
      </c>
      <c r="AJ99" s="51">
        <v>12.054795</v>
      </c>
      <c r="AK99" s="51">
        <v>12.054795</v>
      </c>
      <c r="AL99" s="51">
        <v>12.054795</v>
      </c>
      <c r="AM99" s="51">
        <v>12.054795</v>
      </c>
      <c r="AN99" s="51">
        <v>12.054795</v>
      </c>
      <c r="AO99" s="51">
        <v>12.054795</v>
      </c>
      <c r="AP99" s="51">
        <v>12.054795</v>
      </c>
      <c r="AQ99" s="51">
        <v>12.054795</v>
      </c>
      <c r="AR99" s="51">
        <v>12.054795</v>
      </c>
      <c r="AS99" s="51">
        <v>12.054795</v>
      </c>
      <c r="AT99" s="51">
        <v>12.054795</v>
      </c>
      <c r="AU99" s="51">
        <v>12.054795</v>
      </c>
      <c r="AV99" s="51">
        <v>12.054795</v>
      </c>
      <c r="AW99" s="51">
        <v>12.054795</v>
      </c>
      <c r="AX99" s="51">
        <v>12.054795</v>
      </c>
      <c r="AY99" s="51">
        <v>12.054795</v>
      </c>
      <c r="AZ99" s="50">
        <v>12.054795</v>
      </c>
      <c r="BA99" s="51">
        <v>12.054795</v>
      </c>
      <c r="BB99" s="50">
        <v>12.054795</v>
      </c>
      <c r="BC99" s="51">
        <v>12.054795</v>
      </c>
      <c r="BD99" s="51">
        <v>12.054795</v>
      </c>
      <c r="BE99" s="51">
        <v>12.054795</v>
      </c>
      <c r="BF99" s="51">
        <v>12.054795</v>
      </c>
      <c r="BG99" s="51">
        <v>12.054795</v>
      </c>
      <c r="BH99" s="51">
        <v>12.054795</v>
      </c>
      <c r="BI99" s="51"/>
      <c r="BJ99" s="51"/>
    </row>
    <row r="100" spans="1:62" ht="20.100000000000001" hidden="1" customHeight="1" outlineLevel="1" x14ac:dyDescent="0.25">
      <c r="A100" s="59" t="s">
        <v>239</v>
      </c>
      <c r="B100" s="51">
        <v>8.7671229999999998</v>
      </c>
      <c r="C100" s="51">
        <v>8.7671229999999998</v>
      </c>
      <c r="D100" s="51">
        <v>8.7671229999999998</v>
      </c>
      <c r="E100" s="51">
        <v>8.7671229999999998</v>
      </c>
      <c r="F100" s="51">
        <v>8.7671229999999998</v>
      </c>
      <c r="G100" s="51">
        <v>8.7671229999999998</v>
      </c>
      <c r="H100" s="51">
        <v>8.7671229999999998</v>
      </c>
      <c r="I100" s="51">
        <v>8.7671229999999998</v>
      </c>
      <c r="J100" s="51">
        <v>8.7671229999999998</v>
      </c>
      <c r="K100" s="51">
        <v>8.7671229999999998</v>
      </c>
      <c r="L100" s="51">
        <v>8.7671229999999998</v>
      </c>
      <c r="M100" s="51">
        <v>8.7671229999999998</v>
      </c>
      <c r="N100" s="51">
        <v>8.7671229999999998</v>
      </c>
      <c r="O100" s="51">
        <v>8.7671229999999998</v>
      </c>
      <c r="P100" s="51">
        <v>8.7671229999999998</v>
      </c>
      <c r="Q100" s="51">
        <v>8.7671229999999998</v>
      </c>
      <c r="R100" s="51">
        <v>8.7671229999999998</v>
      </c>
      <c r="S100" s="51">
        <v>8.7671229999999998</v>
      </c>
      <c r="T100" s="51">
        <v>8.7671229999999998</v>
      </c>
      <c r="U100" s="51">
        <v>8.7671229999999998</v>
      </c>
      <c r="V100" s="51">
        <v>8.7671229999999998</v>
      </c>
      <c r="W100" s="51">
        <v>8.7671229999999998</v>
      </c>
      <c r="X100" s="51">
        <v>8.7671229999999998</v>
      </c>
      <c r="Y100" s="51">
        <v>8.7671229999999998</v>
      </c>
      <c r="Z100" s="51">
        <v>8.7671229999999998</v>
      </c>
      <c r="AA100" s="51">
        <v>8.7671229999999998</v>
      </c>
      <c r="AB100" s="51">
        <v>8.7671229999999998</v>
      </c>
      <c r="AC100" s="51">
        <v>8.7671229999999998</v>
      </c>
      <c r="AD100" s="51">
        <v>8.7671229999999998</v>
      </c>
      <c r="AE100" s="51">
        <v>8.7671229999999998</v>
      </c>
      <c r="AF100" s="51">
        <v>8.7671229999999998</v>
      </c>
      <c r="AG100" s="51">
        <v>8.7671229999999998</v>
      </c>
      <c r="AH100" s="51">
        <v>8.7671229999999998</v>
      </c>
      <c r="AI100" s="51">
        <v>8.7671229999999998</v>
      </c>
      <c r="AJ100" s="51">
        <v>8.7671229999999998</v>
      </c>
      <c r="AK100" s="51">
        <v>8.7671229999999998</v>
      </c>
      <c r="AL100" s="51">
        <v>8.7671229999999998</v>
      </c>
      <c r="AM100" s="51">
        <v>8.7671229999999998</v>
      </c>
      <c r="AN100" s="51">
        <v>8.7671229999999998</v>
      </c>
      <c r="AO100" s="51">
        <v>8.7671229999999998</v>
      </c>
      <c r="AP100" s="51">
        <v>8.7671229999999998</v>
      </c>
      <c r="AQ100" s="51">
        <v>8.7671229999999998</v>
      </c>
      <c r="AR100" s="51">
        <v>8.7671229999999998</v>
      </c>
      <c r="AS100" s="51">
        <v>8.7671229999999998</v>
      </c>
      <c r="AT100" s="51">
        <v>8.7671229999999998</v>
      </c>
      <c r="AU100" s="51">
        <v>8.7671229999999998</v>
      </c>
      <c r="AV100" s="51">
        <v>8.7671229999999998</v>
      </c>
      <c r="AW100" s="51">
        <v>8.7671229999999998</v>
      </c>
      <c r="AX100" s="51">
        <v>8.7671229999999998</v>
      </c>
      <c r="AY100" s="51">
        <v>8.7671229999999998</v>
      </c>
      <c r="AZ100" s="50">
        <v>8.7671229999999998</v>
      </c>
      <c r="BA100" s="51">
        <v>8.7671229999999998</v>
      </c>
      <c r="BB100" s="50">
        <v>8.7671229999999998</v>
      </c>
      <c r="BC100" s="51">
        <v>8.7671229999999998</v>
      </c>
      <c r="BD100" s="51">
        <v>8.7671229999999998</v>
      </c>
      <c r="BE100" s="51">
        <v>8.7671229999999998</v>
      </c>
      <c r="BF100" s="51">
        <v>8.7671229999999998</v>
      </c>
      <c r="BG100" s="51">
        <v>8.7671229999999998</v>
      </c>
      <c r="BH100" s="51">
        <v>8.7671229999999998</v>
      </c>
      <c r="BI100" s="51"/>
      <c r="BJ100" s="51"/>
    </row>
    <row r="101" spans="1:62" ht="20.100000000000001" hidden="1" customHeight="1" outlineLevel="1" x14ac:dyDescent="0.25">
      <c r="A101" s="59" t="s">
        <v>240</v>
      </c>
      <c r="B101" s="51">
        <v>4.7868630000000003</v>
      </c>
      <c r="C101" s="51">
        <v>4.7868630000000003</v>
      </c>
      <c r="D101" s="51">
        <v>4.7868630000000003</v>
      </c>
      <c r="E101" s="51">
        <v>4.7868630000000003</v>
      </c>
      <c r="F101" s="51">
        <v>4.7868630000000003</v>
      </c>
      <c r="G101" s="51">
        <v>4.7868630000000003</v>
      </c>
      <c r="H101" s="51">
        <v>4.7868630000000003</v>
      </c>
      <c r="I101" s="51">
        <v>4.7868630000000003</v>
      </c>
      <c r="J101" s="51">
        <v>4.7868630000000003</v>
      </c>
      <c r="K101" s="51">
        <v>4.7868630000000003</v>
      </c>
      <c r="L101" s="51">
        <v>4.7868630000000003</v>
      </c>
      <c r="M101" s="51">
        <v>4.7868630000000003</v>
      </c>
      <c r="N101" s="51">
        <v>4.7868630000000003</v>
      </c>
      <c r="O101" s="51">
        <v>4.7868630000000003</v>
      </c>
      <c r="P101" s="51">
        <v>4.7868630000000003</v>
      </c>
      <c r="Q101" s="51">
        <v>4.7868630000000003</v>
      </c>
      <c r="R101" s="51">
        <v>4.7868630000000003</v>
      </c>
      <c r="S101" s="51">
        <v>4.7868630000000003</v>
      </c>
      <c r="T101" s="51">
        <v>4.7868630000000003</v>
      </c>
      <c r="U101" s="51">
        <v>4.7868630000000003</v>
      </c>
      <c r="V101" s="51">
        <v>4.7868630000000003</v>
      </c>
      <c r="W101" s="51">
        <v>4.7868630000000003</v>
      </c>
      <c r="X101" s="51">
        <v>4.7868630000000003</v>
      </c>
      <c r="Y101" s="51">
        <v>4.7868630000000003</v>
      </c>
      <c r="Z101" s="51">
        <v>4.7868630000000003</v>
      </c>
      <c r="AA101" s="51">
        <v>4.7868630000000003</v>
      </c>
      <c r="AB101" s="51">
        <v>4.7868630000000003</v>
      </c>
      <c r="AC101" s="51">
        <v>4.7868630000000003</v>
      </c>
      <c r="AD101" s="51">
        <v>4.7868630000000003</v>
      </c>
      <c r="AE101" s="51">
        <v>4.7868630000000003</v>
      </c>
      <c r="AF101" s="51">
        <v>4.7868630000000003</v>
      </c>
      <c r="AG101" s="51">
        <v>4.7868630000000003</v>
      </c>
      <c r="AH101" s="51">
        <v>4.7868630000000003</v>
      </c>
      <c r="AI101" s="51">
        <v>4.7868630000000003</v>
      </c>
      <c r="AJ101" s="51">
        <v>4.7868630000000003</v>
      </c>
      <c r="AK101" s="51">
        <v>4.7868630000000003</v>
      </c>
      <c r="AL101" s="51">
        <v>4.7868630000000003</v>
      </c>
      <c r="AM101" s="51">
        <v>4.7868630000000003</v>
      </c>
      <c r="AN101" s="51">
        <v>4.7868630000000003</v>
      </c>
      <c r="AO101" s="51">
        <v>4.7868630000000003</v>
      </c>
      <c r="AP101" s="51">
        <v>4.7868630000000003</v>
      </c>
      <c r="AQ101" s="51">
        <v>4.7868630000000003</v>
      </c>
      <c r="AR101" s="51">
        <v>4.7868630000000003</v>
      </c>
      <c r="AS101" s="51">
        <v>4.7868630000000003</v>
      </c>
      <c r="AT101" s="51">
        <v>4.7868630000000003</v>
      </c>
      <c r="AU101" s="51">
        <v>4.7868630000000003</v>
      </c>
      <c r="AV101" s="51">
        <v>4.7868630000000003</v>
      </c>
      <c r="AW101" s="51">
        <v>4.7868630000000003</v>
      </c>
      <c r="AX101" s="51">
        <v>4.7868630000000003</v>
      </c>
      <c r="AY101" s="51">
        <v>4.7868630000000003</v>
      </c>
      <c r="AZ101" s="50">
        <v>4.7868630000000003</v>
      </c>
      <c r="BA101" s="51">
        <v>4.7868630000000003</v>
      </c>
      <c r="BB101" s="50">
        <v>4.7868630000000003</v>
      </c>
      <c r="BC101" s="51">
        <v>4.7868630000000003</v>
      </c>
      <c r="BD101" s="51">
        <v>4.7868630000000003</v>
      </c>
      <c r="BE101" s="51">
        <v>4.7868630000000003</v>
      </c>
      <c r="BF101" s="51">
        <v>4.7868630000000003</v>
      </c>
      <c r="BG101" s="51">
        <v>4.7868630000000003</v>
      </c>
      <c r="BH101" s="51">
        <v>4.7868630000000003</v>
      </c>
      <c r="BI101" s="51"/>
      <c r="BJ101" s="51"/>
    </row>
    <row r="102" spans="1:62" ht="20.100000000000001" hidden="1" customHeight="1" outlineLevel="1" x14ac:dyDescent="0.25">
      <c r="A102" s="59" t="s">
        <v>297</v>
      </c>
      <c r="B102" s="51">
        <v>8.4185750000000006</v>
      </c>
      <c r="C102" s="51">
        <v>8.4185750000000006</v>
      </c>
      <c r="D102" s="51">
        <v>8.4185750000000006</v>
      </c>
      <c r="E102" s="51">
        <v>8.4185750000000006</v>
      </c>
      <c r="F102" s="51">
        <v>8.4185750000000006</v>
      </c>
      <c r="G102" s="51">
        <v>8.4185750000000006</v>
      </c>
      <c r="H102" s="51">
        <v>8.4185750000000006</v>
      </c>
      <c r="I102" s="51">
        <v>8.4185750000000006</v>
      </c>
      <c r="J102" s="51">
        <v>8.4185750000000006</v>
      </c>
      <c r="K102" s="51">
        <v>8.4185750000000006</v>
      </c>
      <c r="L102" s="51">
        <v>8.4185750000000006</v>
      </c>
      <c r="M102" s="51">
        <v>8.4185750000000006</v>
      </c>
      <c r="N102" s="51">
        <v>8.4185750000000006</v>
      </c>
      <c r="O102" s="51">
        <v>8.4185750000000006</v>
      </c>
      <c r="P102" s="51">
        <v>8.4185750000000006</v>
      </c>
      <c r="Q102" s="51">
        <v>8.4185750000000006</v>
      </c>
      <c r="R102" s="51">
        <v>8.4185750000000006</v>
      </c>
      <c r="S102" s="51">
        <v>8.4185750000000006</v>
      </c>
      <c r="T102" s="51">
        <v>8.4185750000000006</v>
      </c>
      <c r="U102" s="51">
        <v>8.4185750000000006</v>
      </c>
      <c r="V102" s="51">
        <v>8.4185750000000006</v>
      </c>
      <c r="W102" s="51">
        <v>8.4185750000000006</v>
      </c>
      <c r="X102" s="51">
        <v>8.4185750000000006</v>
      </c>
      <c r="Y102" s="51">
        <v>8.4185750000000006</v>
      </c>
      <c r="Z102" s="51">
        <v>8.4185750000000006</v>
      </c>
      <c r="AA102" s="51">
        <v>8.4185750000000006</v>
      </c>
      <c r="AB102" s="51">
        <v>8.4185750000000006</v>
      </c>
      <c r="AC102" s="51">
        <v>8.4185750000000006</v>
      </c>
      <c r="AD102" s="51">
        <v>8.4185750000000006</v>
      </c>
      <c r="AE102" s="51">
        <v>8.4185750000000006</v>
      </c>
      <c r="AF102" s="51">
        <v>8.4185750000000006</v>
      </c>
      <c r="AG102" s="51">
        <v>8.4185750000000006</v>
      </c>
      <c r="AH102" s="51">
        <v>8.4185750000000006</v>
      </c>
      <c r="AI102" s="51">
        <v>8.4185750000000006</v>
      </c>
      <c r="AJ102" s="51">
        <v>8.4185750000000006</v>
      </c>
      <c r="AK102" s="51">
        <v>8.4185750000000006</v>
      </c>
      <c r="AL102" s="51">
        <v>8.4185750000000006</v>
      </c>
      <c r="AM102" s="51">
        <v>8.4185750000000006</v>
      </c>
      <c r="AN102" s="51">
        <v>8.4185750000000006</v>
      </c>
      <c r="AO102" s="51">
        <v>8.4185750000000006</v>
      </c>
      <c r="AP102" s="51">
        <v>8.4185750000000006</v>
      </c>
      <c r="AQ102" s="51">
        <v>8.4185750000000006</v>
      </c>
      <c r="AR102" s="51">
        <v>8.4185750000000006</v>
      </c>
      <c r="AS102" s="51">
        <v>8.4185750000000006</v>
      </c>
      <c r="AT102" s="51">
        <v>8.4185750000000006</v>
      </c>
      <c r="AU102" s="51">
        <v>8.4185750000000006</v>
      </c>
      <c r="AV102" s="51">
        <v>8.4185750000000006</v>
      </c>
      <c r="AW102" s="51">
        <v>8.4185750000000006</v>
      </c>
      <c r="AX102" s="51">
        <v>8.4185750000000006</v>
      </c>
      <c r="AY102" s="51">
        <v>8.4185750000000006</v>
      </c>
      <c r="AZ102" s="50">
        <v>8.4185750000000006</v>
      </c>
      <c r="BA102" s="51">
        <v>8.4185750000000006</v>
      </c>
      <c r="BB102" s="50">
        <v>8.4185750000000006</v>
      </c>
      <c r="BC102" s="51">
        <v>8.4185750000000006</v>
      </c>
      <c r="BD102" s="51">
        <v>8.4185750000000006</v>
      </c>
      <c r="BE102" s="51">
        <v>8.4185750000000006</v>
      </c>
      <c r="BF102" s="51">
        <v>8.4185750000000006</v>
      </c>
      <c r="BG102" s="51">
        <v>8.4185750000000006</v>
      </c>
      <c r="BH102" s="51">
        <v>8.4185750000000006</v>
      </c>
      <c r="BI102" s="51"/>
      <c r="BJ102" s="51"/>
    </row>
    <row r="103" spans="1:62" ht="20.100000000000001" hidden="1" customHeight="1" outlineLevel="1" x14ac:dyDescent="0.25">
      <c r="A103" s="59" t="s">
        <v>242</v>
      </c>
      <c r="B103" s="51">
        <v>9.3150680000000001</v>
      </c>
      <c r="C103" s="51">
        <v>9.3150680000000001</v>
      </c>
      <c r="D103" s="51">
        <v>9.3150680000000001</v>
      </c>
      <c r="E103" s="51">
        <v>9.3150680000000001</v>
      </c>
      <c r="F103" s="51">
        <v>9.3150680000000001</v>
      </c>
      <c r="G103" s="51">
        <v>9.3150680000000001</v>
      </c>
      <c r="H103" s="51">
        <v>9.3150680000000001</v>
      </c>
      <c r="I103" s="51">
        <v>9.3150680000000001</v>
      </c>
      <c r="J103" s="51">
        <v>9.3150680000000001</v>
      </c>
      <c r="K103" s="51">
        <v>9.3150680000000001</v>
      </c>
      <c r="L103" s="51">
        <v>9.3150680000000001</v>
      </c>
      <c r="M103" s="51">
        <v>9.3150680000000001</v>
      </c>
      <c r="N103" s="51">
        <v>9.3150680000000001</v>
      </c>
      <c r="O103" s="51">
        <v>9.3150680000000001</v>
      </c>
      <c r="P103" s="51">
        <v>9.3150680000000001</v>
      </c>
      <c r="Q103" s="51">
        <v>9.3150680000000001</v>
      </c>
      <c r="R103" s="51">
        <v>9.3150680000000001</v>
      </c>
      <c r="S103" s="51">
        <v>9.3150680000000001</v>
      </c>
      <c r="T103" s="51">
        <v>9.3150680000000001</v>
      </c>
      <c r="U103" s="51">
        <v>9.3150680000000001</v>
      </c>
      <c r="V103" s="51">
        <v>9.3150680000000001</v>
      </c>
      <c r="W103" s="51">
        <v>9.3150680000000001</v>
      </c>
      <c r="X103" s="51">
        <v>9.3150680000000001</v>
      </c>
      <c r="Y103" s="51">
        <v>9.3150680000000001</v>
      </c>
      <c r="Z103" s="51">
        <v>9.3150680000000001</v>
      </c>
      <c r="AA103" s="51">
        <v>9.3150680000000001</v>
      </c>
      <c r="AB103" s="51">
        <v>9.3150680000000001</v>
      </c>
      <c r="AC103" s="51">
        <v>9.3150680000000001</v>
      </c>
      <c r="AD103" s="51">
        <v>9.3150680000000001</v>
      </c>
      <c r="AE103" s="51">
        <v>9.3150680000000001</v>
      </c>
      <c r="AF103" s="51">
        <v>9.3150680000000001</v>
      </c>
      <c r="AG103" s="51">
        <v>9.3150680000000001</v>
      </c>
      <c r="AH103" s="51">
        <v>9.3150680000000001</v>
      </c>
      <c r="AI103" s="51">
        <v>9.3150680000000001</v>
      </c>
      <c r="AJ103" s="51">
        <v>9.3150680000000001</v>
      </c>
      <c r="AK103" s="51">
        <v>9.3150680000000001</v>
      </c>
      <c r="AL103" s="51">
        <v>9.3150680000000001</v>
      </c>
      <c r="AM103" s="51">
        <v>9.3150680000000001</v>
      </c>
      <c r="AN103" s="51">
        <v>9.3150680000000001</v>
      </c>
      <c r="AO103" s="51">
        <v>9.3150680000000001</v>
      </c>
      <c r="AP103" s="51">
        <v>9.3150680000000001</v>
      </c>
      <c r="AQ103" s="51">
        <v>9.3150680000000001</v>
      </c>
      <c r="AR103" s="51">
        <v>9.3150680000000001</v>
      </c>
      <c r="AS103" s="51">
        <v>9.3150680000000001</v>
      </c>
      <c r="AT103" s="51">
        <v>9.3150680000000001</v>
      </c>
      <c r="AU103" s="51">
        <v>9.3150680000000001</v>
      </c>
      <c r="AV103" s="51">
        <v>9.3150680000000001</v>
      </c>
      <c r="AW103" s="51">
        <v>9.3150680000000001</v>
      </c>
      <c r="AX103" s="51">
        <v>9.3150680000000001</v>
      </c>
      <c r="AY103" s="51">
        <v>9.3150680000000001</v>
      </c>
      <c r="AZ103" s="50">
        <v>9.3150680000000001</v>
      </c>
      <c r="BA103" s="51">
        <v>9.3150680000000001</v>
      </c>
      <c r="BB103" s="50">
        <v>9.3150680000000001</v>
      </c>
      <c r="BC103" s="51">
        <v>9.3150680000000001</v>
      </c>
      <c r="BD103" s="51">
        <v>9.3150680000000001</v>
      </c>
      <c r="BE103" s="51">
        <v>9.3150680000000001</v>
      </c>
      <c r="BF103" s="51">
        <v>9.3150680000000001</v>
      </c>
      <c r="BG103" s="51">
        <v>9.3150680000000001</v>
      </c>
      <c r="BH103" s="51">
        <v>9.3150680000000001</v>
      </c>
      <c r="BI103" s="51"/>
      <c r="BJ103" s="51"/>
    </row>
    <row r="104" spans="1:62" ht="20.100000000000001" hidden="1" customHeight="1" outlineLevel="1" x14ac:dyDescent="0.25">
      <c r="A104" s="59" t="s">
        <v>243</v>
      </c>
      <c r="B104" s="51">
        <v>7.1917809999999998</v>
      </c>
      <c r="C104" s="51">
        <v>7.1917809999999998</v>
      </c>
      <c r="D104" s="51">
        <v>7.1917809999999998</v>
      </c>
      <c r="E104" s="51">
        <v>7.1917809999999998</v>
      </c>
      <c r="F104" s="51">
        <v>7.1917809999999998</v>
      </c>
      <c r="G104" s="51">
        <v>7.1917809999999998</v>
      </c>
      <c r="H104" s="51">
        <v>7.1917809999999998</v>
      </c>
      <c r="I104" s="51">
        <v>7.1917809999999998</v>
      </c>
      <c r="J104" s="51">
        <v>7.1917809999999998</v>
      </c>
      <c r="K104" s="51">
        <v>7.1917809999999998</v>
      </c>
      <c r="L104" s="51">
        <v>7.1917809999999998</v>
      </c>
      <c r="M104" s="51">
        <v>7.1917809999999998</v>
      </c>
      <c r="N104" s="51">
        <v>7.1917809999999998</v>
      </c>
      <c r="O104" s="51">
        <v>7.1917809999999998</v>
      </c>
      <c r="P104" s="51">
        <v>7.1917809999999998</v>
      </c>
      <c r="Q104" s="51">
        <v>7.1917809999999998</v>
      </c>
      <c r="R104" s="51">
        <v>7.1917809999999998</v>
      </c>
      <c r="S104" s="51">
        <v>7.1917809999999998</v>
      </c>
      <c r="T104" s="51">
        <v>7.1917809999999998</v>
      </c>
      <c r="U104" s="51">
        <v>7.1917809999999998</v>
      </c>
      <c r="V104" s="51">
        <v>7.1917809999999998</v>
      </c>
      <c r="W104" s="51">
        <v>7.1917809999999998</v>
      </c>
      <c r="X104" s="51">
        <v>7.1917809999999998</v>
      </c>
      <c r="Y104" s="51">
        <v>7.1917809999999998</v>
      </c>
      <c r="Z104" s="51">
        <v>7.1917809999999998</v>
      </c>
      <c r="AA104" s="51">
        <v>7.1917809999999998</v>
      </c>
      <c r="AB104" s="51">
        <v>7.1917809999999998</v>
      </c>
      <c r="AC104" s="51">
        <v>7.1917809999999998</v>
      </c>
      <c r="AD104" s="51">
        <v>7.1917809999999998</v>
      </c>
      <c r="AE104" s="51">
        <v>7.1917809999999998</v>
      </c>
      <c r="AF104" s="51">
        <v>7.1917809999999998</v>
      </c>
      <c r="AG104" s="51">
        <v>7.1917809999999998</v>
      </c>
      <c r="AH104" s="51">
        <v>7.1917809999999998</v>
      </c>
      <c r="AI104" s="51">
        <v>7.1917809999999998</v>
      </c>
      <c r="AJ104" s="51">
        <v>7.1917809999999998</v>
      </c>
      <c r="AK104" s="51">
        <v>7.1917809999999998</v>
      </c>
      <c r="AL104" s="51">
        <v>7.1917809999999998</v>
      </c>
      <c r="AM104" s="51">
        <v>7.1917809999999998</v>
      </c>
      <c r="AN104" s="51">
        <v>7.1917809999999998</v>
      </c>
      <c r="AO104" s="51">
        <v>7.1917809999999998</v>
      </c>
      <c r="AP104" s="51">
        <v>7.1917809999999998</v>
      </c>
      <c r="AQ104" s="51">
        <v>7.1917809999999998</v>
      </c>
      <c r="AR104" s="51">
        <v>7.1917809999999998</v>
      </c>
      <c r="AS104" s="51">
        <v>7.1917809999999998</v>
      </c>
      <c r="AT104" s="51">
        <v>7.1917809999999998</v>
      </c>
      <c r="AU104" s="51">
        <v>7.1917809999999998</v>
      </c>
      <c r="AV104" s="51">
        <v>7.1917809999999998</v>
      </c>
      <c r="AW104" s="51">
        <v>7.1917809999999998</v>
      </c>
      <c r="AX104" s="51">
        <v>7.1917809999999998</v>
      </c>
      <c r="AY104" s="51">
        <v>7.1917809999999998</v>
      </c>
      <c r="AZ104" s="50">
        <v>7.1917809999999998</v>
      </c>
      <c r="BA104" s="51">
        <v>7.1917809999999998</v>
      </c>
      <c r="BB104" s="50">
        <v>7.1917809999999998</v>
      </c>
      <c r="BC104" s="51">
        <v>7.1917809999999998</v>
      </c>
      <c r="BD104" s="51">
        <v>7.1917809999999998</v>
      </c>
      <c r="BE104" s="51">
        <v>7.1917809999999998</v>
      </c>
      <c r="BF104" s="51">
        <v>7.1917809999999998</v>
      </c>
      <c r="BG104" s="51">
        <v>7.1917809999999998</v>
      </c>
      <c r="BH104" s="51">
        <v>7.1917809999999998</v>
      </c>
      <c r="BI104" s="51"/>
      <c r="BJ104" s="51"/>
    </row>
    <row r="105" spans="1:62" ht="20.100000000000001" hidden="1" customHeight="1" outlineLevel="1" x14ac:dyDescent="0.25">
      <c r="A105" s="59" t="s">
        <v>245</v>
      </c>
      <c r="B105" s="51">
        <v>4.3835620000000004</v>
      </c>
      <c r="C105" s="51">
        <v>4.3835620000000004</v>
      </c>
      <c r="D105" s="51">
        <v>4.3835620000000004</v>
      </c>
      <c r="E105" s="51">
        <v>4.3835620000000004</v>
      </c>
      <c r="F105" s="51">
        <v>4.3835620000000004</v>
      </c>
      <c r="G105" s="51">
        <v>4.3835620000000004</v>
      </c>
      <c r="H105" s="51">
        <v>4.3835620000000004</v>
      </c>
      <c r="I105" s="51">
        <v>4.3835620000000004</v>
      </c>
      <c r="J105" s="51">
        <v>4.3835620000000004</v>
      </c>
      <c r="K105" s="51">
        <v>4.3835620000000004</v>
      </c>
      <c r="L105" s="51">
        <v>4.3835620000000004</v>
      </c>
      <c r="M105" s="51">
        <v>4.3835620000000004</v>
      </c>
      <c r="N105" s="51">
        <v>4.3835620000000004</v>
      </c>
      <c r="O105" s="51">
        <v>4.3835620000000004</v>
      </c>
      <c r="P105" s="51">
        <v>4.3835620000000004</v>
      </c>
      <c r="Q105" s="51">
        <v>4.3835620000000004</v>
      </c>
      <c r="R105" s="51">
        <v>4.3835620000000004</v>
      </c>
      <c r="S105" s="51">
        <v>4.3835620000000004</v>
      </c>
      <c r="T105" s="51">
        <v>4.3835620000000004</v>
      </c>
      <c r="U105" s="51">
        <v>4.3835620000000004</v>
      </c>
      <c r="V105" s="51">
        <v>4.3835620000000004</v>
      </c>
      <c r="W105" s="51">
        <v>4.3835620000000004</v>
      </c>
      <c r="X105" s="51">
        <v>4.3835620000000004</v>
      </c>
      <c r="Y105" s="51">
        <v>4.3835620000000004</v>
      </c>
      <c r="Z105" s="51">
        <v>4.3835620000000004</v>
      </c>
      <c r="AA105" s="51">
        <v>4.3835620000000004</v>
      </c>
      <c r="AB105" s="51">
        <v>4.3835620000000004</v>
      </c>
      <c r="AC105" s="51">
        <v>4.3835620000000004</v>
      </c>
      <c r="AD105" s="51">
        <v>4.3835620000000004</v>
      </c>
      <c r="AE105" s="51">
        <v>4.3835620000000004</v>
      </c>
      <c r="AF105" s="51">
        <v>4.3835620000000004</v>
      </c>
      <c r="AG105" s="51">
        <v>4.3835620000000004</v>
      </c>
      <c r="AH105" s="51">
        <v>4.3835620000000004</v>
      </c>
      <c r="AI105" s="51">
        <v>4.3835620000000004</v>
      </c>
      <c r="AJ105" s="51">
        <v>4.3835620000000004</v>
      </c>
      <c r="AK105" s="51">
        <v>4.3835620000000004</v>
      </c>
      <c r="AL105" s="51">
        <v>4.3835620000000004</v>
      </c>
      <c r="AM105" s="51">
        <v>4.3835620000000004</v>
      </c>
      <c r="AN105" s="51">
        <v>4.3835620000000004</v>
      </c>
      <c r="AO105" s="51">
        <v>4.3835620000000004</v>
      </c>
      <c r="AP105" s="51">
        <v>4.3835620000000004</v>
      </c>
      <c r="AQ105" s="51">
        <v>4.3835620000000004</v>
      </c>
      <c r="AR105" s="51">
        <v>4.3835620000000004</v>
      </c>
      <c r="AS105" s="51">
        <v>4.3835620000000004</v>
      </c>
      <c r="AT105" s="51">
        <v>4.3835620000000004</v>
      </c>
      <c r="AU105" s="51">
        <v>4.3835620000000004</v>
      </c>
      <c r="AV105" s="51">
        <v>4.3835620000000004</v>
      </c>
      <c r="AW105" s="51">
        <v>4.3835620000000004</v>
      </c>
      <c r="AX105" s="51">
        <v>4.3835620000000004</v>
      </c>
      <c r="AY105" s="51">
        <v>4.3835620000000004</v>
      </c>
      <c r="AZ105" s="50">
        <v>4.3835620000000004</v>
      </c>
      <c r="BA105" s="51">
        <v>4.3835620000000004</v>
      </c>
      <c r="BB105" s="50">
        <v>4.3835620000000004</v>
      </c>
      <c r="BC105" s="51">
        <v>4.3835620000000004</v>
      </c>
      <c r="BD105" s="51">
        <v>4.3835620000000004</v>
      </c>
      <c r="BE105" s="51">
        <v>4.3835620000000004</v>
      </c>
      <c r="BF105" s="51">
        <v>4.3835620000000004</v>
      </c>
      <c r="BG105" s="51">
        <v>4.3835620000000004</v>
      </c>
      <c r="BH105" s="51">
        <v>4.3835620000000004</v>
      </c>
      <c r="BI105" s="51"/>
      <c r="BJ105" s="51"/>
    </row>
    <row r="106" spans="1:62" ht="20.100000000000001" hidden="1" customHeight="1" outlineLevel="1" x14ac:dyDescent="0.25">
      <c r="A106" s="59" t="s">
        <v>246</v>
      </c>
      <c r="B106" s="51">
        <v>7.155151</v>
      </c>
      <c r="C106" s="51">
        <v>7.155151</v>
      </c>
      <c r="D106" s="51">
        <v>7.155151</v>
      </c>
      <c r="E106" s="51">
        <v>7.155151</v>
      </c>
      <c r="F106" s="51">
        <v>7.155151</v>
      </c>
      <c r="G106" s="51">
        <v>7.155151</v>
      </c>
      <c r="H106" s="51">
        <v>7.155151</v>
      </c>
      <c r="I106" s="51">
        <v>7.155151</v>
      </c>
      <c r="J106" s="51">
        <v>7.155151</v>
      </c>
      <c r="K106" s="51">
        <v>7.155151</v>
      </c>
      <c r="L106" s="51">
        <v>7.155151</v>
      </c>
      <c r="M106" s="51">
        <v>7.155151</v>
      </c>
      <c r="N106" s="51">
        <v>7.155151</v>
      </c>
      <c r="O106" s="51">
        <v>7.155151</v>
      </c>
      <c r="P106" s="51">
        <v>7.155151</v>
      </c>
      <c r="Q106" s="51">
        <v>7.155151</v>
      </c>
      <c r="R106" s="51">
        <v>7.155151</v>
      </c>
      <c r="S106" s="51">
        <v>7.155151</v>
      </c>
      <c r="T106" s="51">
        <v>7.155151</v>
      </c>
      <c r="U106" s="51">
        <v>7.155151</v>
      </c>
      <c r="V106" s="51">
        <v>7.155151</v>
      </c>
      <c r="W106" s="51">
        <v>7.155151</v>
      </c>
      <c r="X106" s="51">
        <v>7.155151</v>
      </c>
      <c r="Y106" s="51">
        <v>7.155151</v>
      </c>
      <c r="Z106" s="51">
        <v>7.155151</v>
      </c>
      <c r="AA106" s="51">
        <v>7.155151</v>
      </c>
      <c r="AB106" s="51">
        <v>7.155151</v>
      </c>
      <c r="AC106" s="51">
        <v>7.155151</v>
      </c>
      <c r="AD106" s="51">
        <v>7.155151</v>
      </c>
      <c r="AE106" s="51">
        <v>7.155151</v>
      </c>
      <c r="AF106" s="51">
        <v>7.155151</v>
      </c>
      <c r="AG106" s="51">
        <v>7.155151</v>
      </c>
      <c r="AH106" s="51">
        <v>7.155151</v>
      </c>
      <c r="AI106" s="51">
        <v>7.155151</v>
      </c>
      <c r="AJ106" s="51">
        <v>7.155151</v>
      </c>
      <c r="AK106" s="51">
        <v>7.155151</v>
      </c>
      <c r="AL106" s="51">
        <v>7.155151</v>
      </c>
      <c r="AM106" s="51">
        <v>7.155151</v>
      </c>
      <c r="AN106" s="51">
        <v>7.155151</v>
      </c>
      <c r="AO106" s="51">
        <v>7.155151</v>
      </c>
      <c r="AP106" s="51">
        <v>7.155151</v>
      </c>
      <c r="AQ106" s="51">
        <v>7.155151</v>
      </c>
      <c r="AR106" s="51">
        <v>7.155151</v>
      </c>
      <c r="AS106" s="51">
        <v>7.155151</v>
      </c>
      <c r="AT106" s="51">
        <v>7.155151</v>
      </c>
      <c r="AU106" s="51">
        <v>7.155151</v>
      </c>
      <c r="AV106" s="51">
        <v>7.155151</v>
      </c>
      <c r="AW106" s="51">
        <v>7.155151</v>
      </c>
      <c r="AX106" s="51">
        <v>7.155151</v>
      </c>
      <c r="AY106" s="51">
        <v>7.155151</v>
      </c>
      <c r="AZ106" s="50">
        <v>7.155151</v>
      </c>
      <c r="BA106" s="51">
        <v>7.155151</v>
      </c>
      <c r="BB106" s="50">
        <v>7.155151</v>
      </c>
      <c r="BC106" s="51">
        <v>7.155151</v>
      </c>
      <c r="BD106" s="51">
        <v>7.155151</v>
      </c>
      <c r="BE106" s="51">
        <v>7.155151</v>
      </c>
      <c r="BF106" s="51">
        <v>7.155151</v>
      </c>
      <c r="BG106" s="51">
        <v>7.155151</v>
      </c>
      <c r="BH106" s="51">
        <v>7.155151</v>
      </c>
      <c r="BI106" s="51"/>
      <c r="BJ106" s="51"/>
    </row>
    <row r="107" spans="1:62" ht="20.100000000000001" hidden="1" customHeight="1" outlineLevel="1" x14ac:dyDescent="0.25">
      <c r="A107" s="59" t="s">
        <v>247</v>
      </c>
      <c r="B107" s="51">
        <v>9.8121229999999997</v>
      </c>
      <c r="C107" s="51">
        <v>9.8121229999999997</v>
      </c>
      <c r="D107" s="51">
        <v>9.8121229999999997</v>
      </c>
      <c r="E107" s="51">
        <v>9.8121229999999997</v>
      </c>
      <c r="F107" s="51">
        <v>9.8121229999999997</v>
      </c>
      <c r="G107" s="51">
        <v>9.8121229999999997</v>
      </c>
      <c r="H107" s="51">
        <v>9.8121229999999997</v>
      </c>
      <c r="I107" s="51">
        <v>9.8121229999999997</v>
      </c>
      <c r="J107" s="51">
        <v>9.8121229999999997</v>
      </c>
      <c r="K107" s="51">
        <v>9.8121229999999997</v>
      </c>
      <c r="L107" s="51">
        <v>9.8121229999999997</v>
      </c>
      <c r="M107" s="51">
        <v>9.8121229999999997</v>
      </c>
      <c r="N107" s="51">
        <v>9.8121229999999997</v>
      </c>
      <c r="O107" s="51">
        <v>9.8121229999999997</v>
      </c>
      <c r="P107" s="51">
        <v>9.8121229999999997</v>
      </c>
      <c r="Q107" s="51">
        <v>9.8121229999999997</v>
      </c>
      <c r="R107" s="51">
        <v>9.8121229999999997</v>
      </c>
      <c r="S107" s="51">
        <v>9.8121229999999997</v>
      </c>
      <c r="T107" s="51">
        <v>9.8121229999999997</v>
      </c>
      <c r="U107" s="51">
        <v>9.8121229999999997</v>
      </c>
      <c r="V107" s="51">
        <v>9.8121229999999997</v>
      </c>
      <c r="W107" s="51">
        <v>9.8121229999999997</v>
      </c>
      <c r="X107" s="51">
        <v>9.8121229999999997</v>
      </c>
      <c r="Y107" s="51">
        <v>9.8121229999999997</v>
      </c>
      <c r="Z107" s="51">
        <v>9.8121229999999997</v>
      </c>
      <c r="AA107" s="51">
        <v>9.8121229999999997</v>
      </c>
      <c r="AB107" s="51">
        <v>9.8121229999999997</v>
      </c>
      <c r="AC107" s="51">
        <v>9.8121229999999997</v>
      </c>
      <c r="AD107" s="51">
        <v>9.8121229999999997</v>
      </c>
      <c r="AE107" s="51">
        <v>9.8121229999999997</v>
      </c>
      <c r="AF107" s="51">
        <v>9.8121229999999997</v>
      </c>
      <c r="AG107" s="51">
        <v>9.8121229999999997</v>
      </c>
      <c r="AH107" s="51">
        <v>9.8121229999999997</v>
      </c>
      <c r="AI107" s="51">
        <v>9.8121229999999997</v>
      </c>
      <c r="AJ107" s="51">
        <v>9.8121229999999997</v>
      </c>
      <c r="AK107" s="51">
        <v>9.8121229999999997</v>
      </c>
      <c r="AL107" s="51">
        <v>9.8121229999999997</v>
      </c>
      <c r="AM107" s="51">
        <v>9.8121229999999997</v>
      </c>
      <c r="AN107" s="51">
        <v>9.8121229999999997</v>
      </c>
      <c r="AO107" s="51">
        <v>9.8121229999999997</v>
      </c>
      <c r="AP107" s="51">
        <v>9.8121229999999997</v>
      </c>
      <c r="AQ107" s="51">
        <v>9.8121229999999997</v>
      </c>
      <c r="AR107" s="51">
        <v>9.8121229999999997</v>
      </c>
      <c r="AS107" s="51">
        <v>9.8121229999999997</v>
      </c>
      <c r="AT107" s="51">
        <v>9.8121229999999997</v>
      </c>
      <c r="AU107" s="51">
        <v>9.8121229999999997</v>
      </c>
      <c r="AV107" s="51">
        <v>9.8121229999999997</v>
      </c>
      <c r="AW107" s="51">
        <v>9.8121229999999997</v>
      </c>
      <c r="AX107" s="51">
        <v>9.8121229999999997</v>
      </c>
      <c r="AY107" s="51">
        <v>9.8121229999999997</v>
      </c>
      <c r="AZ107" s="50">
        <v>9.8121229999999997</v>
      </c>
      <c r="BA107" s="51">
        <v>9.8121229999999997</v>
      </c>
      <c r="BB107" s="50">
        <v>9.8121229999999997</v>
      </c>
      <c r="BC107" s="51">
        <v>9.8121229999999997</v>
      </c>
      <c r="BD107" s="51">
        <v>9.8121229999999997</v>
      </c>
      <c r="BE107" s="51">
        <v>9.8121229999999997</v>
      </c>
      <c r="BF107" s="51">
        <v>9.8121229999999997</v>
      </c>
      <c r="BG107" s="51">
        <v>9.8121229999999997</v>
      </c>
      <c r="BH107" s="51">
        <v>9.8121229999999997</v>
      </c>
      <c r="BI107" s="51"/>
      <c r="BJ107" s="51"/>
    </row>
    <row r="108" spans="1:62" ht="20.100000000000001" hidden="1" customHeight="1" outlineLevel="1" x14ac:dyDescent="0.25">
      <c r="A108" s="59" t="s">
        <v>248</v>
      </c>
      <c r="B108" s="51">
        <v>5.6986299999999996</v>
      </c>
      <c r="C108" s="51">
        <v>5.6986299999999996</v>
      </c>
      <c r="D108" s="51">
        <v>5.6986299999999996</v>
      </c>
      <c r="E108" s="51">
        <v>5.6986299999999996</v>
      </c>
      <c r="F108" s="51">
        <v>5.6986299999999996</v>
      </c>
      <c r="G108" s="51">
        <v>5.6986299999999996</v>
      </c>
      <c r="H108" s="51">
        <v>5.6986299999999996</v>
      </c>
      <c r="I108" s="51">
        <v>5.6986299999999996</v>
      </c>
      <c r="J108" s="51">
        <v>5.6986299999999996</v>
      </c>
      <c r="K108" s="51">
        <v>5.6986299999999996</v>
      </c>
      <c r="L108" s="51">
        <v>5.6986299999999996</v>
      </c>
      <c r="M108" s="51">
        <v>5.6986299999999996</v>
      </c>
      <c r="N108" s="51">
        <v>5.6986299999999996</v>
      </c>
      <c r="O108" s="51">
        <v>5.6986299999999996</v>
      </c>
      <c r="P108" s="51">
        <v>5.6986299999999996</v>
      </c>
      <c r="Q108" s="51">
        <v>5.6986299999999996</v>
      </c>
      <c r="R108" s="51">
        <v>5.6986299999999996</v>
      </c>
      <c r="S108" s="51">
        <v>5.6986299999999996</v>
      </c>
      <c r="T108" s="51">
        <v>5.6986299999999996</v>
      </c>
      <c r="U108" s="51">
        <v>5.6986299999999996</v>
      </c>
      <c r="V108" s="51">
        <v>5.6986299999999996</v>
      </c>
      <c r="W108" s="51">
        <v>5.6986299999999996</v>
      </c>
      <c r="X108" s="51">
        <v>5.6986299999999996</v>
      </c>
      <c r="Y108" s="51">
        <v>5.6986299999999996</v>
      </c>
      <c r="Z108" s="51">
        <v>5.6986299999999996</v>
      </c>
      <c r="AA108" s="51">
        <v>5.6986299999999996</v>
      </c>
      <c r="AB108" s="51">
        <v>5.6986299999999996</v>
      </c>
      <c r="AC108" s="51">
        <v>5.6986299999999996</v>
      </c>
      <c r="AD108" s="51">
        <v>5.6986299999999996</v>
      </c>
      <c r="AE108" s="51">
        <v>5.6986299999999996</v>
      </c>
      <c r="AF108" s="51">
        <v>5.6986299999999996</v>
      </c>
      <c r="AG108" s="51">
        <v>5.6986299999999996</v>
      </c>
      <c r="AH108" s="51">
        <v>5.6986299999999996</v>
      </c>
      <c r="AI108" s="51">
        <v>5.6986299999999996</v>
      </c>
      <c r="AJ108" s="51">
        <v>5.6986299999999996</v>
      </c>
      <c r="AK108" s="51">
        <v>5.6986299999999996</v>
      </c>
      <c r="AL108" s="51">
        <v>5.6986299999999996</v>
      </c>
      <c r="AM108" s="51">
        <v>5.6986299999999996</v>
      </c>
      <c r="AN108" s="51">
        <v>5.6986299999999996</v>
      </c>
      <c r="AO108" s="51">
        <v>5.6986299999999996</v>
      </c>
      <c r="AP108" s="51">
        <v>5.6986299999999996</v>
      </c>
      <c r="AQ108" s="51">
        <v>5.6986299999999996</v>
      </c>
      <c r="AR108" s="51">
        <v>5.6986299999999996</v>
      </c>
      <c r="AS108" s="51">
        <v>5.6986299999999996</v>
      </c>
      <c r="AT108" s="51">
        <v>5.6986299999999996</v>
      </c>
      <c r="AU108" s="51">
        <v>5.6986299999999996</v>
      </c>
      <c r="AV108" s="51">
        <v>5.6986299999999996</v>
      </c>
      <c r="AW108" s="51">
        <v>5.6986299999999996</v>
      </c>
      <c r="AX108" s="51">
        <v>5.6986299999999996</v>
      </c>
      <c r="AY108" s="51">
        <v>5.6986299999999996</v>
      </c>
      <c r="AZ108" s="50">
        <v>5.6986299999999996</v>
      </c>
      <c r="BA108" s="51">
        <v>5.6986299999999996</v>
      </c>
      <c r="BB108" s="50">
        <v>5.6986299999999996</v>
      </c>
      <c r="BC108" s="51">
        <v>5.6986299999999996</v>
      </c>
      <c r="BD108" s="51">
        <v>5.6986299999999996</v>
      </c>
      <c r="BE108" s="51">
        <v>5.6986299999999996</v>
      </c>
      <c r="BF108" s="51">
        <v>5.6986299999999996</v>
      </c>
      <c r="BG108" s="51">
        <v>5.6986299999999996</v>
      </c>
      <c r="BH108" s="51">
        <v>5.6986299999999996</v>
      </c>
      <c r="BI108" s="51"/>
      <c r="BJ108" s="51"/>
    </row>
    <row r="109" spans="1:62" ht="20.100000000000001" hidden="1" customHeight="1" outlineLevel="1" x14ac:dyDescent="0.25">
      <c r="A109" s="59" t="s">
        <v>249</v>
      </c>
      <c r="B109" s="51">
        <v>11.643836</v>
      </c>
      <c r="C109" s="51">
        <v>11.643836</v>
      </c>
      <c r="D109" s="51">
        <v>11.643836</v>
      </c>
      <c r="E109" s="51">
        <v>11.643836</v>
      </c>
      <c r="F109" s="51">
        <v>11.643836</v>
      </c>
      <c r="G109" s="51">
        <v>11.643836</v>
      </c>
      <c r="H109" s="51">
        <v>11.643836</v>
      </c>
      <c r="I109" s="51">
        <v>11.643836</v>
      </c>
      <c r="J109" s="51">
        <v>11.643836</v>
      </c>
      <c r="K109" s="51">
        <v>11.643836</v>
      </c>
      <c r="L109" s="51">
        <v>11.643836</v>
      </c>
      <c r="M109" s="51">
        <v>11.643836</v>
      </c>
      <c r="N109" s="51">
        <v>11.643836</v>
      </c>
      <c r="O109" s="51">
        <v>11.643836</v>
      </c>
      <c r="P109" s="51">
        <v>11.643836</v>
      </c>
      <c r="Q109" s="51">
        <v>11.643836</v>
      </c>
      <c r="R109" s="51">
        <v>11.643836</v>
      </c>
      <c r="S109" s="51">
        <v>11.643836</v>
      </c>
      <c r="T109" s="51">
        <v>11.643836</v>
      </c>
      <c r="U109" s="51">
        <v>11.643836</v>
      </c>
      <c r="V109" s="51">
        <v>11.643836</v>
      </c>
      <c r="W109" s="51">
        <v>11.643836</v>
      </c>
      <c r="X109" s="51">
        <v>11.643836</v>
      </c>
      <c r="Y109" s="51">
        <v>11.643836</v>
      </c>
      <c r="Z109" s="51">
        <v>11.643836</v>
      </c>
      <c r="AA109" s="51">
        <v>11.643836</v>
      </c>
      <c r="AB109" s="51">
        <v>11.643836</v>
      </c>
      <c r="AC109" s="51">
        <v>11.643836</v>
      </c>
      <c r="AD109" s="51">
        <v>11.643836</v>
      </c>
      <c r="AE109" s="51">
        <v>11.643836</v>
      </c>
      <c r="AF109" s="51">
        <v>11.643836</v>
      </c>
      <c r="AG109" s="51">
        <v>11.643836</v>
      </c>
      <c r="AH109" s="51">
        <v>11.643836</v>
      </c>
      <c r="AI109" s="51">
        <v>11.643836</v>
      </c>
      <c r="AJ109" s="51">
        <v>11.643836</v>
      </c>
      <c r="AK109" s="51">
        <v>11.643836</v>
      </c>
      <c r="AL109" s="51">
        <v>11.643836</v>
      </c>
      <c r="AM109" s="51">
        <v>11.643836</v>
      </c>
      <c r="AN109" s="51">
        <v>11.643836</v>
      </c>
      <c r="AO109" s="51">
        <v>11.643836</v>
      </c>
      <c r="AP109" s="51">
        <v>11.643836</v>
      </c>
      <c r="AQ109" s="51">
        <v>11.643836</v>
      </c>
      <c r="AR109" s="51">
        <v>11.643836</v>
      </c>
      <c r="AS109" s="51">
        <v>11.643836</v>
      </c>
      <c r="AT109" s="51">
        <v>11.643836</v>
      </c>
      <c r="AU109" s="51">
        <v>11.643836</v>
      </c>
      <c r="AV109" s="51">
        <v>11.643836</v>
      </c>
      <c r="AW109" s="51">
        <v>11.643836</v>
      </c>
      <c r="AX109" s="51">
        <v>11.643836</v>
      </c>
      <c r="AY109" s="51">
        <v>11.643836</v>
      </c>
      <c r="AZ109" s="50">
        <v>11.643836</v>
      </c>
      <c r="BA109" s="51">
        <v>11.643836</v>
      </c>
      <c r="BB109" s="50">
        <v>11.643836</v>
      </c>
      <c r="BC109" s="51">
        <v>11.643836</v>
      </c>
      <c r="BD109" s="51">
        <v>11.643836</v>
      </c>
      <c r="BE109" s="51">
        <v>11.643836</v>
      </c>
      <c r="BF109" s="51">
        <v>11.643836</v>
      </c>
      <c r="BG109" s="51">
        <v>11.643836</v>
      </c>
      <c r="BH109" s="51">
        <v>11.643836</v>
      </c>
      <c r="BI109" s="51"/>
      <c r="BJ109" s="51"/>
    </row>
    <row r="110" spans="1:62" ht="20.100000000000001" hidden="1" customHeight="1" outlineLevel="1" x14ac:dyDescent="0.25">
      <c r="A110" s="59" t="s">
        <v>251</v>
      </c>
      <c r="B110" s="51">
        <v>4.3835620000000004</v>
      </c>
      <c r="C110" s="51">
        <v>4.3835620000000004</v>
      </c>
      <c r="D110" s="51">
        <v>4.3835620000000004</v>
      </c>
      <c r="E110" s="51">
        <v>4.3835620000000004</v>
      </c>
      <c r="F110" s="51">
        <v>4.3835620000000004</v>
      </c>
      <c r="G110" s="51">
        <v>4.3835620000000004</v>
      </c>
      <c r="H110" s="51">
        <v>4.3835620000000004</v>
      </c>
      <c r="I110" s="51">
        <v>4.3835620000000004</v>
      </c>
      <c r="J110" s="51">
        <v>4.3835620000000004</v>
      </c>
      <c r="K110" s="51">
        <v>4.3835620000000004</v>
      </c>
      <c r="L110" s="51">
        <v>4.3835620000000004</v>
      </c>
      <c r="M110" s="51">
        <v>4.3835620000000004</v>
      </c>
      <c r="N110" s="51">
        <v>4.3835620000000004</v>
      </c>
      <c r="O110" s="51">
        <v>4.3835620000000004</v>
      </c>
      <c r="P110" s="51">
        <v>4.3835620000000004</v>
      </c>
      <c r="Q110" s="51">
        <v>4.3835620000000004</v>
      </c>
      <c r="R110" s="51">
        <v>4.3835620000000004</v>
      </c>
      <c r="S110" s="51">
        <v>4.3835620000000004</v>
      </c>
      <c r="T110" s="51">
        <v>4.3835620000000004</v>
      </c>
      <c r="U110" s="51">
        <v>4.3835620000000004</v>
      </c>
      <c r="V110" s="51">
        <v>4.3835620000000004</v>
      </c>
      <c r="W110" s="51">
        <v>4.3835620000000004</v>
      </c>
      <c r="X110" s="51">
        <v>4.3835620000000004</v>
      </c>
      <c r="Y110" s="51">
        <v>4.3835620000000004</v>
      </c>
      <c r="Z110" s="51">
        <v>4.3835620000000004</v>
      </c>
      <c r="AA110" s="51">
        <v>4.3835620000000004</v>
      </c>
      <c r="AB110" s="51">
        <v>4.3835620000000004</v>
      </c>
      <c r="AC110" s="51">
        <v>4.3835620000000004</v>
      </c>
      <c r="AD110" s="51">
        <v>4.3835620000000004</v>
      </c>
      <c r="AE110" s="51">
        <v>4.3835620000000004</v>
      </c>
      <c r="AF110" s="51">
        <v>4.3835620000000004</v>
      </c>
      <c r="AG110" s="51">
        <v>4.3835620000000004</v>
      </c>
      <c r="AH110" s="51">
        <v>4.3835620000000004</v>
      </c>
      <c r="AI110" s="51">
        <v>4.3835620000000004</v>
      </c>
      <c r="AJ110" s="51">
        <v>4.3835620000000004</v>
      </c>
      <c r="AK110" s="51">
        <v>4.3835620000000004</v>
      </c>
      <c r="AL110" s="51">
        <v>4.3835620000000004</v>
      </c>
      <c r="AM110" s="51">
        <v>4.3835620000000004</v>
      </c>
      <c r="AN110" s="51">
        <v>4.3835620000000004</v>
      </c>
      <c r="AO110" s="51">
        <v>4.3835620000000004</v>
      </c>
      <c r="AP110" s="51">
        <v>4.3835620000000004</v>
      </c>
      <c r="AQ110" s="51">
        <v>4.3835620000000004</v>
      </c>
      <c r="AR110" s="51">
        <v>4.3835620000000004</v>
      </c>
      <c r="AS110" s="51">
        <v>4.3835620000000004</v>
      </c>
      <c r="AT110" s="51">
        <v>4.3835620000000004</v>
      </c>
      <c r="AU110" s="51">
        <v>4.3835620000000004</v>
      </c>
      <c r="AV110" s="51">
        <v>4.3835620000000004</v>
      </c>
      <c r="AW110" s="51">
        <v>4.3835620000000004</v>
      </c>
      <c r="AX110" s="51">
        <v>4.3835620000000004</v>
      </c>
      <c r="AY110" s="51">
        <v>4.3835620000000004</v>
      </c>
      <c r="AZ110" s="50">
        <v>4.3835620000000004</v>
      </c>
      <c r="BA110" s="51">
        <v>4.3835620000000004</v>
      </c>
      <c r="BB110" s="50">
        <v>4.3835620000000004</v>
      </c>
      <c r="BC110" s="51">
        <v>4.3835620000000004</v>
      </c>
      <c r="BD110" s="51">
        <v>4.3835620000000004</v>
      </c>
      <c r="BE110" s="51">
        <v>4.3835620000000004</v>
      </c>
      <c r="BF110" s="51">
        <v>4.3835620000000004</v>
      </c>
      <c r="BG110" s="51">
        <v>4.3835620000000004</v>
      </c>
      <c r="BH110" s="51">
        <v>4.3835620000000004</v>
      </c>
      <c r="BI110" s="51"/>
      <c r="BJ110" s="51"/>
    </row>
    <row r="111" spans="1:62" ht="20.100000000000001" hidden="1" customHeight="1" outlineLevel="1" x14ac:dyDescent="0.25">
      <c r="A111" s="59" t="s">
        <v>252</v>
      </c>
      <c r="B111" s="51">
        <v>13.439451999999999</v>
      </c>
      <c r="C111" s="51">
        <v>13.439451999999999</v>
      </c>
      <c r="D111" s="51">
        <v>13.439451999999999</v>
      </c>
      <c r="E111" s="51">
        <v>13.439451999999999</v>
      </c>
      <c r="F111" s="51">
        <v>13.439451999999999</v>
      </c>
      <c r="G111" s="51">
        <v>13.439451999999999</v>
      </c>
      <c r="H111" s="51">
        <v>13.439451999999999</v>
      </c>
      <c r="I111" s="51">
        <v>13.439451999999999</v>
      </c>
      <c r="J111" s="51">
        <v>13.439451999999999</v>
      </c>
      <c r="K111" s="51">
        <v>13.439451999999999</v>
      </c>
      <c r="L111" s="51">
        <v>13.439451999999999</v>
      </c>
      <c r="M111" s="51">
        <v>13.439451999999999</v>
      </c>
      <c r="N111" s="51">
        <v>13.439451999999999</v>
      </c>
      <c r="O111" s="51">
        <v>13.439451999999999</v>
      </c>
      <c r="P111" s="51">
        <v>13.439451999999999</v>
      </c>
      <c r="Q111" s="51">
        <v>13.439451999999999</v>
      </c>
      <c r="R111" s="51">
        <v>13.439451999999999</v>
      </c>
      <c r="S111" s="51">
        <v>13.439451999999999</v>
      </c>
      <c r="T111" s="51">
        <v>13.439451999999999</v>
      </c>
      <c r="U111" s="51">
        <v>13.439451999999999</v>
      </c>
      <c r="V111" s="51">
        <v>13.439451999999999</v>
      </c>
      <c r="W111" s="51">
        <v>13.439451999999999</v>
      </c>
      <c r="X111" s="51">
        <v>13.439451999999999</v>
      </c>
      <c r="Y111" s="51">
        <v>13.439451999999999</v>
      </c>
      <c r="Z111" s="51">
        <v>13.439451999999999</v>
      </c>
      <c r="AA111" s="51">
        <v>13.439451999999999</v>
      </c>
      <c r="AB111" s="51">
        <v>13.439451999999999</v>
      </c>
      <c r="AC111" s="51">
        <v>13.439451999999999</v>
      </c>
      <c r="AD111" s="51">
        <v>13.439451999999999</v>
      </c>
      <c r="AE111" s="51">
        <v>13.439451999999999</v>
      </c>
      <c r="AF111" s="51">
        <v>13.439451999999999</v>
      </c>
      <c r="AG111" s="51">
        <v>13.439451999999999</v>
      </c>
      <c r="AH111" s="51">
        <v>13.439451999999999</v>
      </c>
      <c r="AI111" s="51">
        <v>13.439451999999999</v>
      </c>
      <c r="AJ111" s="51">
        <v>13.439451999999999</v>
      </c>
      <c r="AK111" s="51">
        <v>13.439451999999999</v>
      </c>
      <c r="AL111" s="51">
        <v>13.439451999999999</v>
      </c>
      <c r="AM111" s="51">
        <v>13.439451999999999</v>
      </c>
      <c r="AN111" s="51">
        <v>13.439451999999999</v>
      </c>
      <c r="AO111" s="51">
        <v>13.439451999999999</v>
      </c>
      <c r="AP111" s="51">
        <v>13.439451999999999</v>
      </c>
      <c r="AQ111" s="51">
        <v>13.439451999999999</v>
      </c>
      <c r="AR111" s="51">
        <v>13.439451999999999</v>
      </c>
      <c r="AS111" s="51">
        <v>13.439451999999999</v>
      </c>
      <c r="AT111" s="51">
        <v>13.439451999999999</v>
      </c>
      <c r="AU111" s="51">
        <v>13.439451999999999</v>
      </c>
      <c r="AV111" s="51">
        <v>13.439451999999999</v>
      </c>
      <c r="AW111" s="51">
        <v>13.439451999999999</v>
      </c>
      <c r="AX111" s="51">
        <v>13.439451999999999</v>
      </c>
      <c r="AY111" s="51">
        <v>13.439451999999999</v>
      </c>
      <c r="AZ111" s="50">
        <v>13.439451999999999</v>
      </c>
      <c r="BA111" s="51">
        <v>13.439451999999999</v>
      </c>
      <c r="BB111" s="50">
        <v>13.439451999999999</v>
      </c>
      <c r="BC111" s="51">
        <v>13.439451999999999</v>
      </c>
      <c r="BD111" s="51">
        <v>13.439451999999999</v>
      </c>
      <c r="BE111" s="51">
        <v>13.439451999999999</v>
      </c>
      <c r="BF111" s="51">
        <v>13.439451999999999</v>
      </c>
      <c r="BG111" s="51">
        <v>13.439451999999999</v>
      </c>
      <c r="BH111" s="51">
        <v>13.439451999999999</v>
      </c>
      <c r="BI111" s="51"/>
      <c r="BJ111" s="51"/>
    </row>
    <row r="112" spans="1:62" ht="20.100000000000001" hidden="1" customHeight="1" outlineLevel="1" x14ac:dyDescent="0.25">
      <c r="A112" s="59" t="s">
        <v>253</v>
      </c>
      <c r="B112" s="51">
        <v>15.546315999999999</v>
      </c>
      <c r="C112" s="51">
        <v>15.546315999999999</v>
      </c>
      <c r="D112" s="51">
        <v>15.546315999999999</v>
      </c>
      <c r="E112" s="51">
        <v>15.546315999999999</v>
      </c>
      <c r="F112" s="51">
        <v>15.546315999999999</v>
      </c>
      <c r="G112" s="51">
        <v>15.546315999999999</v>
      </c>
      <c r="H112" s="51">
        <v>15.546315999999999</v>
      </c>
      <c r="I112" s="51">
        <v>15.546315999999999</v>
      </c>
      <c r="J112" s="51">
        <v>15.546315999999999</v>
      </c>
      <c r="K112" s="51">
        <v>15.546315999999999</v>
      </c>
      <c r="L112" s="51">
        <v>15.546315999999999</v>
      </c>
      <c r="M112" s="51">
        <v>15.546315999999999</v>
      </c>
      <c r="N112" s="51">
        <v>15.546315999999999</v>
      </c>
      <c r="O112" s="51">
        <v>15.546315999999999</v>
      </c>
      <c r="P112" s="51">
        <v>15.546315999999999</v>
      </c>
      <c r="Q112" s="51">
        <v>15.546315999999999</v>
      </c>
      <c r="R112" s="51">
        <v>15.546315999999999</v>
      </c>
      <c r="S112" s="51">
        <v>15.546315999999999</v>
      </c>
      <c r="T112" s="51">
        <v>15.546315999999999</v>
      </c>
      <c r="U112" s="51">
        <v>15.546315999999999</v>
      </c>
      <c r="V112" s="51">
        <v>15.546315999999999</v>
      </c>
      <c r="W112" s="51">
        <v>15.546315999999999</v>
      </c>
      <c r="X112" s="51">
        <v>15.546315999999999</v>
      </c>
      <c r="Y112" s="51">
        <v>15.546315999999999</v>
      </c>
      <c r="Z112" s="51">
        <v>15.546315999999999</v>
      </c>
      <c r="AA112" s="51">
        <v>15.546315999999999</v>
      </c>
      <c r="AB112" s="51">
        <v>15.546315999999999</v>
      </c>
      <c r="AC112" s="51">
        <v>15.546315999999999</v>
      </c>
      <c r="AD112" s="51">
        <v>15.546315999999999</v>
      </c>
      <c r="AE112" s="51">
        <v>15.546315999999999</v>
      </c>
      <c r="AF112" s="51">
        <v>15.546315999999999</v>
      </c>
      <c r="AG112" s="51">
        <v>15.546315999999999</v>
      </c>
      <c r="AH112" s="51">
        <v>15.546315999999999</v>
      </c>
      <c r="AI112" s="51">
        <v>15.546315999999999</v>
      </c>
      <c r="AJ112" s="51">
        <v>15.546315999999999</v>
      </c>
      <c r="AK112" s="51">
        <v>15.546315999999999</v>
      </c>
      <c r="AL112" s="51">
        <v>15.546315999999999</v>
      </c>
      <c r="AM112" s="51">
        <v>15.546315999999999</v>
      </c>
      <c r="AN112" s="51">
        <v>15.546315999999999</v>
      </c>
      <c r="AO112" s="51">
        <v>15.546315999999999</v>
      </c>
      <c r="AP112" s="51">
        <v>15.546315999999999</v>
      </c>
      <c r="AQ112" s="51">
        <v>15.546315999999999</v>
      </c>
      <c r="AR112" s="51">
        <v>15.546315999999999</v>
      </c>
      <c r="AS112" s="51">
        <v>15.546315999999999</v>
      </c>
      <c r="AT112" s="51">
        <v>15.546315999999999</v>
      </c>
      <c r="AU112" s="51">
        <v>15.546315999999999</v>
      </c>
      <c r="AV112" s="51">
        <v>15.546315999999999</v>
      </c>
      <c r="AW112" s="51">
        <v>15.546315999999999</v>
      </c>
      <c r="AX112" s="51">
        <v>15.546315999999999</v>
      </c>
      <c r="AY112" s="51">
        <v>15.546315999999999</v>
      </c>
      <c r="AZ112" s="50">
        <v>15.546315999999999</v>
      </c>
      <c r="BA112" s="51">
        <v>15.546315999999999</v>
      </c>
      <c r="BB112" s="50">
        <v>15.546315999999999</v>
      </c>
      <c r="BC112" s="51">
        <v>15.546315999999999</v>
      </c>
      <c r="BD112" s="51">
        <v>15.546315999999999</v>
      </c>
      <c r="BE112" s="51">
        <v>15.546315999999999</v>
      </c>
      <c r="BF112" s="51">
        <v>15.546315999999999</v>
      </c>
      <c r="BG112" s="51">
        <v>15.546315999999999</v>
      </c>
      <c r="BH112" s="51">
        <v>15.546315999999999</v>
      </c>
      <c r="BI112" s="51"/>
      <c r="BJ112" s="51"/>
    </row>
    <row r="113" spans="1:62" ht="20.100000000000001" hidden="1" customHeight="1" outlineLevel="1" x14ac:dyDescent="0.25">
      <c r="A113" s="59" t="s">
        <v>254</v>
      </c>
      <c r="B113" s="51">
        <v>6.6665429999999999</v>
      </c>
      <c r="C113" s="51">
        <v>6.6665429999999999</v>
      </c>
      <c r="D113" s="51">
        <v>6.6665429999999999</v>
      </c>
      <c r="E113" s="51">
        <v>6.6665429999999999</v>
      </c>
      <c r="F113" s="51">
        <v>6.6665429999999999</v>
      </c>
      <c r="G113" s="51">
        <v>6.6665429999999999</v>
      </c>
      <c r="H113" s="51">
        <v>6.6665429999999999</v>
      </c>
      <c r="I113" s="51">
        <v>6.6665429999999999</v>
      </c>
      <c r="J113" s="51">
        <v>6.6665429999999999</v>
      </c>
      <c r="K113" s="51">
        <v>6.6665429999999999</v>
      </c>
      <c r="L113" s="51">
        <v>6.6665429999999999</v>
      </c>
      <c r="M113" s="51">
        <v>6.6665429999999999</v>
      </c>
      <c r="N113" s="51">
        <v>6.6665429999999999</v>
      </c>
      <c r="O113" s="51">
        <v>6.6665429999999999</v>
      </c>
      <c r="P113" s="51">
        <v>6.6665429999999999</v>
      </c>
      <c r="Q113" s="51">
        <v>6.6665429999999999</v>
      </c>
      <c r="R113" s="51">
        <v>6.6665429999999999</v>
      </c>
      <c r="S113" s="51">
        <v>6.6665429999999999</v>
      </c>
      <c r="T113" s="51">
        <v>6.6665429999999999</v>
      </c>
      <c r="U113" s="51">
        <v>6.6665429999999999</v>
      </c>
      <c r="V113" s="51">
        <v>6.6665429999999999</v>
      </c>
      <c r="W113" s="51">
        <v>6.6665429999999999</v>
      </c>
      <c r="X113" s="51">
        <v>6.6665429999999999</v>
      </c>
      <c r="Y113" s="51">
        <v>6.6665429999999999</v>
      </c>
      <c r="Z113" s="51">
        <v>6.6665429999999999</v>
      </c>
      <c r="AA113" s="51">
        <v>6.6665429999999999</v>
      </c>
      <c r="AB113" s="51">
        <v>6.6665429999999999</v>
      </c>
      <c r="AC113" s="51">
        <v>6.6665429999999999</v>
      </c>
      <c r="AD113" s="51">
        <v>6.6665429999999999</v>
      </c>
      <c r="AE113" s="51">
        <v>6.6665429999999999</v>
      </c>
      <c r="AF113" s="51">
        <v>6.6665429999999999</v>
      </c>
      <c r="AG113" s="51">
        <v>6.6665429999999999</v>
      </c>
      <c r="AH113" s="51">
        <v>6.6665429999999999</v>
      </c>
      <c r="AI113" s="51">
        <v>6.6665429999999999</v>
      </c>
      <c r="AJ113" s="51">
        <v>6.6665429999999999</v>
      </c>
      <c r="AK113" s="51">
        <v>6.6665429999999999</v>
      </c>
      <c r="AL113" s="51">
        <v>6.6665429999999999</v>
      </c>
      <c r="AM113" s="51">
        <v>6.6665429999999999</v>
      </c>
      <c r="AN113" s="51">
        <v>6.6665429999999999</v>
      </c>
      <c r="AO113" s="51">
        <v>6.6665429999999999</v>
      </c>
      <c r="AP113" s="51">
        <v>6.6665429999999999</v>
      </c>
      <c r="AQ113" s="51">
        <v>6.6665429999999999</v>
      </c>
      <c r="AR113" s="51">
        <v>6.6665429999999999</v>
      </c>
      <c r="AS113" s="51">
        <v>6.6665429999999999</v>
      </c>
      <c r="AT113" s="51">
        <v>6.6665429999999999</v>
      </c>
      <c r="AU113" s="51">
        <v>6.6665429999999999</v>
      </c>
      <c r="AV113" s="51">
        <v>6.6665429999999999</v>
      </c>
      <c r="AW113" s="51">
        <v>6.6665429999999999</v>
      </c>
      <c r="AX113" s="51">
        <v>6.6665429999999999</v>
      </c>
      <c r="AY113" s="51">
        <v>6.6665429999999999</v>
      </c>
      <c r="AZ113" s="50">
        <v>6.6665429999999999</v>
      </c>
      <c r="BA113" s="51">
        <v>6.6665429999999999</v>
      </c>
      <c r="BB113" s="50">
        <v>6.6665429999999999</v>
      </c>
      <c r="BC113" s="51">
        <v>6.6665429999999999</v>
      </c>
      <c r="BD113" s="51">
        <v>6.6665429999999999</v>
      </c>
      <c r="BE113" s="51">
        <v>6.6665429999999999</v>
      </c>
      <c r="BF113" s="51">
        <v>6.6665429999999999</v>
      </c>
      <c r="BG113" s="51">
        <v>6.6665429999999999</v>
      </c>
      <c r="BH113" s="51">
        <v>6.6665429999999999</v>
      </c>
      <c r="BI113" s="51"/>
      <c r="BJ113" s="51"/>
    </row>
    <row r="114" spans="1:62" ht="20.100000000000001" hidden="1" customHeight="1" outlineLevel="1" x14ac:dyDescent="0.25">
      <c r="A114" s="59" t="s">
        <v>255</v>
      </c>
      <c r="B114" s="51">
        <v>23.287671</v>
      </c>
      <c r="C114" s="51">
        <v>23.287671</v>
      </c>
      <c r="D114" s="51">
        <v>23.287671</v>
      </c>
      <c r="E114" s="51">
        <v>23.287671</v>
      </c>
      <c r="F114" s="51">
        <v>23.287671</v>
      </c>
      <c r="G114" s="51">
        <v>23.287671</v>
      </c>
      <c r="H114" s="51">
        <v>23.287671</v>
      </c>
      <c r="I114" s="51">
        <v>23.287671</v>
      </c>
      <c r="J114" s="51">
        <v>23.287671</v>
      </c>
      <c r="K114" s="51">
        <v>23.287671</v>
      </c>
      <c r="L114" s="51">
        <v>23.287671</v>
      </c>
      <c r="M114" s="51">
        <v>23.287671</v>
      </c>
      <c r="N114" s="51">
        <v>23.287671</v>
      </c>
      <c r="O114" s="51">
        <v>23.287671</v>
      </c>
      <c r="P114" s="51">
        <v>23.287671</v>
      </c>
      <c r="Q114" s="51">
        <v>23.287671</v>
      </c>
      <c r="R114" s="51">
        <v>23.287671</v>
      </c>
      <c r="S114" s="51">
        <v>23.287671</v>
      </c>
      <c r="T114" s="51">
        <v>23.287671</v>
      </c>
      <c r="U114" s="51">
        <v>23.287671</v>
      </c>
      <c r="V114" s="51">
        <v>23.287671</v>
      </c>
      <c r="W114" s="51">
        <v>23.287671</v>
      </c>
      <c r="X114" s="51">
        <v>23.287671</v>
      </c>
      <c r="Y114" s="51">
        <v>23.287671</v>
      </c>
      <c r="Z114" s="51">
        <v>23.287671</v>
      </c>
      <c r="AA114" s="51">
        <v>23.287671</v>
      </c>
      <c r="AB114" s="51">
        <v>23.287671</v>
      </c>
      <c r="AC114" s="51">
        <v>23.287671</v>
      </c>
      <c r="AD114" s="51">
        <v>23.287671</v>
      </c>
      <c r="AE114" s="51">
        <v>23.287671</v>
      </c>
      <c r="AF114" s="51">
        <v>23.287671</v>
      </c>
      <c r="AG114" s="51">
        <v>23.287671</v>
      </c>
      <c r="AH114" s="51">
        <v>23.287671</v>
      </c>
      <c r="AI114" s="51">
        <v>23.287671</v>
      </c>
      <c r="AJ114" s="51">
        <v>23.287671</v>
      </c>
      <c r="AK114" s="51">
        <v>23.287671</v>
      </c>
      <c r="AL114" s="51">
        <v>23.287671</v>
      </c>
      <c r="AM114" s="51">
        <v>23.287671</v>
      </c>
      <c r="AN114" s="51">
        <v>23.287671</v>
      </c>
      <c r="AO114" s="51">
        <v>23.287671</v>
      </c>
      <c r="AP114" s="51">
        <v>23.287671</v>
      </c>
      <c r="AQ114" s="51">
        <v>23.287671</v>
      </c>
      <c r="AR114" s="51">
        <v>23.287671</v>
      </c>
      <c r="AS114" s="51">
        <v>23.287671</v>
      </c>
      <c r="AT114" s="51">
        <v>23.287671</v>
      </c>
      <c r="AU114" s="51">
        <v>23.287671</v>
      </c>
      <c r="AV114" s="51">
        <v>23.287671</v>
      </c>
      <c r="AW114" s="51">
        <v>23.287671</v>
      </c>
      <c r="AX114" s="51">
        <v>23.287671</v>
      </c>
      <c r="AY114" s="51">
        <v>23.287671</v>
      </c>
      <c r="AZ114" s="50">
        <v>23.287671</v>
      </c>
      <c r="BA114" s="51">
        <v>23.287671</v>
      </c>
      <c r="BB114" s="50">
        <v>23.287671</v>
      </c>
      <c r="BC114" s="51">
        <v>23.287671</v>
      </c>
      <c r="BD114" s="51">
        <v>23.287671</v>
      </c>
      <c r="BE114" s="51">
        <v>23.287671</v>
      </c>
      <c r="BF114" s="51">
        <v>23.287671</v>
      </c>
      <c r="BG114" s="51">
        <v>23.287671</v>
      </c>
      <c r="BH114" s="51">
        <v>23.287671</v>
      </c>
      <c r="BI114" s="51"/>
      <c r="BJ114" s="51"/>
    </row>
    <row r="115" spans="1:62" ht="20.100000000000001" hidden="1" customHeight="1" outlineLevel="1" x14ac:dyDescent="0.25">
      <c r="A115" s="59" t="s">
        <v>256</v>
      </c>
      <c r="B115" s="51">
        <v>4.1095889999999997</v>
      </c>
      <c r="C115" s="51">
        <v>4.1095889999999997</v>
      </c>
      <c r="D115" s="51">
        <v>4.1095889999999997</v>
      </c>
      <c r="E115" s="51">
        <v>4.1095889999999997</v>
      </c>
      <c r="F115" s="51">
        <v>4.1095889999999997</v>
      </c>
      <c r="G115" s="51">
        <v>4.1095889999999997</v>
      </c>
      <c r="H115" s="51">
        <v>4.1095889999999997</v>
      </c>
      <c r="I115" s="51">
        <v>4.1095889999999997</v>
      </c>
      <c r="J115" s="51">
        <v>4.1095889999999997</v>
      </c>
      <c r="K115" s="51">
        <v>4.1095889999999997</v>
      </c>
      <c r="L115" s="51">
        <v>4.1095889999999997</v>
      </c>
      <c r="M115" s="51">
        <v>4.1095889999999997</v>
      </c>
      <c r="N115" s="51">
        <v>4.1095889999999997</v>
      </c>
      <c r="O115" s="51">
        <v>4.1095889999999997</v>
      </c>
      <c r="P115" s="51">
        <v>4.1095889999999997</v>
      </c>
      <c r="Q115" s="51">
        <v>4.1095889999999997</v>
      </c>
      <c r="R115" s="51">
        <v>4.1095889999999997</v>
      </c>
      <c r="S115" s="51">
        <v>4.1095889999999997</v>
      </c>
      <c r="T115" s="51">
        <v>4.1095889999999997</v>
      </c>
      <c r="U115" s="51">
        <v>4.1095889999999997</v>
      </c>
      <c r="V115" s="51">
        <v>4.1095889999999997</v>
      </c>
      <c r="W115" s="51">
        <v>4.1095889999999997</v>
      </c>
      <c r="X115" s="51">
        <v>4.1095889999999997</v>
      </c>
      <c r="Y115" s="51">
        <v>4.1095889999999997</v>
      </c>
      <c r="Z115" s="51">
        <v>4.1095889999999997</v>
      </c>
      <c r="AA115" s="51">
        <v>4.1095889999999997</v>
      </c>
      <c r="AB115" s="51">
        <v>4.1095889999999997</v>
      </c>
      <c r="AC115" s="51">
        <v>4.1095889999999997</v>
      </c>
      <c r="AD115" s="51">
        <v>4.1095889999999997</v>
      </c>
      <c r="AE115" s="51">
        <v>4.1095889999999997</v>
      </c>
      <c r="AF115" s="51">
        <v>4.1095889999999997</v>
      </c>
      <c r="AG115" s="51">
        <v>4.1095889999999997</v>
      </c>
      <c r="AH115" s="51">
        <v>4.1095889999999997</v>
      </c>
      <c r="AI115" s="51">
        <v>4.1095889999999997</v>
      </c>
      <c r="AJ115" s="51">
        <v>4.1095889999999997</v>
      </c>
      <c r="AK115" s="51">
        <v>4.1095889999999997</v>
      </c>
      <c r="AL115" s="51">
        <v>4.1095889999999997</v>
      </c>
      <c r="AM115" s="51">
        <v>4.1095889999999997</v>
      </c>
      <c r="AN115" s="51">
        <v>4.1095889999999997</v>
      </c>
      <c r="AO115" s="51">
        <v>4.1095889999999997</v>
      </c>
      <c r="AP115" s="51">
        <v>4.1095889999999997</v>
      </c>
      <c r="AQ115" s="51">
        <v>4.1095889999999997</v>
      </c>
      <c r="AR115" s="51">
        <v>4.1095889999999997</v>
      </c>
      <c r="AS115" s="51">
        <v>4.1095889999999997</v>
      </c>
      <c r="AT115" s="51">
        <v>4.1095889999999997</v>
      </c>
      <c r="AU115" s="51">
        <v>4.1095889999999997</v>
      </c>
      <c r="AV115" s="51">
        <v>4.1095889999999997</v>
      </c>
      <c r="AW115" s="51">
        <v>4.1095889999999997</v>
      </c>
      <c r="AX115" s="51">
        <v>4.1095889999999997</v>
      </c>
      <c r="AY115" s="51">
        <v>4.1095889999999997</v>
      </c>
      <c r="AZ115" s="50">
        <v>4.1095889999999997</v>
      </c>
      <c r="BA115" s="51">
        <v>4.1095889999999997</v>
      </c>
      <c r="BB115" s="50">
        <v>4.1095889999999997</v>
      </c>
      <c r="BC115" s="51">
        <v>4.1095889999999997</v>
      </c>
      <c r="BD115" s="51">
        <v>4.1095889999999997</v>
      </c>
      <c r="BE115" s="51">
        <v>4.1095889999999997</v>
      </c>
      <c r="BF115" s="51">
        <v>4.1095889999999997</v>
      </c>
      <c r="BG115" s="51">
        <v>4.1095889999999997</v>
      </c>
      <c r="BH115" s="51">
        <v>4.1095889999999997</v>
      </c>
      <c r="BI115" s="51"/>
      <c r="BJ115" s="51"/>
    </row>
    <row r="116" spans="1:62" ht="20.100000000000001" hidden="1" customHeight="1" outlineLevel="1" x14ac:dyDescent="0.25">
      <c r="A116" s="59" t="s">
        <v>298</v>
      </c>
      <c r="B116" s="51">
        <v>4.1095889999999997</v>
      </c>
      <c r="C116" s="51">
        <v>4.1095889999999997</v>
      </c>
      <c r="D116" s="51">
        <v>4.1095889999999997</v>
      </c>
      <c r="E116" s="51">
        <v>4.1095889999999997</v>
      </c>
      <c r="F116" s="51">
        <v>4.1095889999999997</v>
      </c>
      <c r="G116" s="51">
        <v>4.1095889999999997</v>
      </c>
      <c r="H116" s="51">
        <v>4.1095889999999997</v>
      </c>
      <c r="I116" s="51">
        <v>4.1095889999999997</v>
      </c>
      <c r="J116" s="51">
        <v>4.1095889999999997</v>
      </c>
      <c r="K116" s="51">
        <v>4.1095889999999997</v>
      </c>
      <c r="L116" s="51">
        <v>4.1095889999999997</v>
      </c>
      <c r="M116" s="51">
        <v>4.1095889999999997</v>
      </c>
      <c r="N116" s="51">
        <v>4.1095889999999997</v>
      </c>
      <c r="O116" s="51">
        <v>4.1095889999999997</v>
      </c>
      <c r="P116" s="51">
        <v>4.1095889999999997</v>
      </c>
      <c r="Q116" s="51">
        <v>4.1095889999999997</v>
      </c>
      <c r="R116" s="51">
        <v>4.1095889999999997</v>
      </c>
      <c r="S116" s="51">
        <v>4.1095889999999997</v>
      </c>
      <c r="T116" s="51">
        <v>4.1095889999999997</v>
      </c>
      <c r="U116" s="51">
        <v>4.1095889999999997</v>
      </c>
      <c r="V116" s="51">
        <v>4.1095889999999997</v>
      </c>
      <c r="W116" s="51">
        <v>4.1095889999999997</v>
      </c>
      <c r="X116" s="51">
        <v>4.1095889999999997</v>
      </c>
      <c r="Y116" s="51">
        <v>4.1095889999999997</v>
      </c>
      <c r="Z116" s="51">
        <v>4.1095889999999997</v>
      </c>
      <c r="AA116" s="51">
        <v>4.1095889999999997</v>
      </c>
      <c r="AB116" s="51">
        <v>4.1095889999999997</v>
      </c>
      <c r="AC116" s="51">
        <v>4.1095889999999997</v>
      </c>
      <c r="AD116" s="51">
        <v>4.1095889999999997</v>
      </c>
      <c r="AE116" s="51">
        <v>4.1095889999999997</v>
      </c>
      <c r="AF116" s="51">
        <v>4.1095889999999997</v>
      </c>
      <c r="AG116" s="51">
        <v>4.1095889999999997</v>
      </c>
      <c r="AH116" s="51">
        <v>4.1095889999999997</v>
      </c>
      <c r="AI116" s="51">
        <v>4.1095889999999997</v>
      </c>
      <c r="AJ116" s="51">
        <v>4.1095889999999997</v>
      </c>
      <c r="AK116" s="51">
        <v>4.1095889999999997</v>
      </c>
      <c r="AL116" s="51">
        <v>4.1095889999999997</v>
      </c>
      <c r="AM116" s="51">
        <v>4.1095889999999997</v>
      </c>
      <c r="AN116" s="51">
        <v>4.1095889999999997</v>
      </c>
      <c r="AO116" s="51">
        <v>4.1095889999999997</v>
      </c>
      <c r="AP116" s="51">
        <v>4.1095889999999997</v>
      </c>
      <c r="AQ116" s="51">
        <v>4.1095889999999997</v>
      </c>
      <c r="AR116" s="51">
        <v>4.1095889999999997</v>
      </c>
      <c r="AS116" s="51">
        <v>4.1095889999999997</v>
      </c>
      <c r="AT116" s="51">
        <v>4.1095889999999997</v>
      </c>
      <c r="AU116" s="51">
        <v>4.1095889999999997</v>
      </c>
      <c r="AV116" s="51">
        <v>4.1095889999999997</v>
      </c>
      <c r="AW116" s="51">
        <v>4.1095889999999997</v>
      </c>
      <c r="AX116" s="51">
        <v>4.1095889999999997</v>
      </c>
      <c r="AY116" s="51">
        <v>4.1095889999999997</v>
      </c>
      <c r="AZ116" s="50">
        <v>4.1095889999999997</v>
      </c>
      <c r="BA116" s="51">
        <v>4.1095889999999997</v>
      </c>
      <c r="BB116" s="50">
        <v>4.1095889999999997</v>
      </c>
      <c r="BC116" s="51">
        <v>4.1095889999999997</v>
      </c>
      <c r="BD116" s="51">
        <v>4.1095889999999997</v>
      </c>
      <c r="BE116" s="51">
        <v>4.1095889999999997</v>
      </c>
      <c r="BF116" s="51">
        <v>4.1095889999999997</v>
      </c>
      <c r="BG116" s="51">
        <v>4.1095889999999997</v>
      </c>
      <c r="BH116" s="51">
        <v>4.1095889999999997</v>
      </c>
      <c r="BI116" s="51"/>
      <c r="BJ116" s="51"/>
    </row>
    <row r="117" spans="1:62" ht="20.100000000000001" hidden="1" customHeight="1" outlineLevel="1" x14ac:dyDescent="0.25">
      <c r="A117" s="59" t="s">
        <v>257</v>
      </c>
      <c r="B117" s="51">
        <v>4.8520390000000004</v>
      </c>
      <c r="C117" s="51">
        <v>4.8520390000000004</v>
      </c>
      <c r="D117" s="51">
        <v>4.8520390000000004</v>
      </c>
      <c r="E117" s="51">
        <v>4.8520390000000004</v>
      </c>
      <c r="F117" s="51">
        <v>4.8520390000000004</v>
      </c>
      <c r="G117" s="51">
        <v>4.8520390000000004</v>
      </c>
      <c r="H117" s="51">
        <v>4.8520390000000004</v>
      </c>
      <c r="I117" s="51">
        <v>4.8520390000000004</v>
      </c>
      <c r="J117" s="51">
        <v>4.8520390000000004</v>
      </c>
      <c r="K117" s="51">
        <v>4.8520390000000004</v>
      </c>
      <c r="L117" s="51">
        <v>4.8520390000000004</v>
      </c>
      <c r="M117" s="51">
        <v>4.8520390000000004</v>
      </c>
      <c r="N117" s="51">
        <v>4.8520390000000004</v>
      </c>
      <c r="O117" s="51">
        <v>4.8520390000000004</v>
      </c>
      <c r="P117" s="51">
        <v>4.8520390000000004</v>
      </c>
      <c r="Q117" s="51">
        <v>4.8520390000000004</v>
      </c>
      <c r="R117" s="51">
        <v>4.8520390000000004</v>
      </c>
      <c r="S117" s="51">
        <v>4.8520390000000004</v>
      </c>
      <c r="T117" s="51">
        <v>4.8520390000000004</v>
      </c>
      <c r="U117" s="51">
        <v>4.8520390000000004</v>
      </c>
      <c r="V117" s="51">
        <v>4.8520390000000004</v>
      </c>
      <c r="W117" s="51">
        <v>4.8520390000000004</v>
      </c>
      <c r="X117" s="51">
        <v>4.8520390000000004</v>
      </c>
      <c r="Y117" s="51">
        <v>4.8520390000000004</v>
      </c>
      <c r="Z117" s="51">
        <v>4.8520390000000004</v>
      </c>
      <c r="AA117" s="51">
        <v>4.8520390000000004</v>
      </c>
      <c r="AB117" s="51">
        <v>4.8520390000000004</v>
      </c>
      <c r="AC117" s="51">
        <v>4.8520390000000004</v>
      </c>
      <c r="AD117" s="51">
        <v>4.8520390000000004</v>
      </c>
      <c r="AE117" s="51">
        <v>4.8520390000000004</v>
      </c>
      <c r="AF117" s="51">
        <v>4.8520390000000004</v>
      </c>
      <c r="AG117" s="51">
        <v>4.8520390000000004</v>
      </c>
      <c r="AH117" s="51">
        <v>4.8520390000000004</v>
      </c>
      <c r="AI117" s="51">
        <v>4.8520390000000004</v>
      </c>
      <c r="AJ117" s="51">
        <v>4.8520390000000004</v>
      </c>
      <c r="AK117" s="51">
        <v>4.8520390000000004</v>
      </c>
      <c r="AL117" s="51">
        <v>4.8520390000000004</v>
      </c>
      <c r="AM117" s="51">
        <v>4.8520390000000004</v>
      </c>
      <c r="AN117" s="51">
        <v>4.8520390000000004</v>
      </c>
      <c r="AO117" s="51">
        <v>4.8520390000000004</v>
      </c>
      <c r="AP117" s="51">
        <v>4.8520390000000004</v>
      </c>
      <c r="AQ117" s="51">
        <v>4.8520390000000004</v>
      </c>
      <c r="AR117" s="51">
        <v>4.8520390000000004</v>
      </c>
      <c r="AS117" s="51">
        <v>4.8520390000000004</v>
      </c>
      <c r="AT117" s="51">
        <v>4.8520390000000004</v>
      </c>
      <c r="AU117" s="51">
        <v>4.8520390000000004</v>
      </c>
      <c r="AV117" s="51">
        <v>4.8520390000000004</v>
      </c>
      <c r="AW117" s="51">
        <v>4.8520390000000004</v>
      </c>
      <c r="AX117" s="51">
        <v>4.8520390000000004</v>
      </c>
      <c r="AY117" s="51">
        <v>4.8520390000000004</v>
      </c>
      <c r="AZ117" s="50">
        <v>4.8520390000000004</v>
      </c>
      <c r="BA117" s="51">
        <v>4.8520390000000004</v>
      </c>
      <c r="BB117" s="50">
        <v>4.8520390000000004</v>
      </c>
      <c r="BC117" s="51">
        <v>4.8520390000000004</v>
      </c>
      <c r="BD117" s="51">
        <v>4.8520390000000004</v>
      </c>
      <c r="BE117" s="51">
        <v>4.8520390000000004</v>
      </c>
      <c r="BF117" s="51">
        <v>4.8520390000000004</v>
      </c>
      <c r="BG117" s="51">
        <v>4.8520390000000004</v>
      </c>
      <c r="BH117" s="51">
        <v>4.8520390000000004</v>
      </c>
      <c r="BI117" s="51"/>
      <c r="BJ117" s="51"/>
    </row>
    <row r="118" spans="1:62" ht="20.100000000000001" hidden="1" customHeight="1" outlineLevel="1" x14ac:dyDescent="0.25">
      <c r="A118" s="59" t="s">
        <v>258</v>
      </c>
      <c r="B118" s="51">
        <v>23.287671</v>
      </c>
      <c r="C118" s="51">
        <v>23.287671</v>
      </c>
      <c r="D118" s="51">
        <v>23.287671</v>
      </c>
      <c r="E118" s="51">
        <v>23.287671</v>
      </c>
      <c r="F118" s="51">
        <v>23.287671</v>
      </c>
      <c r="G118" s="51">
        <v>23.287671</v>
      </c>
      <c r="H118" s="51">
        <v>23.287671</v>
      </c>
      <c r="I118" s="51">
        <v>23.287671</v>
      </c>
      <c r="J118" s="51">
        <v>23.287671</v>
      </c>
      <c r="K118" s="51">
        <v>23.287671</v>
      </c>
      <c r="L118" s="51">
        <v>23.287671</v>
      </c>
      <c r="M118" s="51">
        <v>23.287671</v>
      </c>
      <c r="N118" s="51">
        <v>23.287671</v>
      </c>
      <c r="O118" s="51">
        <v>23.287671</v>
      </c>
      <c r="P118" s="51">
        <v>23.287671</v>
      </c>
      <c r="Q118" s="51">
        <v>23.287671</v>
      </c>
      <c r="R118" s="51">
        <v>23.287671</v>
      </c>
      <c r="S118" s="51">
        <v>23.287671</v>
      </c>
      <c r="T118" s="51">
        <v>23.287671</v>
      </c>
      <c r="U118" s="51">
        <v>23.287671</v>
      </c>
      <c r="V118" s="51">
        <v>23.287671</v>
      </c>
      <c r="W118" s="51">
        <v>23.287671</v>
      </c>
      <c r="X118" s="51">
        <v>23.287671</v>
      </c>
      <c r="Y118" s="51">
        <v>23.287671</v>
      </c>
      <c r="Z118" s="51">
        <v>23.287671</v>
      </c>
      <c r="AA118" s="51">
        <v>23.287671</v>
      </c>
      <c r="AB118" s="51">
        <v>23.287671</v>
      </c>
      <c r="AC118" s="51">
        <v>23.287671</v>
      </c>
      <c r="AD118" s="51">
        <v>23.287671</v>
      </c>
      <c r="AE118" s="51">
        <v>23.287671</v>
      </c>
      <c r="AF118" s="51">
        <v>23.287671</v>
      </c>
      <c r="AG118" s="51">
        <v>23.287671</v>
      </c>
      <c r="AH118" s="51">
        <v>23.287671</v>
      </c>
      <c r="AI118" s="51">
        <v>23.287671</v>
      </c>
      <c r="AJ118" s="51">
        <v>23.287671</v>
      </c>
      <c r="AK118" s="51">
        <v>23.287671</v>
      </c>
      <c r="AL118" s="51">
        <v>23.287671</v>
      </c>
      <c r="AM118" s="51">
        <v>23.287671</v>
      </c>
      <c r="AN118" s="51">
        <v>23.287671</v>
      </c>
      <c r="AO118" s="51">
        <v>23.287671</v>
      </c>
      <c r="AP118" s="51">
        <v>23.287671</v>
      </c>
      <c r="AQ118" s="51">
        <v>23.287671</v>
      </c>
      <c r="AR118" s="51">
        <v>23.287671</v>
      </c>
      <c r="AS118" s="51">
        <v>23.287671</v>
      </c>
      <c r="AT118" s="51">
        <v>23.287671</v>
      </c>
      <c r="AU118" s="51">
        <v>23.287671</v>
      </c>
      <c r="AV118" s="51">
        <v>23.287671</v>
      </c>
      <c r="AW118" s="51">
        <v>23.287671</v>
      </c>
      <c r="AX118" s="51">
        <v>23.287671</v>
      </c>
      <c r="AY118" s="51">
        <v>23.287671</v>
      </c>
      <c r="AZ118" s="50">
        <v>23.287671</v>
      </c>
      <c r="BA118" s="51">
        <v>23.287671</v>
      </c>
      <c r="BB118" s="50">
        <v>23.287671</v>
      </c>
      <c r="BC118" s="51">
        <v>23.287671</v>
      </c>
      <c r="BD118" s="51">
        <v>23.287671</v>
      </c>
      <c r="BE118" s="51">
        <v>23.287671</v>
      </c>
      <c r="BF118" s="51">
        <v>23.287671</v>
      </c>
      <c r="BG118" s="51">
        <v>23.287671</v>
      </c>
      <c r="BH118" s="51">
        <v>23.287671</v>
      </c>
      <c r="BI118" s="51"/>
      <c r="BJ118" s="51"/>
    </row>
    <row r="119" spans="1:62" ht="20.100000000000001" hidden="1" customHeight="1" outlineLevel="1" x14ac:dyDescent="0.25">
      <c r="A119" s="59" t="s">
        <v>259</v>
      </c>
      <c r="B119" s="51">
        <v>23.287671</v>
      </c>
      <c r="C119" s="51">
        <v>23.287671</v>
      </c>
      <c r="D119" s="51">
        <v>23.287671</v>
      </c>
      <c r="E119" s="51">
        <v>23.287671</v>
      </c>
      <c r="F119" s="51">
        <v>23.287671</v>
      </c>
      <c r="G119" s="51">
        <v>23.287671</v>
      </c>
      <c r="H119" s="51">
        <v>23.287671</v>
      </c>
      <c r="I119" s="51">
        <v>23.287671</v>
      </c>
      <c r="J119" s="51">
        <v>23.287671</v>
      </c>
      <c r="K119" s="51">
        <v>23.287671</v>
      </c>
      <c r="L119" s="51">
        <v>23.287671</v>
      </c>
      <c r="M119" s="51">
        <v>23.287671</v>
      </c>
      <c r="N119" s="51">
        <v>23.287671</v>
      </c>
      <c r="O119" s="51">
        <v>23.287671</v>
      </c>
      <c r="P119" s="51">
        <v>23.287671</v>
      </c>
      <c r="Q119" s="51">
        <v>23.287671</v>
      </c>
      <c r="R119" s="51">
        <v>23.287671</v>
      </c>
      <c r="S119" s="51">
        <v>23.287671</v>
      </c>
      <c r="T119" s="51">
        <v>23.287671</v>
      </c>
      <c r="U119" s="51">
        <v>23.287671</v>
      </c>
      <c r="V119" s="51">
        <v>23.287671</v>
      </c>
      <c r="W119" s="51">
        <v>23.287671</v>
      </c>
      <c r="X119" s="51">
        <v>23.287671</v>
      </c>
      <c r="Y119" s="51">
        <v>23.287671</v>
      </c>
      <c r="Z119" s="51">
        <v>23.287671</v>
      </c>
      <c r="AA119" s="51">
        <v>23.287671</v>
      </c>
      <c r="AB119" s="51">
        <v>23.287671</v>
      </c>
      <c r="AC119" s="51">
        <v>23.287671</v>
      </c>
      <c r="AD119" s="51">
        <v>23.287671</v>
      </c>
      <c r="AE119" s="51">
        <v>23.287671</v>
      </c>
      <c r="AF119" s="51">
        <v>23.287671</v>
      </c>
      <c r="AG119" s="51">
        <v>23.287671</v>
      </c>
      <c r="AH119" s="51">
        <v>23.287671</v>
      </c>
      <c r="AI119" s="51">
        <v>23.287671</v>
      </c>
      <c r="AJ119" s="51">
        <v>23.287671</v>
      </c>
      <c r="AK119" s="51">
        <v>23.287671</v>
      </c>
      <c r="AL119" s="51">
        <v>23.287671</v>
      </c>
      <c r="AM119" s="51">
        <v>23.287671</v>
      </c>
      <c r="AN119" s="51">
        <v>23.287671</v>
      </c>
      <c r="AO119" s="51">
        <v>23.287671</v>
      </c>
      <c r="AP119" s="51">
        <v>23.287671</v>
      </c>
      <c r="AQ119" s="51">
        <v>23.287671</v>
      </c>
      <c r="AR119" s="51">
        <v>23.287671</v>
      </c>
      <c r="AS119" s="51">
        <v>23.287671</v>
      </c>
      <c r="AT119" s="51">
        <v>23.287671</v>
      </c>
      <c r="AU119" s="51">
        <v>23.287671</v>
      </c>
      <c r="AV119" s="51">
        <v>23.287671</v>
      </c>
      <c r="AW119" s="51">
        <v>23.287671</v>
      </c>
      <c r="AX119" s="51">
        <v>23.287671</v>
      </c>
      <c r="AY119" s="51">
        <v>23.287671</v>
      </c>
      <c r="AZ119" s="50">
        <v>23.287671</v>
      </c>
      <c r="BA119" s="51">
        <v>23.287671</v>
      </c>
      <c r="BB119" s="50">
        <v>23.287671</v>
      </c>
      <c r="BC119" s="51">
        <v>23.287671</v>
      </c>
      <c r="BD119" s="51">
        <v>23.287671</v>
      </c>
      <c r="BE119" s="51">
        <v>23.287671</v>
      </c>
      <c r="BF119" s="51">
        <v>23.287671</v>
      </c>
      <c r="BG119" s="51">
        <v>23.287671</v>
      </c>
      <c r="BH119" s="51">
        <v>23.287671</v>
      </c>
      <c r="BI119" s="51"/>
      <c r="BJ119" s="51"/>
    </row>
    <row r="120" spans="1:62" ht="20.100000000000001" hidden="1" customHeight="1" outlineLevel="1" x14ac:dyDescent="0.25">
      <c r="A120" s="59" t="s">
        <v>260</v>
      </c>
      <c r="B120" s="51">
        <v>4.1095889999999997</v>
      </c>
      <c r="C120" s="51">
        <v>4.1095889999999997</v>
      </c>
      <c r="D120" s="51">
        <v>4.1095889999999997</v>
      </c>
      <c r="E120" s="51">
        <v>4.1095889999999997</v>
      </c>
      <c r="F120" s="51">
        <v>4.1095889999999997</v>
      </c>
      <c r="G120" s="51">
        <v>4.1095889999999997</v>
      </c>
      <c r="H120" s="51">
        <v>4.1095889999999997</v>
      </c>
      <c r="I120" s="51">
        <v>4.1095889999999997</v>
      </c>
      <c r="J120" s="51">
        <v>4.1095889999999997</v>
      </c>
      <c r="K120" s="51">
        <v>4.1095889999999997</v>
      </c>
      <c r="L120" s="51">
        <v>4.1095889999999997</v>
      </c>
      <c r="M120" s="51">
        <v>4.1095889999999997</v>
      </c>
      <c r="N120" s="51">
        <v>4.1095889999999997</v>
      </c>
      <c r="O120" s="51">
        <v>4.1095889999999997</v>
      </c>
      <c r="P120" s="51">
        <v>4.1095889999999997</v>
      </c>
      <c r="Q120" s="51">
        <v>4.1095889999999997</v>
      </c>
      <c r="R120" s="51">
        <v>4.1095889999999997</v>
      </c>
      <c r="S120" s="51">
        <v>4.1095889999999997</v>
      </c>
      <c r="T120" s="51">
        <v>4.1095889999999997</v>
      </c>
      <c r="U120" s="51">
        <v>4.1095889999999997</v>
      </c>
      <c r="V120" s="51">
        <v>4.1095889999999997</v>
      </c>
      <c r="W120" s="51">
        <v>4.1095889999999997</v>
      </c>
      <c r="X120" s="51">
        <v>4.1095889999999997</v>
      </c>
      <c r="Y120" s="51">
        <v>4.1095889999999997</v>
      </c>
      <c r="Z120" s="51">
        <v>4.1095889999999997</v>
      </c>
      <c r="AA120" s="51">
        <v>4.1095889999999997</v>
      </c>
      <c r="AB120" s="51">
        <v>4.1095889999999997</v>
      </c>
      <c r="AC120" s="51">
        <v>4.1095889999999997</v>
      </c>
      <c r="AD120" s="51">
        <v>4.1095889999999997</v>
      </c>
      <c r="AE120" s="51">
        <v>4.1095889999999997</v>
      </c>
      <c r="AF120" s="51">
        <v>4.1095889999999997</v>
      </c>
      <c r="AG120" s="51">
        <v>4.1095889999999997</v>
      </c>
      <c r="AH120" s="51">
        <v>4.1095889999999997</v>
      </c>
      <c r="AI120" s="51">
        <v>4.1095889999999997</v>
      </c>
      <c r="AJ120" s="51">
        <v>4.1095889999999997</v>
      </c>
      <c r="AK120" s="51">
        <v>4.1095889999999997</v>
      </c>
      <c r="AL120" s="51">
        <v>4.1095889999999997</v>
      </c>
      <c r="AM120" s="51">
        <v>4.1095889999999997</v>
      </c>
      <c r="AN120" s="51">
        <v>4.1095889999999997</v>
      </c>
      <c r="AO120" s="51">
        <v>4.1095889999999997</v>
      </c>
      <c r="AP120" s="51">
        <v>4.1095889999999997</v>
      </c>
      <c r="AQ120" s="51">
        <v>4.1095889999999997</v>
      </c>
      <c r="AR120" s="51">
        <v>4.1095889999999997</v>
      </c>
      <c r="AS120" s="51">
        <v>4.1095889999999997</v>
      </c>
      <c r="AT120" s="51">
        <v>4.1095889999999997</v>
      </c>
      <c r="AU120" s="51">
        <v>4.1095889999999997</v>
      </c>
      <c r="AV120" s="51">
        <v>4.1095889999999997</v>
      </c>
      <c r="AW120" s="51">
        <v>4.1095889999999997</v>
      </c>
      <c r="AX120" s="51">
        <v>4.1095889999999997</v>
      </c>
      <c r="AY120" s="51">
        <v>4.1095889999999997</v>
      </c>
      <c r="AZ120" s="50">
        <v>4.1095889999999997</v>
      </c>
      <c r="BA120" s="51">
        <v>4.1095889999999997</v>
      </c>
      <c r="BB120" s="50">
        <v>4.1095889999999997</v>
      </c>
      <c r="BC120" s="51">
        <v>4.1095889999999997</v>
      </c>
      <c r="BD120" s="51">
        <v>4.1095889999999997</v>
      </c>
      <c r="BE120" s="51">
        <v>4.1095889999999997</v>
      </c>
      <c r="BF120" s="51">
        <v>4.1095889999999997</v>
      </c>
      <c r="BG120" s="51">
        <v>4.1095889999999997</v>
      </c>
      <c r="BH120" s="51">
        <v>4.1095889999999997</v>
      </c>
      <c r="BI120" s="51"/>
      <c r="BJ120" s="51"/>
    </row>
    <row r="121" spans="1:62" ht="20.100000000000001" hidden="1" customHeight="1" outlineLevel="1" x14ac:dyDescent="0.25">
      <c r="A121" s="59" t="s">
        <v>261</v>
      </c>
      <c r="B121" s="51">
        <v>10.958904</v>
      </c>
      <c r="C121" s="51">
        <v>10.958904</v>
      </c>
      <c r="D121" s="51">
        <v>10.958904</v>
      </c>
      <c r="E121" s="51">
        <v>10.958904</v>
      </c>
      <c r="F121" s="51">
        <v>10.958904</v>
      </c>
      <c r="G121" s="51">
        <v>10.958904</v>
      </c>
      <c r="H121" s="51">
        <v>10.958904</v>
      </c>
      <c r="I121" s="51">
        <v>10.958904</v>
      </c>
      <c r="J121" s="51">
        <v>10.958904</v>
      </c>
      <c r="K121" s="51">
        <v>10.958904</v>
      </c>
      <c r="L121" s="51">
        <v>10.958904</v>
      </c>
      <c r="M121" s="51">
        <v>10.958904</v>
      </c>
      <c r="N121" s="51">
        <v>10.958904</v>
      </c>
      <c r="O121" s="51">
        <v>10.958904</v>
      </c>
      <c r="P121" s="51">
        <v>10.958904</v>
      </c>
      <c r="Q121" s="51">
        <v>10.958904</v>
      </c>
      <c r="R121" s="51">
        <v>10.958904</v>
      </c>
      <c r="S121" s="51">
        <v>10.958904</v>
      </c>
      <c r="T121" s="51">
        <v>10.958904</v>
      </c>
      <c r="U121" s="51">
        <v>10.958904</v>
      </c>
      <c r="V121" s="51">
        <v>10.958904</v>
      </c>
      <c r="W121" s="51">
        <v>10.958904</v>
      </c>
      <c r="X121" s="51">
        <v>10.958904</v>
      </c>
      <c r="Y121" s="51">
        <v>10.958904</v>
      </c>
      <c r="Z121" s="51">
        <v>10.958904</v>
      </c>
      <c r="AA121" s="51">
        <v>10.958904</v>
      </c>
      <c r="AB121" s="51">
        <v>10.958904</v>
      </c>
      <c r="AC121" s="51">
        <v>10.958904</v>
      </c>
      <c r="AD121" s="51">
        <v>10.958904</v>
      </c>
      <c r="AE121" s="51">
        <v>10.958904</v>
      </c>
      <c r="AF121" s="51">
        <v>10.958904</v>
      </c>
      <c r="AG121" s="51">
        <v>10.958904</v>
      </c>
      <c r="AH121" s="51">
        <v>10.958904</v>
      </c>
      <c r="AI121" s="51">
        <v>10.958904</v>
      </c>
      <c r="AJ121" s="51">
        <v>10.958904</v>
      </c>
      <c r="AK121" s="51">
        <v>10.958904</v>
      </c>
      <c r="AL121" s="51">
        <v>10.958904</v>
      </c>
      <c r="AM121" s="51">
        <v>10.958904</v>
      </c>
      <c r="AN121" s="51">
        <v>10.958904</v>
      </c>
      <c r="AO121" s="51">
        <v>10.958904</v>
      </c>
      <c r="AP121" s="51">
        <v>10.958904</v>
      </c>
      <c r="AQ121" s="51">
        <v>10.958904</v>
      </c>
      <c r="AR121" s="51">
        <v>10.958904</v>
      </c>
      <c r="AS121" s="51">
        <v>10.958904</v>
      </c>
      <c r="AT121" s="51">
        <v>10.958904</v>
      </c>
      <c r="AU121" s="51">
        <v>10.958904</v>
      </c>
      <c r="AV121" s="51">
        <v>10.958904</v>
      </c>
      <c r="AW121" s="51">
        <v>10.958904</v>
      </c>
      <c r="AX121" s="51">
        <v>10.958904</v>
      </c>
      <c r="AY121" s="51">
        <v>10.958904</v>
      </c>
      <c r="AZ121" s="50">
        <v>10.958904</v>
      </c>
      <c r="BA121" s="51">
        <v>10.958904</v>
      </c>
      <c r="BB121" s="50">
        <v>10.958904</v>
      </c>
      <c r="BC121" s="51">
        <v>10.958904</v>
      </c>
      <c r="BD121" s="51">
        <v>10.958904</v>
      </c>
      <c r="BE121" s="51">
        <v>10.958904</v>
      </c>
      <c r="BF121" s="51">
        <v>10.958904</v>
      </c>
      <c r="BG121" s="51">
        <v>10.958904</v>
      </c>
      <c r="BH121" s="51">
        <v>10.958904</v>
      </c>
      <c r="BI121" s="51"/>
      <c r="BJ121" s="51"/>
    </row>
    <row r="122" spans="1:62" ht="20.100000000000001" hidden="1" customHeight="1" outlineLevel="1" x14ac:dyDescent="0.25">
      <c r="A122" s="59" t="s">
        <v>262</v>
      </c>
      <c r="B122" s="51">
        <v>6.1643840000000001</v>
      </c>
      <c r="C122" s="51">
        <v>6.1643840000000001</v>
      </c>
      <c r="D122" s="51">
        <v>6.1643840000000001</v>
      </c>
      <c r="E122" s="51">
        <v>6.1643840000000001</v>
      </c>
      <c r="F122" s="51">
        <v>6.1643840000000001</v>
      </c>
      <c r="G122" s="51">
        <v>6.1643840000000001</v>
      </c>
      <c r="H122" s="51">
        <v>6.1643840000000001</v>
      </c>
      <c r="I122" s="51">
        <v>6.1643840000000001</v>
      </c>
      <c r="J122" s="51">
        <v>6.1643840000000001</v>
      </c>
      <c r="K122" s="51">
        <v>6.1643840000000001</v>
      </c>
      <c r="L122" s="51">
        <v>6.1643840000000001</v>
      </c>
      <c r="M122" s="51">
        <v>6.1643840000000001</v>
      </c>
      <c r="N122" s="51">
        <v>6.1643840000000001</v>
      </c>
      <c r="O122" s="51">
        <v>6.1643840000000001</v>
      </c>
      <c r="P122" s="51">
        <v>6.1643840000000001</v>
      </c>
      <c r="Q122" s="51">
        <v>6.1643840000000001</v>
      </c>
      <c r="R122" s="51">
        <v>6.1643840000000001</v>
      </c>
      <c r="S122" s="51">
        <v>6.1643840000000001</v>
      </c>
      <c r="T122" s="51">
        <v>6.1643840000000001</v>
      </c>
      <c r="U122" s="51">
        <v>6.1643840000000001</v>
      </c>
      <c r="V122" s="51">
        <v>6.1643840000000001</v>
      </c>
      <c r="W122" s="51">
        <v>6.1643840000000001</v>
      </c>
      <c r="X122" s="51">
        <v>6.1643840000000001</v>
      </c>
      <c r="Y122" s="51">
        <v>6.1643840000000001</v>
      </c>
      <c r="Z122" s="51">
        <v>6.1643840000000001</v>
      </c>
      <c r="AA122" s="51">
        <v>6.1643840000000001</v>
      </c>
      <c r="AB122" s="51">
        <v>6.1643840000000001</v>
      </c>
      <c r="AC122" s="51">
        <v>6.1643840000000001</v>
      </c>
      <c r="AD122" s="51">
        <v>6.1643840000000001</v>
      </c>
      <c r="AE122" s="51">
        <v>6.1643840000000001</v>
      </c>
      <c r="AF122" s="51">
        <v>6.1643840000000001</v>
      </c>
      <c r="AG122" s="51">
        <v>6.1643840000000001</v>
      </c>
      <c r="AH122" s="51">
        <v>6.1643840000000001</v>
      </c>
      <c r="AI122" s="51">
        <v>6.1643840000000001</v>
      </c>
      <c r="AJ122" s="51">
        <v>6.1643840000000001</v>
      </c>
      <c r="AK122" s="51">
        <v>6.1643840000000001</v>
      </c>
      <c r="AL122" s="51">
        <v>6.1643840000000001</v>
      </c>
      <c r="AM122" s="51">
        <v>6.1643840000000001</v>
      </c>
      <c r="AN122" s="51">
        <v>6.1643840000000001</v>
      </c>
      <c r="AO122" s="51">
        <v>6.1643840000000001</v>
      </c>
      <c r="AP122" s="51">
        <v>6.1643840000000001</v>
      </c>
      <c r="AQ122" s="51">
        <v>6.1643840000000001</v>
      </c>
      <c r="AR122" s="51">
        <v>6.1643840000000001</v>
      </c>
      <c r="AS122" s="51">
        <v>6.1643840000000001</v>
      </c>
      <c r="AT122" s="51">
        <v>6.1643840000000001</v>
      </c>
      <c r="AU122" s="51">
        <v>6.1643840000000001</v>
      </c>
      <c r="AV122" s="51">
        <v>6.1643840000000001</v>
      </c>
      <c r="AW122" s="51">
        <v>6.1643840000000001</v>
      </c>
      <c r="AX122" s="51">
        <v>6.1643840000000001</v>
      </c>
      <c r="AY122" s="51">
        <v>6.1643840000000001</v>
      </c>
      <c r="AZ122" s="50">
        <v>6.1643840000000001</v>
      </c>
      <c r="BA122" s="51">
        <v>6.1643840000000001</v>
      </c>
      <c r="BB122" s="50">
        <v>6.1643840000000001</v>
      </c>
      <c r="BC122" s="51">
        <v>6.1643840000000001</v>
      </c>
      <c r="BD122" s="51">
        <v>6.1643840000000001</v>
      </c>
      <c r="BE122" s="51">
        <v>6.1643840000000001</v>
      </c>
      <c r="BF122" s="51">
        <v>6.1643840000000001</v>
      </c>
      <c r="BG122" s="51">
        <v>6.1643840000000001</v>
      </c>
      <c r="BH122" s="51">
        <v>6.1643840000000001</v>
      </c>
      <c r="BI122" s="51"/>
      <c r="BJ122" s="51"/>
    </row>
    <row r="123" spans="1:62" ht="20.100000000000001" hidden="1" customHeight="1" outlineLevel="1" x14ac:dyDescent="0.25">
      <c r="A123" s="59" t="s">
        <v>263</v>
      </c>
      <c r="B123" s="51">
        <v>10.958904</v>
      </c>
      <c r="C123" s="51">
        <v>10.958904</v>
      </c>
      <c r="D123" s="51">
        <v>10.958904</v>
      </c>
      <c r="E123" s="51">
        <v>10.958904</v>
      </c>
      <c r="F123" s="51">
        <v>10.958904</v>
      </c>
      <c r="G123" s="51">
        <v>10.958904</v>
      </c>
      <c r="H123" s="51">
        <v>10.958904</v>
      </c>
      <c r="I123" s="51">
        <v>10.958904</v>
      </c>
      <c r="J123" s="51">
        <v>10.958904</v>
      </c>
      <c r="K123" s="51">
        <v>10.958904</v>
      </c>
      <c r="L123" s="51">
        <v>10.958904</v>
      </c>
      <c r="M123" s="51">
        <v>10.958904</v>
      </c>
      <c r="N123" s="51">
        <v>10.958904</v>
      </c>
      <c r="O123" s="51">
        <v>10.958904</v>
      </c>
      <c r="P123" s="51">
        <v>10.958904</v>
      </c>
      <c r="Q123" s="51">
        <v>10.958904</v>
      </c>
      <c r="R123" s="51">
        <v>10.958904</v>
      </c>
      <c r="S123" s="51">
        <v>10.958904</v>
      </c>
      <c r="T123" s="51">
        <v>10.958904</v>
      </c>
      <c r="U123" s="51">
        <v>10.958904</v>
      </c>
      <c r="V123" s="51">
        <v>10.958904</v>
      </c>
      <c r="W123" s="51">
        <v>10.958904</v>
      </c>
      <c r="X123" s="51">
        <v>10.958904</v>
      </c>
      <c r="Y123" s="51">
        <v>10.958904</v>
      </c>
      <c r="Z123" s="51">
        <v>10.958904</v>
      </c>
      <c r="AA123" s="51">
        <v>10.958904</v>
      </c>
      <c r="AB123" s="51">
        <v>10.958904</v>
      </c>
      <c r="AC123" s="51">
        <v>10.958904</v>
      </c>
      <c r="AD123" s="51">
        <v>10.958904</v>
      </c>
      <c r="AE123" s="51">
        <v>10.958904</v>
      </c>
      <c r="AF123" s="51">
        <v>10.958904</v>
      </c>
      <c r="AG123" s="51">
        <v>10.958904</v>
      </c>
      <c r="AH123" s="51">
        <v>10.958904</v>
      </c>
      <c r="AI123" s="51">
        <v>10.958904</v>
      </c>
      <c r="AJ123" s="51">
        <v>10.958904</v>
      </c>
      <c r="AK123" s="51">
        <v>10.958904</v>
      </c>
      <c r="AL123" s="51">
        <v>10.958904</v>
      </c>
      <c r="AM123" s="51">
        <v>10.958904</v>
      </c>
      <c r="AN123" s="51">
        <v>10.958904</v>
      </c>
      <c r="AO123" s="51">
        <v>10.958904</v>
      </c>
      <c r="AP123" s="51">
        <v>10.958904</v>
      </c>
      <c r="AQ123" s="51">
        <v>10.958904</v>
      </c>
      <c r="AR123" s="51">
        <v>10.958904</v>
      </c>
      <c r="AS123" s="51">
        <v>10.958904</v>
      </c>
      <c r="AT123" s="51">
        <v>10.958904</v>
      </c>
      <c r="AU123" s="51">
        <v>10.958904</v>
      </c>
      <c r="AV123" s="51">
        <v>10.958904</v>
      </c>
      <c r="AW123" s="51">
        <v>10.958904</v>
      </c>
      <c r="AX123" s="51">
        <v>10.958904</v>
      </c>
      <c r="AY123" s="51">
        <v>10.958904</v>
      </c>
      <c r="AZ123" s="50">
        <v>10.958904</v>
      </c>
      <c r="BA123" s="51">
        <v>10.958904</v>
      </c>
      <c r="BB123" s="50">
        <v>10.958904</v>
      </c>
      <c r="BC123" s="51">
        <v>10.958904</v>
      </c>
      <c r="BD123" s="51">
        <v>10.958904</v>
      </c>
      <c r="BE123" s="51">
        <v>10.958904</v>
      </c>
      <c r="BF123" s="51">
        <v>10.958904</v>
      </c>
      <c r="BG123" s="51">
        <v>10.958904</v>
      </c>
      <c r="BH123" s="51">
        <v>10.958904</v>
      </c>
      <c r="BI123" s="51"/>
      <c r="BJ123" s="51"/>
    </row>
    <row r="124" spans="1:62" ht="20.100000000000001" hidden="1" customHeight="1" outlineLevel="1" x14ac:dyDescent="0.25">
      <c r="A124" s="59" t="s">
        <v>264</v>
      </c>
      <c r="B124" s="51">
        <v>13.917308</v>
      </c>
      <c r="C124" s="51">
        <v>13.917308</v>
      </c>
      <c r="D124" s="51">
        <v>13.917308</v>
      </c>
      <c r="E124" s="51">
        <v>13.917308</v>
      </c>
      <c r="F124" s="51">
        <v>13.917308</v>
      </c>
      <c r="G124" s="51">
        <v>13.917308</v>
      </c>
      <c r="H124" s="51">
        <v>13.917308</v>
      </c>
      <c r="I124" s="51">
        <v>13.917308</v>
      </c>
      <c r="J124" s="51">
        <v>13.917308</v>
      </c>
      <c r="K124" s="51">
        <v>13.917308</v>
      </c>
      <c r="L124" s="51">
        <v>13.917308</v>
      </c>
      <c r="M124" s="51">
        <v>13.917308</v>
      </c>
      <c r="N124" s="51">
        <v>13.917308</v>
      </c>
      <c r="O124" s="51">
        <v>13.917308</v>
      </c>
      <c r="P124" s="51">
        <v>13.917308</v>
      </c>
      <c r="Q124" s="51">
        <v>13.917308</v>
      </c>
      <c r="R124" s="51">
        <v>13.917308</v>
      </c>
      <c r="S124" s="51">
        <v>13.917308</v>
      </c>
      <c r="T124" s="51">
        <v>13.917308</v>
      </c>
      <c r="U124" s="51">
        <v>13.917308</v>
      </c>
      <c r="V124" s="51">
        <v>13.917308</v>
      </c>
      <c r="W124" s="51">
        <v>13.917308</v>
      </c>
      <c r="X124" s="51">
        <v>13.917308</v>
      </c>
      <c r="Y124" s="51">
        <v>13.917308</v>
      </c>
      <c r="Z124" s="51">
        <v>13.917308</v>
      </c>
      <c r="AA124" s="51">
        <v>13.917308</v>
      </c>
      <c r="AB124" s="51">
        <v>13.917308</v>
      </c>
      <c r="AC124" s="51">
        <v>13.917308</v>
      </c>
      <c r="AD124" s="51">
        <v>13.917308</v>
      </c>
      <c r="AE124" s="51">
        <v>13.917308</v>
      </c>
      <c r="AF124" s="51">
        <v>13.917308</v>
      </c>
      <c r="AG124" s="51">
        <v>13.917308</v>
      </c>
      <c r="AH124" s="51">
        <v>13.917308</v>
      </c>
      <c r="AI124" s="51">
        <v>13.917308</v>
      </c>
      <c r="AJ124" s="51">
        <v>13.917308</v>
      </c>
      <c r="AK124" s="51">
        <v>13.917308</v>
      </c>
      <c r="AL124" s="51">
        <v>13.917308</v>
      </c>
      <c r="AM124" s="51">
        <v>13.917308</v>
      </c>
      <c r="AN124" s="51">
        <v>13.917308</v>
      </c>
      <c r="AO124" s="51">
        <v>13.917308</v>
      </c>
      <c r="AP124" s="51">
        <v>13.917308</v>
      </c>
      <c r="AQ124" s="51">
        <v>13.917308</v>
      </c>
      <c r="AR124" s="51">
        <v>13.917308</v>
      </c>
      <c r="AS124" s="51">
        <v>13.917308</v>
      </c>
      <c r="AT124" s="51">
        <v>13.917308</v>
      </c>
      <c r="AU124" s="51">
        <v>13.917308</v>
      </c>
      <c r="AV124" s="51">
        <v>13.917308</v>
      </c>
      <c r="AW124" s="51">
        <v>13.917308</v>
      </c>
      <c r="AX124" s="51">
        <v>13.917308</v>
      </c>
      <c r="AY124" s="51">
        <v>13.917308</v>
      </c>
      <c r="AZ124" s="50">
        <v>13.917308</v>
      </c>
      <c r="BA124" s="51">
        <v>13.917308</v>
      </c>
      <c r="BB124" s="50">
        <v>13.917308</v>
      </c>
      <c r="BC124" s="51">
        <v>13.917308</v>
      </c>
      <c r="BD124" s="51">
        <v>13.917308</v>
      </c>
      <c r="BE124" s="51">
        <v>13.917308</v>
      </c>
      <c r="BF124" s="51">
        <v>13.917308</v>
      </c>
      <c r="BG124" s="51">
        <v>13.917308</v>
      </c>
      <c r="BH124" s="51">
        <v>13.917308</v>
      </c>
      <c r="BI124" s="51"/>
      <c r="BJ124" s="51"/>
    </row>
    <row r="125" spans="1:62" ht="20.100000000000001" hidden="1" customHeight="1" outlineLevel="1" x14ac:dyDescent="0.25">
      <c r="A125" s="59" t="s">
        <v>265</v>
      </c>
      <c r="B125" s="51">
        <v>9.2781920000000007</v>
      </c>
      <c r="C125" s="51">
        <v>9.2781920000000007</v>
      </c>
      <c r="D125" s="51">
        <v>9.2781920000000007</v>
      </c>
      <c r="E125" s="51">
        <v>9.2781920000000007</v>
      </c>
      <c r="F125" s="51">
        <v>9.2781920000000007</v>
      </c>
      <c r="G125" s="51">
        <v>9.2781920000000007</v>
      </c>
      <c r="H125" s="51">
        <v>9.2781920000000007</v>
      </c>
      <c r="I125" s="51">
        <v>9.2781920000000007</v>
      </c>
      <c r="J125" s="51">
        <v>9.2781920000000007</v>
      </c>
      <c r="K125" s="51">
        <v>9.2781920000000007</v>
      </c>
      <c r="L125" s="51">
        <v>9.2781920000000007</v>
      </c>
      <c r="M125" s="51">
        <v>9.2781920000000007</v>
      </c>
      <c r="N125" s="51">
        <v>9.2781920000000007</v>
      </c>
      <c r="O125" s="51">
        <v>9.2781920000000007</v>
      </c>
      <c r="P125" s="51">
        <v>9.2781920000000007</v>
      </c>
      <c r="Q125" s="51">
        <v>9.2781920000000007</v>
      </c>
      <c r="R125" s="51">
        <v>9.2781920000000007</v>
      </c>
      <c r="S125" s="51">
        <v>9.2781920000000007</v>
      </c>
      <c r="T125" s="51">
        <v>9.2781920000000007</v>
      </c>
      <c r="U125" s="51">
        <v>9.2781920000000007</v>
      </c>
      <c r="V125" s="51">
        <v>9.2781920000000007</v>
      </c>
      <c r="W125" s="51">
        <v>9.2781920000000007</v>
      </c>
      <c r="X125" s="51">
        <v>9.2781920000000007</v>
      </c>
      <c r="Y125" s="51">
        <v>9.2781920000000007</v>
      </c>
      <c r="Z125" s="51">
        <v>9.2781920000000007</v>
      </c>
      <c r="AA125" s="51">
        <v>9.2781920000000007</v>
      </c>
      <c r="AB125" s="51">
        <v>9.2781920000000007</v>
      </c>
      <c r="AC125" s="51">
        <v>9.2781920000000007</v>
      </c>
      <c r="AD125" s="51">
        <v>9.2781920000000007</v>
      </c>
      <c r="AE125" s="51">
        <v>9.2781920000000007</v>
      </c>
      <c r="AF125" s="51">
        <v>9.2781920000000007</v>
      </c>
      <c r="AG125" s="51">
        <v>9.2781920000000007</v>
      </c>
      <c r="AH125" s="51">
        <v>9.2781920000000007</v>
      </c>
      <c r="AI125" s="51">
        <v>9.2781920000000007</v>
      </c>
      <c r="AJ125" s="51">
        <v>9.2781920000000007</v>
      </c>
      <c r="AK125" s="51">
        <v>9.2781920000000007</v>
      </c>
      <c r="AL125" s="51">
        <v>9.2781920000000007</v>
      </c>
      <c r="AM125" s="51">
        <v>9.2781920000000007</v>
      </c>
      <c r="AN125" s="51">
        <v>9.2781920000000007</v>
      </c>
      <c r="AO125" s="51">
        <v>9.2781920000000007</v>
      </c>
      <c r="AP125" s="51">
        <v>9.2781920000000007</v>
      </c>
      <c r="AQ125" s="51">
        <v>9.2781920000000007</v>
      </c>
      <c r="AR125" s="51">
        <v>9.2781920000000007</v>
      </c>
      <c r="AS125" s="51">
        <v>9.2781920000000007</v>
      </c>
      <c r="AT125" s="51">
        <v>9.2781920000000007</v>
      </c>
      <c r="AU125" s="51">
        <v>9.2781920000000007</v>
      </c>
      <c r="AV125" s="51">
        <v>9.2781920000000007</v>
      </c>
      <c r="AW125" s="51">
        <v>9.2781920000000007</v>
      </c>
      <c r="AX125" s="51">
        <v>9.2781920000000007</v>
      </c>
      <c r="AY125" s="51">
        <v>9.2781920000000007</v>
      </c>
      <c r="AZ125" s="50">
        <v>9.2781920000000007</v>
      </c>
      <c r="BA125" s="51">
        <v>9.2781920000000007</v>
      </c>
      <c r="BB125" s="50">
        <v>9.2781920000000007</v>
      </c>
      <c r="BC125" s="51">
        <v>9.2781920000000007</v>
      </c>
      <c r="BD125" s="51">
        <v>9.2781920000000007</v>
      </c>
      <c r="BE125" s="51">
        <v>9.2781920000000007</v>
      </c>
      <c r="BF125" s="51">
        <v>9.2781920000000007</v>
      </c>
      <c r="BG125" s="51">
        <v>9.2781920000000007</v>
      </c>
      <c r="BH125" s="51">
        <v>9.2781920000000007</v>
      </c>
      <c r="BI125" s="51"/>
      <c r="BJ125" s="51"/>
    </row>
    <row r="126" spans="1:62" ht="20.100000000000001" hidden="1" customHeight="1" outlineLevel="1" x14ac:dyDescent="0.25">
      <c r="A126" s="59" t="s">
        <v>266</v>
      </c>
      <c r="B126" s="51">
        <v>10.273973</v>
      </c>
      <c r="C126" s="51">
        <v>10.273973</v>
      </c>
      <c r="D126" s="51">
        <v>10.273973</v>
      </c>
      <c r="E126" s="51">
        <v>10.273973</v>
      </c>
      <c r="F126" s="51">
        <v>10.273973</v>
      </c>
      <c r="G126" s="51">
        <v>10.273973</v>
      </c>
      <c r="H126" s="51">
        <v>10.273973</v>
      </c>
      <c r="I126" s="51">
        <v>10.273973</v>
      </c>
      <c r="J126" s="51">
        <v>10.273973</v>
      </c>
      <c r="K126" s="51">
        <v>10.273973</v>
      </c>
      <c r="L126" s="51">
        <v>10.273973</v>
      </c>
      <c r="M126" s="51">
        <v>10.273973</v>
      </c>
      <c r="N126" s="51">
        <v>10.273973</v>
      </c>
      <c r="O126" s="51">
        <v>10.273973</v>
      </c>
      <c r="P126" s="51">
        <v>10.273973</v>
      </c>
      <c r="Q126" s="51">
        <v>10.273973</v>
      </c>
      <c r="R126" s="51">
        <v>10.273973</v>
      </c>
      <c r="S126" s="51">
        <v>10.273973</v>
      </c>
      <c r="T126" s="51">
        <v>10.273973</v>
      </c>
      <c r="U126" s="51">
        <v>10.273973</v>
      </c>
      <c r="V126" s="51">
        <v>10.273973</v>
      </c>
      <c r="W126" s="51">
        <v>10.273973</v>
      </c>
      <c r="X126" s="51">
        <v>10.273973</v>
      </c>
      <c r="Y126" s="51">
        <v>10.273973</v>
      </c>
      <c r="Z126" s="51">
        <v>10.273973</v>
      </c>
      <c r="AA126" s="51">
        <v>10.273973</v>
      </c>
      <c r="AB126" s="51">
        <v>10.273973</v>
      </c>
      <c r="AC126" s="51">
        <v>10.273973</v>
      </c>
      <c r="AD126" s="51">
        <v>10.273973</v>
      </c>
      <c r="AE126" s="51">
        <v>10.273973</v>
      </c>
      <c r="AF126" s="51">
        <v>10.273973</v>
      </c>
      <c r="AG126" s="51">
        <v>10.273973</v>
      </c>
      <c r="AH126" s="51">
        <v>10.273973</v>
      </c>
      <c r="AI126" s="51">
        <v>10.273973</v>
      </c>
      <c r="AJ126" s="51">
        <v>10.273973</v>
      </c>
      <c r="AK126" s="51">
        <v>10.273973</v>
      </c>
      <c r="AL126" s="51">
        <v>10.273973</v>
      </c>
      <c r="AM126" s="51">
        <v>10.273973</v>
      </c>
      <c r="AN126" s="51">
        <v>10.273973</v>
      </c>
      <c r="AO126" s="51">
        <v>10.273973</v>
      </c>
      <c r="AP126" s="51">
        <v>10.273973</v>
      </c>
      <c r="AQ126" s="51">
        <v>10.273973</v>
      </c>
      <c r="AR126" s="51">
        <v>10.273973</v>
      </c>
      <c r="AS126" s="51">
        <v>10.273973</v>
      </c>
      <c r="AT126" s="51">
        <v>10.273973</v>
      </c>
      <c r="AU126" s="51">
        <v>10.273973</v>
      </c>
      <c r="AV126" s="51">
        <v>10.273973</v>
      </c>
      <c r="AW126" s="51">
        <v>10.273973</v>
      </c>
      <c r="AX126" s="51">
        <v>10.273973</v>
      </c>
      <c r="AY126" s="51">
        <v>10.273973</v>
      </c>
      <c r="AZ126" s="50">
        <v>10.273973</v>
      </c>
      <c r="BA126" s="51">
        <v>10.273973</v>
      </c>
      <c r="BB126" s="50">
        <v>10.273973</v>
      </c>
      <c r="BC126" s="51">
        <v>10.273973</v>
      </c>
      <c r="BD126" s="51">
        <v>10.273973</v>
      </c>
      <c r="BE126" s="51">
        <v>10.273973</v>
      </c>
      <c r="BF126" s="51">
        <v>10.273973</v>
      </c>
      <c r="BG126" s="51">
        <v>10.273973</v>
      </c>
      <c r="BH126" s="51">
        <v>10.273973</v>
      </c>
      <c r="BI126" s="51"/>
      <c r="BJ126" s="51"/>
    </row>
    <row r="127" spans="1:62" ht="20.100000000000001" hidden="1" customHeight="1" outlineLevel="1" x14ac:dyDescent="0.25">
      <c r="A127" s="59" t="s">
        <v>267</v>
      </c>
      <c r="B127" s="51">
        <v>6.9863010000000001</v>
      </c>
      <c r="C127" s="51">
        <v>6.9863010000000001</v>
      </c>
      <c r="D127" s="51">
        <v>6.9863010000000001</v>
      </c>
      <c r="E127" s="51">
        <v>6.9863010000000001</v>
      </c>
      <c r="F127" s="51">
        <v>6.9863010000000001</v>
      </c>
      <c r="G127" s="51">
        <v>6.9863010000000001</v>
      </c>
      <c r="H127" s="51">
        <v>6.9863010000000001</v>
      </c>
      <c r="I127" s="51">
        <v>6.9863010000000001</v>
      </c>
      <c r="J127" s="51">
        <v>6.9863010000000001</v>
      </c>
      <c r="K127" s="51">
        <v>6.9863010000000001</v>
      </c>
      <c r="L127" s="51">
        <v>6.9863010000000001</v>
      </c>
      <c r="M127" s="51">
        <v>6.9863010000000001</v>
      </c>
      <c r="N127" s="51">
        <v>6.9863010000000001</v>
      </c>
      <c r="O127" s="51">
        <v>6.9863010000000001</v>
      </c>
      <c r="P127" s="51">
        <v>6.9863010000000001</v>
      </c>
      <c r="Q127" s="51">
        <v>6.9863010000000001</v>
      </c>
      <c r="R127" s="51">
        <v>6.9863010000000001</v>
      </c>
      <c r="S127" s="51">
        <v>6.9863010000000001</v>
      </c>
      <c r="T127" s="51">
        <v>6.9863010000000001</v>
      </c>
      <c r="U127" s="51">
        <v>6.9863010000000001</v>
      </c>
      <c r="V127" s="51">
        <v>6.9863010000000001</v>
      </c>
      <c r="W127" s="51">
        <v>6.9863010000000001</v>
      </c>
      <c r="X127" s="51">
        <v>6.9863010000000001</v>
      </c>
      <c r="Y127" s="51">
        <v>6.9863010000000001</v>
      </c>
      <c r="Z127" s="51">
        <v>6.9863010000000001</v>
      </c>
      <c r="AA127" s="51">
        <v>6.9863010000000001</v>
      </c>
      <c r="AB127" s="51">
        <v>6.9863010000000001</v>
      </c>
      <c r="AC127" s="51">
        <v>6.9863010000000001</v>
      </c>
      <c r="AD127" s="51">
        <v>6.9863010000000001</v>
      </c>
      <c r="AE127" s="51">
        <v>6.9863010000000001</v>
      </c>
      <c r="AF127" s="51">
        <v>6.9863010000000001</v>
      </c>
      <c r="AG127" s="51">
        <v>6.9863010000000001</v>
      </c>
      <c r="AH127" s="51">
        <v>6.9863010000000001</v>
      </c>
      <c r="AI127" s="51">
        <v>6.9863010000000001</v>
      </c>
      <c r="AJ127" s="51">
        <v>6.9863010000000001</v>
      </c>
      <c r="AK127" s="51">
        <v>6.9863010000000001</v>
      </c>
      <c r="AL127" s="51">
        <v>6.9863010000000001</v>
      </c>
      <c r="AM127" s="51">
        <v>6.9863010000000001</v>
      </c>
      <c r="AN127" s="51">
        <v>6.9863010000000001</v>
      </c>
      <c r="AO127" s="51">
        <v>6.9863010000000001</v>
      </c>
      <c r="AP127" s="51">
        <v>6.9863010000000001</v>
      </c>
      <c r="AQ127" s="51">
        <v>6.9863010000000001</v>
      </c>
      <c r="AR127" s="51">
        <v>6.9863010000000001</v>
      </c>
      <c r="AS127" s="51">
        <v>6.9863010000000001</v>
      </c>
      <c r="AT127" s="51">
        <v>6.9863010000000001</v>
      </c>
      <c r="AU127" s="51">
        <v>6.9863010000000001</v>
      </c>
      <c r="AV127" s="51">
        <v>6.9863010000000001</v>
      </c>
      <c r="AW127" s="51">
        <v>6.9863010000000001</v>
      </c>
      <c r="AX127" s="51">
        <v>6.9863010000000001</v>
      </c>
      <c r="AY127" s="51">
        <v>6.9863010000000001</v>
      </c>
      <c r="AZ127" s="50">
        <v>6.9863010000000001</v>
      </c>
      <c r="BA127" s="51">
        <v>6.9863010000000001</v>
      </c>
      <c r="BB127" s="50">
        <v>6.9863010000000001</v>
      </c>
      <c r="BC127" s="51">
        <v>6.9863010000000001</v>
      </c>
      <c r="BD127" s="51">
        <v>6.9863010000000001</v>
      </c>
      <c r="BE127" s="51">
        <v>6.9863010000000001</v>
      </c>
      <c r="BF127" s="51">
        <v>6.9863010000000001</v>
      </c>
      <c r="BG127" s="51">
        <v>6.9863010000000001</v>
      </c>
      <c r="BH127" s="51">
        <v>6.9863010000000001</v>
      </c>
      <c r="BI127" s="51"/>
      <c r="BJ127" s="51"/>
    </row>
    <row r="128" spans="1:62" ht="20.100000000000001" hidden="1" customHeight="1" outlineLevel="1" x14ac:dyDescent="0.25">
      <c r="A128" s="59" t="s">
        <v>268</v>
      </c>
      <c r="B128" s="51">
        <v>6.7123290000000004</v>
      </c>
      <c r="C128" s="51">
        <v>6.7123290000000004</v>
      </c>
      <c r="D128" s="51">
        <v>6.7123290000000004</v>
      </c>
      <c r="E128" s="51">
        <v>6.7123290000000004</v>
      </c>
      <c r="F128" s="51">
        <v>6.7123290000000004</v>
      </c>
      <c r="G128" s="51">
        <v>6.7123290000000004</v>
      </c>
      <c r="H128" s="51">
        <v>6.7123290000000004</v>
      </c>
      <c r="I128" s="51">
        <v>6.7123290000000004</v>
      </c>
      <c r="J128" s="51">
        <v>6.7123290000000004</v>
      </c>
      <c r="K128" s="51">
        <v>6.7123290000000004</v>
      </c>
      <c r="L128" s="51">
        <v>6.7123290000000004</v>
      </c>
      <c r="M128" s="51">
        <v>6.7123290000000004</v>
      </c>
      <c r="N128" s="51">
        <v>6.7123290000000004</v>
      </c>
      <c r="O128" s="51">
        <v>6.7123290000000004</v>
      </c>
      <c r="P128" s="51">
        <v>6.7123290000000004</v>
      </c>
      <c r="Q128" s="51">
        <v>6.7123290000000004</v>
      </c>
      <c r="R128" s="51">
        <v>6.7123290000000004</v>
      </c>
      <c r="S128" s="51">
        <v>6.7123290000000004</v>
      </c>
      <c r="T128" s="51">
        <v>6.7123290000000004</v>
      </c>
      <c r="U128" s="51">
        <v>6.7123290000000004</v>
      </c>
      <c r="V128" s="51">
        <v>6.7123290000000004</v>
      </c>
      <c r="W128" s="51">
        <v>6.7123290000000004</v>
      </c>
      <c r="X128" s="51">
        <v>6.7123290000000004</v>
      </c>
      <c r="Y128" s="51">
        <v>6.7123290000000004</v>
      </c>
      <c r="Z128" s="51">
        <v>6.7123290000000004</v>
      </c>
      <c r="AA128" s="51">
        <v>6.7123290000000004</v>
      </c>
      <c r="AB128" s="51">
        <v>6.7123290000000004</v>
      </c>
      <c r="AC128" s="51">
        <v>6.7123290000000004</v>
      </c>
      <c r="AD128" s="51">
        <v>6.7123290000000004</v>
      </c>
      <c r="AE128" s="51">
        <v>6.7123290000000004</v>
      </c>
      <c r="AF128" s="51">
        <v>6.7123290000000004</v>
      </c>
      <c r="AG128" s="51">
        <v>6.7123290000000004</v>
      </c>
      <c r="AH128" s="51">
        <v>6.7123290000000004</v>
      </c>
      <c r="AI128" s="51">
        <v>6.7123290000000004</v>
      </c>
      <c r="AJ128" s="51">
        <v>6.7123290000000004</v>
      </c>
      <c r="AK128" s="51">
        <v>6.7123290000000004</v>
      </c>
      <c r="AL128" s="51">
        <v>6.7123290000000004</v>
      </c>
      <c r="AM128" s="51">
        <v>6.7123290000000004</v>
      </c>
      <c r="AN128" s="51">
        <v>6.7123290000000004</v>
      </c>
      <c r="AO128" s="51">
        <v>6.7123290000000004</v>
      </c>
      <c r="AP128" s="51">
        <v>6.7123290000000004</v>
      </c>
      <c r="AQ128" s="51">
        <v>6.7123290000000004</v>
      </c>
      <c r="AR128" s="51">
        <v>6.7123290000000004</v>
      </c>
      <c r="AS128" s="51">
        <v>6.7123290000000004</v>
      </c>
      <c r="AT128" s="51">
        <v>6.7123290000000004</v>
      </c>
      <c r="AU128" s="51">
        <v>6.7123290000000004</v>
      </c>
      <c r="AV128" s="51">
        <v>6.7123290000000004</v>
      </c>
      <c r="AW128" s="51">
        <v>6.7123290000000004</v>
      </c>
      <c r="AX128" s="51">
        <v>6.7123290000000004</v>
      </c>
      <c r="AY128" s="51">
        <v>6.7123290000000004</v>
      </c>
      <c r="AZ128" s="50">
        <v>6.7123290000000004</v>
      </c>
      <c r="BA128" s="51">
        <v>6.7123290000000004</v>
      </c>
      <c r="BB128" s="50">
        <v>6.7123290000000004</v>
      </c>
      <c r="BC128" s="51">
        <v>6.7123290000000004</v>
      </c>
      <c r="BD128" s="51">
        <v>6.7123290000000004</v>
      </c>
      <c r="BE128" s="51">
        <v>6.7123290000000004</v>
      </c>
      <c r="BF128" s="51">
        <v>6.7123290000000004</v>
      </c>
      <c r="BG128" s="51">
        <v>6.7123290000000004</v>
      </c>
      <c r="BH128" s="51">
        <v>6.7123290000000004</v>
      </c>
      <c r="BI128" s="51"/>
      <c r="BJ128" s="51"/>
    </row>
    <row r="129" spans="1:67" ht="20.100000000000001" hidden="1" customHeight="1" outlineLevel="1" x14ac:dyDescent="0.25">
      <c r="A129" s="59" t="s">
        <v>269</v>
      </c>
      <c r="B129" s="51">
        <v>16.438355999999999</v>
      </c>
      <c r="C129" s="51">
        <v>16.438355999999999</v>
      </c>
      <c r="D129" s="51">
        <v>16.438355999999999</v>
      </c>
      <c r="E129" s="51">
        <v>16.438355999999999</v>
      </c>
      <c r="F129" s="51">
        <v>16.438355999999999</v>
      </c>
      <c r="G129" s="51">
        <v>16.438355999999999</v>
      </c>
      <c r="H129" s="51">
        <v>16.438355999999999</v>
      </c>
      <c r="I129" s="51">
        <v>16.438355999999999</v>
      </c>
      <c r="J129" s="51">
        <v>16.438355999999999</v>
      </c>
      <c r="K129" s="51">
        <v>16.438355999999999</v>
      </c>
      <c r="L129" s="51">
        <v>16.438355999999999</v>
      </c>
      <c r="M129" s="51">
        <v>16.438355999999999</v>
      </c>
      <c r="N129" s="51">
        <v>16.438355999999999</v>
      </c>
      <c r="O129" s="51">
        <v>16.438355999999999</v>
      </c>
      <c r="P129" s="51">
        <v>16.438355999999999</v>
      </c>
      <c r="Q129" s="51">
        <v>16.438355999999999</v>
      </c>
      <c r="R129" s="51">
        <v>16.438355999999999</v>
      </c>
      <c r="S129" s="51">
        <v>16.438355999999999</v>
      </c>
      <c r="T129" s="51">
        <v>16.438355999999999</v>
      </c>
      <c r="U129" s="51">
        <v>16.438355999999999</v>
      </c>
      <c r="V129" s="51">
        <v>16.438355999999999</v>
      </c>
      <c r="W129" s="51">
        <v>16.438355999999999</v>
      </c>
      <c r="X129" s="51">
        <v>16.438355999999999</v>
      </c>
      <c r="Y129" s="51">
        <v>16.438355999999999</v>
      </c>
      <c r="Z129" s="51">
        <v>16.438355999999999</v>
      </c>
      <c r="AA129" s="51">
        <v>16.438355999999999</v>
      </c>
      <c r="AB129" s="51">
        <v>16.438355999999999</v>
      </c>
      <c r="AC129" s="51">
        <v>16.438355999999999</v>
      </c>
      <c r="AD129" s="51">
        <v>16.438355999999999</v>
      </c>
      <c r="AE129" s="51">
        <v>16.438355999999999</v>
      </c>
      <c r="AF129" s="51">
        <v>16.438355999999999</v>
      </c>
      <c r="AG129" s="51">
        <v>16.438355999999999</v>
      </c>
      <c r="AH129" s="51">
        <v>16.438355999999999</v>
      </c>
      <c r="AI129" s="51">
        <v>16.438355999999999</v>
      </c>
      <c r="AJ129" s="51">
        <v>16.438355999999999</v>
      </c>
      <c r="AK129" s="51">
        <v>16.438355999999999</v>
      </c>
      <c r="AL129" s="51">
        <v>16.438355999999999</v>
      </c>
      <c r="AM129" s="51">
        <v>16.438355999999999</v>
      </c>
      <c r="AN129" s="51">
        <v>16.438355999999999</v>
      </c>
      <c r="AO129" s="51">
        <v>16.438355999999999</v>
      </c>
      <c r="AP129" s="51">
        <v>16.438355999999999</v>
      </c>
      <c r="AQ129" s="51">
        <v>16.438355999999999</v>
      </c>
      <c r="AR129" s="51">
        <v>16.438355999999999</v>
      </c>
      <c r="AS129" s="51">
        <v>16.438355999999999</v>
      </c>
      <c r="AT129" s="51">
        <v>16.438355999999999</v>
      </c>
      <c r="AU129" s="51">
        <v>16.438355999999999</v>
      </c>
      <c r="AV129" s="51">
        <v>16.438355999999999</v>
      </c>
      <c r="AW129" s="51">
        <v>16.438355999999999</v>
      </c>
      <c r="AX129" s="51">
        <v>16.438355999999999</v>
      </c>
      <c r="AY129" s="51">
        <v>16.438355999999999</v>
      </c>
      <c r="AZ129" s="50">
        <v>16.438355999999999</v>
      </c>
      <c r="BA129" s="51">
        <v>16.438355999999999</v>
      </c>
      <c r="BB129" s="50">
        <v>16.438355999999999</v>
      </c>
      <c r="BC129" s="51">
        <v>16.438355999999999</v>
      </c>
      <c r="BD129" s="51">
        <v>16.438355999999999</v>
      </c>
      <c r="BE129" s="51">
        <v>16.438355999999999</v>
      </c>
      <c r="BF129" s="51">
        <v>16.438355999999999</v>
      </c>
      <c r="BG129" s="51">
        <v>16.438355999999999</v>
      </c>
      <c r="BH129" s="51">
        <v>16.438355999999999</v>
      </c>
      <c r="BI129" s="51"/>
      <c r="BJ129" s="51"/>
    </row>
    <row r="130" spans="1:67" ht="20.100000000000001" hidden="1" customHeight="1" outlineLevel="1" x14ac:dyDescent="0.25">
      <c r="A130" s="59" t="s">
        <v>270</v>
      </c>
      <c r="B130" s="51">
        <v>13.150684999999999</v>
      </c>
      <c r="C130" s="51">
        <v>13.150684999999999</v>
      </c>
      <c r="D130" s="51">
        <v>13.150684999999999</v>
      </c>
      <c r="E130" s="51">
        <v>13.150684999999999</v>
      </c>
      <c r="F130" s="51">
        <v>13.150684999999999</v>
      </c>
      <c r="G130" s="51">
        <v>13.150684999999999</v>
      </c>
      <c r="H130" s="51">
        <v>13.150684999999999</v>
      </c>
      <c r="I130" s="51">
        <v>13.150684999999999</v>
      </c>
      <c r="J130" s="51">
        <v>13.150684999999999</v>
      </c>
      <c r="K130" s="51">
        <v>13.150684999999999</v>
      </c>
      <c r="L130" s="51">
        <v>13.150684999999999</v>
      </c>
      <c r="M130" s="51">
        <v>13.150684999999999</v>
      </c>
      <c r="N130" s="51">
        <v>13.150684999999999</v>
      </c>
      <c r="O130" s="51">
        <v>13.150684999999999</v>
      </c>
      <c r="P130" s="51">
        <v>13.150684999999999</v>
      </c>
      <c r="Q130" s="51">
        <v>13.150684999999999</v>
      </c>
      <c r="R130" s="51">
        <v>13.150684999999999</v>
      </c>
      <c r="S130" s="51">
        <v>13.150684999999999</v>
      </c>
      <c r="T130" s="51">
        <v>13.150684999999999</v>
      </c>
      <c r="U130" s="51">
        <v>13.150684999999999</v>
      </c>
      <c r="V130" s="51">
        <v>13.150684999999999</v>
      </c>
      <c r="W130" s="51">
        <v>13.150684999999999</v>
      </c>
      <c r="X130" s="51">
        <v>13.150684999999999</v>
      </c>
      <c r="Y130" s="51">
        <v>13.150684999999999</v>
      </c>
      <c r="Z130" s="51">
        <v>13.150684999999999</v>
      </c>
      <c r="AA130" s="51">
        <v>13.150684999999999</v>
      </c>
      <c r="AB130" s="51">
        <v>13.150684999999999</v>
      </c>
      <c r="AC130" s="51">
        <v>13.150684999999999</v>
      </c>
      <c r="AD130" s="51">
        <v>13.150684999999999</v>
      </c>
      <c r="AE130" s="51">
        <v>13.150684999999999</v>
      </c>
      <c r="AF130" s="51">
        <v>13.150684999999999</v>
      </c>
      <c r="AG130" s="51">
        <v>13.150684999999999</v>
      </c>
      <c r="AH130" s="51">
        <v>13.150684999999999</v>
      </c>
      <c r="AI130" s="51">
        <v>13.150684999999999</v>
      </c>
      <c r="AJ130" s="51">
        <v>13.150684999999999</v>
      </c>
      <c r="AK130" s="51">
        <v>13.150684999999999</v>
      </c>
      <c r="AL130" s="51">
        <v>13.150684999999999</v>
      </c>
      <c r="AM130" s="51">
        <v>13.150684999999999</v>
      </c>
      <c r="AN130" s="51">
        <v>13.150684999999999</v>
      </c>
      <c r="AO130" s="51">
        <v>13.150684999999999</v>
      </c>
      <c r="AP130" s="51">
        <v>13.150684999999999</v>
      </c>
      <c r="AQ130" s="51">
        <v>13.150684999999999</v>
      </c>
      <c r="AR130" s="51">
        <v>13.150684999999999</v>
      </c>
      <c r="AS130" s="51">
        <v>13.150684999999999</v>
      </c>
      <c r="AT130" s="51">
        <v>13.150684999999999</v>
      </c>
      <c r="AU130" s="51">
        <v>13.150684999999999</v>
      </c>
      <c r="AV130" s="51">
        <v>13.150684999999999</v>
      </c>
      <c r="AW130" s="51">
        <v>13.150684999999999</v>
      </c>
      <c r="AX130" s="51">
        <v>13.150684999999999</v>
      </c>
      <c r="AY130" s="51">
        <v>13.150684999999999</v>
      </c>
      <c r="AZ130" s="50">
        <v>13.150684999999999</v>
      </c>
      <c r="BA130" s="51">
        <v>13.150684999999999</v>
      </c>
      <c r="BB130" s="50">
        <v>13.150684999999999</v>
      </c>
      <c r="BC130" s="51">
        <v>13.150684999999999</v>
      </c>
      <c r="BD130" s="51">
        <v>13.150684999999999</v>
      </c>
      <c r="BE130" s="51">
        <v>13.150684999999999</v>
      </c>
      <c r="BF130" s="51">
        <v>13.150684999999999</v>
      </c>
      <c r="BG130" s="51">
        <v>13.150684999999999</v>
      </c>
      <c r="BH130" s="51">
        <v>13.150684999999999</v>
      </c>
      <c r="BI130" s="51"/>
      <c r="BJ130" s="51"/>
    </row>
    <row r="131" spans="1:67" ht="20.100000000000001" hidden="1" customHeight="1" outlineLevel="1" x14ac:dyDescent="0.25">
      <c r="A131" s="59" t="s">
        <v>271</v>
      </c>
      <c r="B131" s="51">
        <v>9.7902349999999991</v>
      </c>
      <c r="C131" s="51">
        <v>9.7902349999999991</v>
      </c>
      <c r="D131" s="51">
        <v>9.7902349999999991</v>
      </c>
      <c r="E131" s="51">
        <v>9.7902349999999991</v>
      </c>
      <c r="F131" s="51">
        <v>9.7902349999999991</v>
      </c>
      <c r="G131" s="51">
        <v>9.7902349999999991</v>
      </c>
      <c r="H131" s="51">
        <v>9.7902349999999991</v>
      </c>
      <c r="I131" s="51">
        <v>9.7902349999999991</v>
      </c>
      <c r="J131" s="51">
        <v>9.7902349999999991</v>
      </c>
      <c r="K131" s="51">
        <v>9.7902349999999991</v>
      </c>
      <c r="L131" s="51">
        <v>9.7902349999999991</v>
      </c>
      <c r="M131" s="51">
        <v>9.7902349999999991</v>
      </c>
      <c r="N131" s="51">
        <v>9.7902349999999991</v>
      </c>
      <c r="O131" s="51">
        <v>9.7902349999999991</v>
      </c>
      <c r="P131" s="51">
        <v>9.7902349999999991</v>
      </c>
      <c r="Q131" s="51">
        <v>9.7902349999999991</v>
      </c>
      <c r="R131" s="51">
        <v>9.7902349999999991</v>
      </c>
      <c r="S131" s="51">
        <v>9.7902349999999991</v>
      </c>
      <c r="T131" s="51">
        <v>9.7902349999999991</v>
      </c>
      <c r="U131" s="51">
        <v>9.7902349999999991</v>
      </c>
      <c r="V131" s="51">
        <v>9.7902349999999991</v>
      </c>
      <c r="W131" s="51">
        <v>9.7902349999999991</v>
      </c>
      <c r="X131" s="51">
        <v>9.7902349999999991</v>
      </c>
      <c r="Y131" s="51">
        <v>9.7902349999999991</v>
      </c>
      <c r="Z131" s="51">
        <v>9.7902349999999991</v>
      </c>
      <c r="AA131" s="51">
        <v>9.7902349999999991</v>
      </c>
      <c r="AB131" s="51">
        <v>9.7902349999999991</v>
      </c>
      <c r="AC131" s="51">
        <v>9.7902349999999991</v>
      </c>
      <c r="AD131" s="51">
        <v>9.7902349999999991</v>
      </c>
      <c r="AE131" s="51">
        <v>9.7902349999999991</v>
      </c>
      <c r="AF131" s="51">
        <v>9.7902349999999991</v>
      </c>
      <c r="AG131" s="51">
        <v>9.7902349999999991</v>
      </c>
      <c r="AH131" s="51">
        <v>9.7902349999999991</v>
      </c>
      <c r="AI131" s="51">
        <v>9.7902349999999991</v>
      </c>
      <c r="AJ131" s="51">
        <v>9.7902349999999991</v>
      </c>
      <c r="AK131" s="51">
        <v>9.7902349999999991</v>
      </c>
      <c r="AL131" s="51">
        <v>9.7902349999999991</v>
      </c>
      <c r="AM131" s="51">
        <v>9.7902349999999991</v>
      </c>
      <c r="AN131" s="51">
        <v>9.7902349999999991</v>
      </c>
      <c r="AO131" s="51">
        <v>9.7902349999999991</v>
      </c>
      <c r="AP131" s="51">
        <v>9.7902349999999991</v>
      </c>
      <c r="AQ131" s="51">
        <v>9.7902349999999991</v>
      </c>
      <c r="AR131" s="51">
        <v>9.7902349999999991</v>
      </c>
      <c r="AS131" s="51">
        <v>9.7902349999999991</v>
      </c>
      <c r="AT131" s="51">
        <v>9.7902349999999991</v>
      </c>
      <c r="AU131" s="51">
        <v>9.7902349999999991</v>
      </c>
      <c r="AV131" s="51">
        <v>9.7902349999999991</v>
      </c>
      <c r="AW131" s="51">
        <v>9.7902349999999991</v>
      </c>
      <c r="AX131" s="51">
        <v>9.7902349999999991</v>
      </c>
      <c r="AY131" s="51">
        <v>9.7902349999999991</v>
      </c>
      <c r="AZ131" s="50">
        <v>9.7902349999999991</v>
      </c>
      <c r="BA131" s="51">
        <v>9.7902349999999991</v>
      </c>
      <c r="BB131" s="50">
        <v>9.7902349999999991</v>
      </c>
      <c r="BC131" s="51">
        <v>9.7902349999999991</v>
      </c>
      <c r="BD131" s="51">
        <v>9.7902349999999991</v>
      </c>
      <c r="BE131" s="51">
        <v>9.7902349999999991</v>
      </c>
      <c r="BF131" s="51">
        <v>9.7902349999999991</v>
      </c>
      <c r="BG131" s="51">
        <v>9.7902349999999991</v>
      </c>
      <c r="BH131" s="51">
        <v>9.7902349999999991</v>
      </c>
      <c r="BI131" s="51"/>
      <c r="BJ131" s="51"/>
    </row>
    <row r="132" spans="1:67" ht="20.100000000000001" hidden="1" customHeight="1" outlineLevel="1" x14ac:dyDescent="0.25">
      <c r="A132" s="59" t="s">
        <v>272</v>
      </c>
      <c r="B132" s="51">
        <v>11.221883</v>
      </c>
      <c r="C132" s="51">
        <v>11.221883</v>
      </c>
      <c r="D132" s="51">
        <v>11.221883</v>
      </c>
      <c r="E132" s="51">
        <v>11.221883</v>
      </c>
      <c r="F132" s="51">
        <v>11.221883</v>
      </c>
      <c r="G132" s="51">
        <v>11.221883</v>
      </c>
      <c r="H132" s="51">
        <v>11.221883</v>
      </c>
      <c r="I132" s="51">
        <v>11.221883</v>
      </c>
      <c r="J132" s="51">
        <v>11.221883</v>
      </c>
      <c r="K132" s="51">
        <v>11.221883</v>
      </c>
      <c r="L132" s="51">
        <v>11.221883</v>
      </c>
      <c r="M132" s="51">
        <v>11.221883</v>
      </c>
      <c r="N132" s="51">
        <v>11.221883</v>
      </c>
      <c r="O132" s="51">
        <v>11.221883</v>
      </c>
      <c r="P132" s="51">
        <v>11.221883</v>
      </c>
      <c r="Q132" s="51">
        <v>11.221883</v>
      </c>
      <c r="R132" s="51">
        <v>11.221883</v>
      </c>
      <c r="S132" s="51">
        <v>11.221883</v>
      </c>
      <c r="T132" s="51">
        <v>11.221883</v>
      </c>
      <c r="U132" s="51">
        <v>11.221883</v>
      </c>
      <c r="V132" s="51">
        <v>11.221883</v>
      </c>
      <c r="W132" s="51">
        <v>11.221883</v>
      </c>
      <c r="X132" s="51">
        <v>11.221883</v>
      </c>
      <c r="Y132" s="51">
        <v>11.221883</v>
      </c>
      <c r="Z132" s="51">
        <v>11.221883</v>
      </c>
      <c r="AA132" s="51">
        <v>11.221883</v>
      </c>
      <c r="AB132" s="51">
        <v>11.221883</v>
      </c>
      <c r="AC132" s="51">
        <v>11.221883</v>
      </c>
      <c r="AD132" s="51">
        <v>11.221883</v>
      </c>
      <c r="AE132" s="51">
        <v>11.221883</v>
      </c>
      <c r="AF132" s="51">
        <v>11.221883</v>
      </c>
      <c r="AG132" s="51">
        <v>11.221883</v>
      </c>
      <c r="AH132" s="51">
        <v>11.221883</v>
      </c>
      <c r="AI132" s="51">
        <v>11.221883</v>
      </c>
      <c r="AJ132" s="51">
        <v>11.221883</v>
      </c>
      <c r="AK132" s="51">
        <v>11.221883</v>
      </c>
      <c r="AL132" s="51">
        <v>11.221883</v>
      </c>
      <c r="AM132" s="51">
        <v>11.221883</v>
      </c>
      <c r="AN132" s="51">
        <v>11.221883</v>
      </c>
      <c r="AO132" s="51">
        <v>11.221883</v>
      </c>
      <c r="AP132" s="51">
        <v>11.221883</v>
      </c>
      <c r="AQ132" s="51">
        <v>11.221883</v>
      </c>
      <c r="AR132" s="51">
        <v>11.221883</v>
      </c>
      <c r="AS132" s="51">
        <v>11.221883</v>
      </c>
      <c r="AT132" s="51">
        <v>11.221883</v>
      </c>
      <c r="AU132" s="51">
        <v>11.221883</v>
      </c>
      <c r="AV132" s="51">
        <v>11.221883</v>
      </c>
      <c r="AW132" s="51">
        <v>11.221883</v>
      </c>
      <c r="AX132" s="51">
        <v>11.221883</v>
      </c>
      <c r="AY132" s="51">
        <v>11.221883</v>
      </c>
      <c r="AZ132" s="50">
        <v>11.221883</v>
      </c>
      <c r="BA132" s="51">
        <v>11.221883</v>
      </c>
      <c r="BB132" s="50">
        <v>11.221883</v>
      </c>
      <c r="BC132" s="51">
        <v>11.221883</v>
      </c>
      <c r="BD132" s="51">
        <v>11.221883</v>
      </c>
      <c r="BE132" s="51">
        <v>11.221883</v>
      </c>
      <c r="BF132" s="51">
        <v>11.221883</v>
      </c>
      <c r="BG132" s="51">
        <v>11.221883</v>
      </c>
      <c r="BH132" s="51">
        <v>11.221883</v>
      </c>
      <c r="BI132" s="51"/>
      <c r="BJ132" s="51"/>
    </row>
    <row r="133" spans="1:67" ht="20.100000000000001" customHeight="1" collapsed="1" x14ac:dyDescent="0.25">
      <c r="A133" s="58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</row>
    <row r="134" spans="1:67" s="45" customFormat="1" ht="24" customHeight="1" x14ac:dyDescent="0.25">
      <c r="A134" s="47" t="s">
        <v>276</v>
      </c>
      <c r="B134" s="49">
        <f>SUM(B87:B133)</f>
        <v>449.43462700000003</v>
      </c>
      <c r="C134" s="49">
        <f>SUM(C87:C133)</f>
        <v>449.43462700000003</v>
      </c>
      <c r="D134" s="49">
        <f>SUM(D87:D133)</f>
        <v>449.43462700000003</v>
      </c>
      <c r="E134" s="49">
        <f>SUM(E87:E133)</f>
        <v>453.81818900000002</v>
      </c>
      <c r="F134" s="49">
        <f>SUM(F87:F133)</f>
        <v>453.81818900000002</v>
      </c>
      <c r="G134" s="49">
        <f>SUM(G87:G133)</f>
        <v>453.81818900000002</v>
      </c>
      <c r="H134" s="49">
        <f>SUM(H87:H133)</f>
        <v>453.81818900000002</v>
      </c>
      <c r="I134" s="49">
        <f>SUM(I87:I133)</f>
        <v>453.81818900000002</v>
      </c>
      <c r="J134" s="49">
        <f>SUM(J87:J133)</f>
        <v>453.81818900000002</v>
      </c>
      <c r="K134" s="49">
        <f>SUM(K87:K133)</f>
        <v>453.81818900000002</v>
      </c>
      <c r="L134" s="49">
        <f>SUM(L87:L133)</f>
        <v>453.81818900000002</v>
      </c>
      <c r="M134" s="49">
        <f>SUM(M87:M133)</f>
        <v>453.81818900000002</v>
      </c>
      <c r="N134" s="49">
        <f>SUM(N87:N133)</f>
        <v>453.81818900000002</v>
      </c>
      <c r="O134" s="49">
        <f>SUM(O87:O133)</f>
        <v>453.81818900000002</v>
      </c>
      <c r="P134" s="49">
        <f>SUM(P87:P133)</f>
        <v>453.81818900000002</v>
      </c>
      <c r="Q134" s="49">
        <f>SUM(Q87:Q133)</f>
        <v>453.81818900000002</v>
      </c>
      <c r="R134" s="49">
        <f>SUM(R87:R133)</f>
        <v>453.81818900000002</v>
      </c>
      <c r="S134" s="49">
        <f>SUM(S87:S133)</f>
        <v>453.81818900000002</v>
      </c>
      <c r="T134" s="49">
        <f>SUM(T87:T133)</f>
        <v>453.81818900000002</v>
      </c>
      <c r="U134" s="49">
        <f>SUM(U87:U133)</f>
        <v>453.81818900000002</v>
      </c>
      <c r="V134" s="49">
        <f>SUM(V87:V133)</f>
        <v>453.81818900000002</v>
      </c>
      <c r="W134" s="49">
        <f>SUM(W87:W133)</f>
        <v>453.81818900000002</v>
      </c>
      <c r="X134" s="49">
        <f>SUM(X87:X133)</f>
        <v>453.81818900000002</v>
      </c>
      <c r="Y134" s="49">
        <f>SUM(Y87:Y133)</f>
        <v>453.81818900000002</v>
      </c>
      <c r="Z134" s="49">
        <f>SUM(Z87:Z133)</f>
        <v>453.81818900000002</v>
      </c>
      <c r="AA134" s="49">
        <f>SUM(AA87:AA133)</f>
        <v>453.81818900000002</v>
      </c>
      <c r="AB134" s="49">
        <f>SUM(AB87:AB133)</f>
        <v>453.81818900000002</v>
      </c>
      <c r="AC134" s="49">
        <f>SUM(AC87:AC133)</f>
        <v>453.81818900000002</v>
      </c>
      <c r="AD134" s="49">
        <f>SUM(AD87:AD133)</f>
        <v>453.81818900000002</v>
      </c>
      <c r="AE134" s="49">
        <f>SUM(AE87:AE133)</f>
        <v>453.81818900000002</v>
      </c>
      <c r="AF134" s="49">
        <f>SUM(AF87:AF133)</f>
        <v>453.81818900000002</v>
      </c>
      <c r="AG134" s="49">
        <f>SUM(AG87:AG133)</f>
        <v>453.81818900000002</v>
      </c>
      <c r="AH134" s="49">
        <f>SUM(AH87:AH133)</f>
        <v>453.81818900000002</v>
      </c>
      <c r="AI134" s="49">
        <f>SUM(AI87:AI133)</f>
        <v>458.201751</v>
      </c>
      <c r="AJ134" s="49">
        <f>SUM(AJ87:AJ133)</f>
        <v>458.201751</v>
      </c>
      <c r="AK134" s="49">
        <f>SUM(AK87:AK133)</f>
        <v>458.201751</v>
      </c>
      <c r="AL134" s="49">
        <f>SUM(AL87:AL133)</f>
        <v>458.201751</v>
      </c>
      <c r="AM134" s="49">
        <f>SUM(AM87:AM133)</f>
        <v>458.201751</v>
      </c>
      <c r="AN134" s="49">
        <f>SUM(AN87:AN133)</f>
        <v>458.201751</v>
      </c>
      <c r="AO134" s="49">
        <f>SUM(AO87:AO133)</f>
        <v>458.201751</v>
      </c>
      <c r="AP134" s="49">
        <f>SUM(AP87:AP133)</f>
        <v>458.201751</v>
      </c>
      <c r="AQ134" s="49">
        <f>SUM(AQ87:AQ133)</f>
        <v>458.201751</v>
      </c>
      <c r="AR134" s="49">
        <f>SUM(AR87:AR133)</f>
        <v>458.201751</v>
      </c>
      <c r="AS134" s="49">
        <f>SUM(AS87:AS133)</f>
        <v>458.201751</v>
      </c>
      <c r="AT134" s="49">
        <f>SUM(AT87:AT133)</f>
        <v>458.201751</v>
      </c>
      <c r="AU134" s="49">
        <f>SUM(AU87:AU133)</f>
        <v>458.201751</v>
      </c>
      <c r="AV134" s="49">
        <f>SUM(AV87:AV133)</f>
        <v>458.201751</v>
      </c>
      <c r="AW134" s="49">
        <f>SUM(AW87:AW133)</f>
        <v>458.201751</v>
      </c>
      <c r="AX134" s="49">
        <f>SUM(AX87:AX133)</f>
        <v>458.201751</v>
      </c>
      <c r="AY134" s="49">
        <f>SUM(AY87:AY133)</f>
        <v>458.201751</v>
      </c>
      <c r="AZ134" s="49">
        <f>SUM(AZ87:AZ133)</f>
        <v>458.201751</v>
      </c>
      <c r="BA134" s="49">
        <f>SUM(BA87:BA133)</f>
        <v>458.201751</v>
      </c>
      <c r="BB134" s="49">
        <f>SUM(BB87:BB133)</f>
        <v>458.201751</v>
      </c>
      <c r="BC134" s="49">
        <f>SUM(BC87:BC133)</f>
        <v>458.201751</v>
      </c>
      <c r="BD134" s="49">
        <f>SUM(BD87:BD133)</f>
        <v>458.201751</v>
      </c>
      <c r="BE134" s="49">
        <f>SUM(BE87:BE133)</f>
        <v>458.201751</v>
      </c>
      <c r="BF134" s="49">
        <f>SUM(BF87:BF133)</f>
        <v>458.201751</v>
      </c>
      <c r="BG134" s="49">
        <f>SUM(BG87:BG133)</f>
        <v>458.201751</v>
      </c>
      <c r="BH134" s="49">
        <f>SUM(BH87:BH133)</f>
        <v>458.201751</v>
      </c>
      <c r="BJ134" s="22">
        <f>SUM(B134:BI134)</f>
        <v>26876.095077000005</v>
      </c>
      <c r="BL134" s="22"/>
    </row>
    <row r="135" spans="1:67" s="45" customFormat="1" ht="24" customHeight="1" x14ac:dyDescent="0.25">
      <c r="A135" s="28" t="s">
        <v>284</v>
      </c>
      <c r="B135" s="46">
        <v>0.01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</row>
    <row r="136" spans="1:67" ht="21" customHeight="1" x14ac:dyDescent="0.25">
      <c r="A136" s="34" t="s">
        <v>102</v>
      </c>
      <c r="B136" s="35">
        <f>+$B$135/365*B$76</f>
        <v>56.185660952533489</v>
      </c>
      <c r="C136" s="35">
        <f t="shared" ref="C136:BH136" si="8">+$B$135/365*C$76</f>
        <v>56.202592229515886</v>
      </c>
      <c r="D136" s="35">
        <f t="shared" si="8"/>
        <v>56.219524898110102</v>
      </c>
      <c r="E136" s="35">
        <f t="shared" si="8"/>
        <v>56.236458958430489</v>
      </c>
      <c r="F136" s="35">
        <f t="shared" si="8"/>
        <v>56.253514508180501</v>
      </c>
      <c r="G136" s="35">
        <f t="shared" si="8"/>
        <v>56.270571459756518</v>
      </c>
      <c r="H136" s="35">
        <f t="shared" si="8"/>
        <v>56.28762981327376</v>
      </c>
      <c r="I136" s="35">
        <f t="shared" si="8"/>
        <v>56.304689568847451</v>
      </c>
      <c r="J136" s="35">
        <f t="shared" si="8"/>
        <v>56.321750726592839</v>
      </c>
      <c r="K136" s="35">
        <f t="shared" si="8"/>
        <v>56.338813286625154</v>
      </c>
      <c r="L136" s="35">
        <f t="shared" si="8"/>
        <v>56.355877249059674</v>
      </c>
      <c r="M136" s="35">
        <f t="shared" si="8"/>
        <v>56.372942614011649</v>
      </c>
      <c r="N136" s="35">
        <f t="shared" si="8"/>
        <v>56.390009381596357</v>
      </c>
      <c r="O136" s="35">
        <f t="shared" si="8"/>
        <v>56.407077551929092</v>
      </c>
      <c r="P136" s="35">
        <f t="shared" si="8"/>
        <v>56.424147125125138</v>
      </c>
      <c r="Q136" s="35">
        <f t="shared" si="8"/>
        <v>56.441218101299803</v>
      </c>
      <c r="R136" s="35">
        <f t="shared" si="8"/>
        <v>56.458290480568401</v>
      </c>
      <c r="S136" s="35">
        <f t="shared" si="8"/>
        <v>56.475364263046252</v>
      </c>
      <c r="T136" s="35">
        <f t="shared" si="8"/>
        <v>56.492439448848693</v>
      </c>
      <c r="U136" s="35">
        <f t="shared" si="8"/>
        <v>56.509516038091064</v>
      </c>
      <c r="V136" s="35">
        <f t="shared" si="8"/>
        <v>56.526594030888717</v>
      </c>
      <c r="W136" s="35">
        <f t="shared" si="8"/>
        <v>56.543673427357007</v>
      </c>
      <c r="X136" s="35">
        <f t="shared" si="8"/>
        <v>56.560754227611312</v>
      </c>
      <c r="Y136" s="35">
        <f t="shared" si="8"/>
        <v>56.577836431767011</v>
      </c>
      <c r="Z136" s="35">
        <f t="shared" si="8"/>
        <v>56.594920039939488</v>
      </c>
      <c r="AA136" s="35">
        <f t="shared" si="8"/>
        <v>56.612005052244136</v>
      </c>
      <c r="AB136" s="35">
        <f t="shared" si="8"/>
        <v>56.629091468796375</v>
      </c>
      <c r="AC136" s="35">
        <f t="shared" si="8"/>
        <v>56.646179289711618</v>
      </c>
      <c r="AD136" s="35">
        <f t="shared" si="8"/>
        <v>56.663268515105294</v>
      </c>
      <c r="AE136" s="35">
        <f t="shared" si="8"/>
        <v>56.680359145092837</v>
      </c>
      <c r="AF136" s="35">
        <f t="shared" si="8"/>
        <v>56.697451179789695</v>
      </c>
      <c r="AG136" s="35">
        <f t="shared" si="8"/>
        <v>56.714544619311319</v>
      </c>
      <c r="AH136" s="35">
        <f t="shared" si="8"/>
        <v>56.731639463773178</v>
      </c>
      <c r="AI136" s="35">
        <f t="shared" si="8"/>
        <v>56.748735713290749</v>
      </c>
      <c r="AJ136" s="35">
        <f t="shared" si="8"/>
        <v>56.76595346556855</v>
      </c>
      <c r="AK136" s="35">
        <f t="shared" si="8"/>
        <v>56.783172633004085</v>
      </c>
      <c r="AL136" s="35">
        <f t="shared" si="8"/>
        <v>56.800393215713648</v>
      </c>
      <c r="AM136" s="35">
        <f t="shared" si="8"/>
        <v>56.817615213813568</v>
      </c>
      <c r="AN136" s="35">
        <f t="shared" si="8"/>
        <v>56.834838627420183</v>
      </c>
      <c r="AO136" s="35">
        <f t="shared" si="8"/>
        <v>56.852063456649837</v>
      </c>
      <c r="AP136" s="35">
        <f t="shared" si="8"/>
        <v>56.869289701618875</v>
      </c>
      <c r="AQ136" s="35">
        <f t="shared" si="8"/>
        <v>56.886517362443669</v>
      </c>
      <c r="AR136" s="35">
        <f t="shared" si="8"/>
        <v>56.903746439240578</v>
      </c>
      <c r="AS136" s="35">
        <f t="shared" si="8"/>
        <v>56.920976932125996</v>
      </c>
      <c r="AT136" s="35">
        <f t="shared" si="8"/>
        <v>56.938208841216309</v>
      </c>
      <c r="AU136" s="35">
        <f t="shared" si="8"/>
        <v>56.955442166627911</v>
      </c>
      <c r="AV136" s="35">
        <f t="shared" si="8"/>
        <v>56.972676908477226</v>
      </c>
      <c r="AW136" s="35">
        <f t="shared" si="8"/>
        <v>56.989913066880661</v>
      </c>
      <c r="AX136" s="35">
        <f t="shared" si="8"/>
        <v>57.007150641954645</v>
      </c>
      <c r="AY136" s="35">
        <f t="shared" si="8"/>
        <v>57.02438963381563</v>
      </c>
      <c r="AZ136" s="35">
        <f t="shared" si="8"/>
        <v>57.041630042580053</v>
      </c>
      <c r="BA136" s="35">
        <f t="shared" si="8"/>
        <v>57.058871868364378</v>
      </c>
      <c r="BB136" s="35">
        <f t="shared" si="8"/>
        <v>57.076115111285063</v>
      </c>
      <c r="BC136" s="35">
        <f t="shared" si="8"/>
        <v>57.093359771458594</v>
      </c>
      <c r="BD136" s="35">
        <f t="shared" si="8"/>
        <v>57.110605849001452</v>
      </c>
      <c r="BE136" s="35">
        <f t="shared" si="8"/>
        <v>57.127853344030136</v>
      </c>
      <c r="BF136" s="35">
        <f t="shared" si="8"/>
        <v>57.145102256661154</v>
      </c>
      <c r="BG136" s="35">
        <f t="shared" si="8"/>
        <v>57.162352587011021</v>
      </c>
      <c r="BH136" s="35">
        <f t="shared" si="8"/>
        <v>57.179604335196252</v>
      </c>
      <c r="BJ136" s="22">
        <f>SUM(B136:BI136)</f>
        <v>3344.1929847322795</v>
      </c>
      <c r="BL136" s="22"/>
    </row>
    <row r="137" spans="1:67" s="45" customFormat="1" ht="24" customHeight="1" x14ac:dyDescent="0.25">
      <c r="A137" s="28" t="s">
        <v>285</v>
      </c>
      <c r="B137" s="46">
        <v>0.02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</row>
    <row r="138" spans="1:67" ht="21" customHeight="1" x14ac:dyDescent="0.25">
      <c r="A138" s="34" t="s">
        <v>103</v>
      </c>
      <c r="B138" s="52">
        <f>$B$137/365*B$76</f>
        <v>112.37132190506698</v>
      </c>
      <c r="C138" s="52">
        <f t="shared" ref="C138:BH138" si="9">$B$137/365*C$76</f>
        <v>112.40518445903177</v>
      </c>
      <c r="D138" s="52">
        <f t="shared" si="9"/>
        <v>112.4390497962202</v>
      </c>
      <c r="E138" s="52">
        <f t="shared" si="9"/>
        <v>112.47291791686098</v>
      </c>
      <c r="F138" s="52">
        <f t="shared" si="9"/>
        <v>112.507029016361</v>
      </c>
      <c r="G138" s="52">
        <f t="shared" si="9"/>
        <v>112.54114291951304</v>
      </c>
      <c r="H138" s="52">
        <f t="shared" si="9"/>
        <v>112.57525962654752</v>
      </c>
      <c r="I138" s="52">
        <f t="shared" si="9"/>
        <v>112.6093791376949</v>
      </c>
      <c r="J138" s="52">
        <f t="shared" si="9"/>
        <v>112.64350145318568</v>
      </c>
      <c r="K138" s="52">
        <f t="shared" si="9"/>
        <v>112.67762657325031</v>
      </c>
      <c r="L138" s="52">
        <f t="shared" si="9"/>
        <v>112.71175449811935</v>
      </c>
      <c r="M138" s="52">
        <f t="shared" si="9"/>
        <v>112.7458852280233</v>
      </c>
      <c r="N138" s="52">
        <f t="shared" si="9"/>
        <v>112.78001876319271</v>
      </c>
      <c r="O138" s="52">
        <f t="shared" si="9"/>
        <v>112.81415510385818</v>
      </c>
      <c r="P138" s="52">
        <f t="shared" si="9"/>
        <v>112.84829425025028</v>
      </c>
      <c r="Q138" s="52">
        <f t="shared" si="9"/>
        <v>112.88243620259961</v>
      </c>
      <c r="R138" s="52">
        <f t="shared" si="9"/>
        <v>112.9165809611368</v>
      </c>
      <c r="S138" s="52">
        <f t="shared" si="9"/>
        <v>112.9507285260925</v>
      </c>
      <c r="T138" s="52">
        <f t="shared" si="9"/>
        <v>112.98487889769739</v>
      </c>
      <c r="U138" s="52">
        <f t="shared" si="9"/>
        <v>113.01903207618213</v>
      </c>
      <c r="V138" s="52">
        <f t="shared" si="9"/>
        <v>113.05318806177743</v>
      </c>
      <c r="W138" s="52">
        <f t="shared" si="9"/>
        <v>113.08734685471401</v>
      </c>
      <c r="X138" s="52">
        <f t="shared" si="9"/>
        <v>113.12150845522262</v>
      </c>
      <c r="Y138" s="52">
        <f t="shared" si="9"/>
        <v>113.15567286353402</v>
      </c>
      <c r="Z138" s="52">
        <f t="shared" si="9"/>
        <v>113.18984007987898</v>
      </c>
      <c r="AA138" s="52">
        <f t="shared" si="9"/>
        <v>113.22401010448827</v>
      </c>
      <c r="AB138" s="52">
        <f t="shared" si="9"/>
        <v>113.25818293759275</v>
      </c>
      <c r="AC138" s="52">
        <f t="shared" si="9"/>
        <v>113.29235857942324</v>
      </c>
      <c r="AD138" s="52">
        <f t="shared" si="9"/>
        <v>113.32653703021059</v>
      </c>
      <c r="AE138" s="52">
        <f t="shared" si="9"/>
        <v>113.36071829018567</v>
      </c>
      <c r="AF138" s="52">
        <f t="shared" si="9"/>
        <v>113.39490235957939</v>
      </c>
      <c r="AG138" s="52">
        <f t="shared" si="9"/>
        <v>113.42908923862264</v>
      </c>
      <c r="AH138" s="52">
        <f t="shared" si="9"/>
        <v>113.46327892754636</v>
      </c>
      <c r="AI138" s="52">
        <f t="shared" si="9"/>
        <v>113.4974714265815</v>
      </c>
      <c r="AJ138" s="52">
        <f t="shared" si="9"/>
        <v>113.5319069311371</v>
      </c>
      <c r="AK138" s="52">
        <f t="shared" si="9"/>
        <v>113.56634526600817</v>
      </c>
      <c r="AL138" s="52">
        <f t="shared" si="9"/>
        <v>113.6007864314273</v>
      </c>
      <c r="AM138" s="52">
        <f t="shared" si="9"/>
        <v>113.63523042762714</v>
      </c>
      <c r="AN138" s="52">
        <f t="shared" si="9"/>
        <v>113.66967725484037</v>
      </c>
      <c r="AO138" s="52">
        <f t="shared" si="9"/>
        <v>113.70412691329967</v>
      </c>
      <c r="AP138" s="52">
        <f t="shared" si="9"/>
        <v>113.73857940323775</v>
      </c>
      <c r="AQ138" s="52">
        <f t="shared" si="9"/>
        <v>113.77303472488734</v>
      </c>
      <c r="AR138" s="52">
        <f t="shared" si="9"/>
        <v>113.80749287848116</v>
      </c>
      <c r="AS138" s="52">
        <f t="shared" si="9"/>
        <v>113.84195386425199</v>
      </c>
      <c r="AT138" s="52">
        <f t="shared" si="9"/>
        <v>113.87641768243262</v>
      </c>
      <c r="AU138" s="52">
        <f t="shared" si="9"/>
        <v>113.91088433325582</v>
      </c>
      <c r="AV138" s="52">
        <f t="shared" si="9"/>
        <v>113.94535381695445</v>
      </c>
      <c r="AW138" s="52">
        <f t="shared" si="9"/>
        <v>113.97982613376132</v>
      </c>
      <c r="AX138" s="52">
        <f t="shared" si="9"/>
        <v>114.01430128390929</v>
      </c>
      <c r="AY138" s="52">
        <f t="shared" si="9"/>
        <v>114.04877926763126</v>
      </c>
      <c r="AZ138" s="52">
        <f t="shared" si="9"/>
        <v>114.08326008516011</v>
      </c>
      <c r="BA138" s="52">
        <f t="shared" si="9"/>
        <v>114.11774373672876</v>
      </c>
      <c r="BB138" s="52">
        <f t="shared" si="9"/>
        <v>114.15223022257013</v>
      </c>
      <c r="BC138" s="52">
        <f t="shared" si="9"/>
        <v>114.18671954291719</v>
      </c>
      <c r="BD138" s="52">
        <f t="shared" si="9"/>
        <v>114.2212116980029</v>
      </c>
      <c r="BE138" s="52">
        <f t="shared" si="9"/>
        <v>114.25570668806027</v>
      </c>
      <c r="BF138" s="52">
        <f t="shared" si="9"/>
        <v>114.29020451332231</v>
      </c>
      <c r="BG138" s="52">
        <f t="shared" si="9"/>
        <v>114.32470517402204</v>
      </c>
      <c r="BH138" s="52">
        <f t="shared" si="9"/>
        <v>114.3592086703925</v>
      </c>
      <c r="BJ138" s="22">
        <f>SUM(B138:BI138)</f>
        <v>6688.3859694645589</v>
      </c>
      <c r="BL138" s="22"/>
    </row>
    <row r="139" spans="1:67" s="45" customFormat="1" ht="24" customHeight="1" x14ac:dyDescent="0.25">
      <c r="A139" s="28" t="s">
        <v>286</v>
      </c>
      <c r="B139" s="46">
        <v>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</row>
    <row r="140" spans="1:67" ht="21" customHeight="1" x14ac:dyDescent="0.25">
      <c r="A140" s="34" t="s">
        <v>104</v>
      </c>
      <c r="B140" s="52">
        <f>$B$139/365*B$76</f>
        <v>0</v>
      </c>
      <c r="C140" s="52">
        <f t="shared" ref="C140:BH140" si="10">$B$139/365*C$76</f>
        <v>0</v>
      </c>
      <c r="D140" s="52">
        <f t="shared" si="10"/>
        <v>0</v>
      </c>
      <c r="E140" s="52">
        <f t="shared" si="10"/>
        <v>0</v>
      </c>
      <c r="F140" s="52">
        <f t="shared" si="10"/>
        <v>0</v>
      </c>
      <c r="G140" s="52">
        <f t="shared" si="10"/>
        <v>0</v>
      </c>
      <c r="H140" s="52">
        <f t="shared" si="10"/>
        <v>0</v>
      </c>
      <c r="I140" s="52">
        <f t="shared" si="10"/>
        <v>0</v>
      </c>
      <c r="J140" s="52">
        <f t="shared" si="10"/>
        <v>0</v>
      </c>
      <c r="K140" s="52">
        <f t="shared" si="10"/>
        <v>0</v>
      </c>
      <c r="L140" s="52">
        <f t="shared" si="10"/>
        <v>0</v>
      </c>
      <c r="M140" s="52">
        <f t="shared" si="10"/>
        <v>0</v>
      </c>
      <c r="N140" s="52">
        <f t="shared" si="10"/>
        <v>0</v>
      </c>
      <c r="O140" s="52">
        <f t="shared" si="10"/>
        <v>0</v>
      </c>
      <c r="P140" s="52">
        <f t="shared" si="10"/>
        <v>0</v>
      </c>
      <c r="Q140" s="52">
        <f t="shared" si="10"/>
        <v>0</v>
      </c>
      <c r="R140" s="52">
        <f t="shared" si="10"/>
        <v>0</v>
      </c>
      <c r="S140" s="52">
        <f t="shared" si="10"/>
        <v>0</v>
      </c>
      <c r="T140" s="52">
        <f t="shared" si="10"/>
        <v>0</v>
      </c>
      <c r="U140" s="52">
        <f t="shared" si="10"/>
        <v>0</v>
      </c>
      <c r="V140" s="52">
        <f t="shared" si="10"/>
        <v>0</v>
      </c>
      <c r="W140" s="52">
        <f t="shared" si="10"/>
        <v>0</v>
      </c>
      <c r="X140" s="52">
        <f t="shared" si="10"/>
        <v>0</v>
      </c>
      <c r="Y140" s="52">
        <f t="shared" si="10"/>
        <v>0</v>
      </c>
      <c r="Z140" s="52">
        <f t="shared" si="10"/>
        <v>0</v>
      </c>
      <c r="AA140" s="52">
        <f t="shared" si="10"/>
        <v>0</v>
      </c>
      <c r="AB140" s="52">
        <f t="shared" si="10"/>
        <v>0</v>
      </c>
      <c r="AC140" s="52">
        <f t="shared" si="10"/>
        <v>0</v>
      </c>
      <c r="AD140" s="52">
        <f t="shared" si="10"/>
        <v>0</v>
      </c>
      <c r="AE140" s="52">
        <f t="shared" si="10"/>
        <v>0</v>
      </c>
      <c r="AF140" s="52">
        <f t="shared" si="10"/>
        <v>0</v>
      </c>
      <c r="AG140" s="52">
        <f t="shared" si="10"/>
        <v>0</v>
      </c>
      <c r="AH140" s="52">
        <f t="shared" si="10"/>
        <v>0</v>
      </c>
      <c r="AI140" s="52">
        <f t="shared" si="10"/>
        <v>0</v>
      </c>
      <c r="AJ140" s="52">
        <f t="shared" si="10"/>
        <v>0</v>
      </c>
      <c r="AK140" s="52">
        <f t="shared" si="10"/>
        <v>0</v>
      </c>
      <c r="AL140" s="52">
        <f t="shared" si="10"/>
        <v>0</v>
      </c>
      <c r="AM140" s="52">
        <f t="shared" si="10"/>
        <v>0</v>
      </c>
      <c r="AN140" s="52">
        <f t="shared" si="10"/>
        <v>0</v>
      </c>
      <c r="AO140" s="52">
        <f t="shared" si="10"/>
        <v>0</v>
      </c>
      <c r="AP140" s="52">
        <f t="shared" si="10"/>
        <v>0</v>
      </c>
      <c r="AQ140" s="52">
        <f t="shared" si="10"/>
        <v>0</v>
      </c>
      <c r="AR140" s="52">
        <f t="shared" si="10"/>
        <v>0</v>
      </c>
      <c r="AS140" s="52">
        <f t="shared" si="10"/>
        <v>0</v>
      </c>
      <c r="AT140" s="52">
        <f t="shared" si="10"/>
        <v>0</v>
      </c>
      <c r="AU140" s="52">
        <f t="shared" si="10"/>
        <v>0</v>
      </c>
      <c r="AV140" s="52">
        <f t="shared" si="10"/>
        <v>0</v>
      </c>
      <c r="AW140" s="52">
        <f t="shared" si="10"/>
        <v>0</v>
      </c>
      <c r="AX140" s="52">
        <f t="shared" si="10"/>
        <v>0</v>
      </c>
      <c r="AY140" s="52">
        <f t="shared" si="10"/>
        <v>0</v>
      </c>
      <c r="AZ140" s="52">
        <f t="shared" si="10"/>
        <v>0</v>
      </c>
      <c r="BA140" s="52">
        <f t="shared" si="10"/>
        <v>0</v>
      </c>
      <c r="BB140" s="52">
        <f t="shared" si="10"/>
        <v>0</v>
      </c>
      <c r="BC140" s="52">
        <f t="shared" si="10"/>
        <v>0</v>
      </c>
      <c r="BD140" s="52">
        <f t="shared" si="10"/>
        <v>0</v>
      </c>
      <c r="BE140" s="52">
        <f t="shared" si="10"/>
        <v>0</v>
      </c>
      <c r="BF140" s="52">
        <f t="shared" si="10"/>
        <v>0</v>
      </c>
      <c r="BG140" s="52">
        <f t="shared" si="10"/>
        <v>0</v>
      </c>
      <c r="BH140" s="52">
        <f t="shared" si="10"/>
        <v>0</v>
      </c>
      <c r="BJ140" s="22">
        <f>SUM(B140:BI140)</f>
        <v>0</v>
      </c>
      <c r="BL140" s="22"/>
    </row>
    <row r="141" spans="1:67" s="45" customFormat="1" ht="24" customHeight="1" x14ac:dyDescent="0.25">
      <c r="A141" s="47" t="s">
        <v>287</v>
      </c>
      <c r="B141" s="49">
        <f>+B134+B136+B138+B140</f>
        <v>617.99160985760057</v>
      </c>
      <c r="C141" s="49">
        <f t="shared" ref="C141:BH141" si="11">+C134+C136+C138+C140</f>
        <v>618.04240368854767</v>
      </c>
      <c r="D141" s="49">
        <f t="shared" si="11"/>
        <v>618.09320169433033</v>
      </c>
      <c r="E141" s="49">
        <f t="shared" si="11"/>
        <v>622.52756587529143</v>
      </c>
      <c r="F141" s="49">
        <f t="shared" si="11"/>
        <v>622.57873252454146</v>
      </c>
      <c r="G141" s="49">
        <f t="shared" si="11"/>
        <v>622.62990337926954</v>
      </c>
      <c r="H141" s="49">
        <f t="shared" si="11"/>
        <v>622.68107843982136</v>
      </c>
      <c r="I141" s="49">
        <f t="shared" si="11"/>
        <v>622.73225770654233</v>
      </c>
      <c r="J141" s="49">
        <f t="shared" si="11"/>
        <v>622.78344117977849</v>
      </c>
      <c r="K141" s="49">
        <f t="shared" si="11"/>
        <v>622.83462885987547</v>
      </c>
      <c r="L141" s="49">
        <f t="shared" si="11"/>
        <v>622.88582074717908</v>
      </c>
      <c r="M141" s="49">
        <f t="shared" si="11"/>
        <v>622.93701684203495</v>
      </c>
      <c r="N141" s="49">
        <f t="shared" si="11"/>
        <v>622.98821714478913</v>
      </c>
      <c r="O141" s="49">
        <f t="shared" si="11"/>
        <v>623.03942165578724</v>
      </c>
      <c r="P141" s="49">
        <f t="shared" si="11"/>
        <v>623.09063037537544</v>
      </c>
      <c r="Q141" s="49">
        <f t="shared" si="11"/>
        <v>623.14184330389946</v>
      </c>
      <c r="R141" s="49">
        <f t="shared" si="11"/>
        <v>623.19306044170526</v>
      </c>
      <c r="S141" s="49">
        <f t="shared" si="11"/>
        <v>623.24428178913877</v>
      </c>
      <c r="T141" s="49">
        <f t="shared" si="11"/>
        <v>623.29550734654606</v>
      </c>
      <c r="U141" s="49">
        <f t="shared" si="11"/>
        <v>623.3467371142732</v>
      </c>
      <c r="V141" s="49">
        <f t="shared" si="11"/>
        <v>623.39797109266613</v>
      </c>
      <c r="W141" s="49">
        <f t="shared" si="11"/>
        <v>623.44920928207102</v>
      </c>
      <c r="X141" s="49">
        <f t="shared" si="11"/>
        <v>623.50045168283395</v>
      </c>
      <c r="Y141" s="49">
        <f t="shared" si="11"/>
        <v>623.55169829530109</v>
      </c>
      <c r="Z141" s="49">
        <f t="shared" si="11"/>
        <v>623.6029491198185</v>
      </c>
      <c r="AA141" s="49">
        <f t="shared" si="11"/>
        <v>623.65420415673236</v>
      </c>
      <c r="AB141" s="49">
        <f t="shared" si="11"/>
        <v>623.70546340638919</v>
      </c>
      <c r="AC141" s="49">
        <f t="shared" si="11"/>
        <v>623.75672686913481</v>
      </c>
      <c r="AD141" s="49">
        <f t="shared" si="11"/>
        <v>623.80799454531586</v>
      </c>
      <c r="AE141" s="49">
        <f t="shared" si="11"/>
        <v>623.85926643527853</v>
      </c>
      <c r="AF141" s="49">
        <f t="shared" si="11"/>
        <v>623.91054253936909</v>
      </c>
      <c r="AG141" s="49">
        <f t="shared" si="11"/>
        <v>623.96182285793395</v>
      </c>
      <c r="AH141" s="49">
        <f t="shared" si="11"/>
        <v>624.01310739131964</v>
      </c>
      <c r="AI141" s="49">
        <f t="shared" si="11"/>
        <v>628.44795813987218</v>
      </c>
      <c r="AJ141" s="49">
        <f t="shared" si="11"/>
        <v>628.49961139670563</v>
      </c>
      <c r="AK141" s="49">
        <f t="shared" si="11"/>
        <v>628.55126889901226</v>
      </c>
      <c r="AL141" s="49">
        <f t="shared" si="11"/>
        <v>628.60293064714097</v>
      </c>
      <c r="AM141" s="49">
        <f t="shared" si="11"/>
        <v>628.65459664144066</v>
      </c>
      <c r="AN141" s="49">
        <f t="shared" si="11"/>
        <v>628.70626688226059</v>
      </c>
      <c r="AO141" s="49">
        <f t="shared" si="11"/>
        <v>628.75794136994955</v>
      </c>
      <c r="AP141" s="49">
        <f t="shared" si="11"/>
        <v>628.80962010485666</v>
      </c>
      <c r="AQ141" s="49">
        <f t="shared" si="11"/>
        <v>628.86130308733095</v>
      </c>
      <c r="AR141" s="49">
        <f t="shared" si="11"/>
        <v>628.91299031772178</v>
      </c>
      <c r="AS141" s="49">
        <f t="shared" si="11"/>
        <v>628.96468179637804</v>
      </c>
      <c r="AT141" s="49">
        <f t="shared" si="11"/>
        <v>629.01637752364888</v>
      </c>
      <c r="AU141" s="49">
        <f t="shared" si="11"/>
        <v>629.06807749988377</v>
      </c>
      <c r="AV141" s="49">
        <f t="shared" si="11"/>
        <v>629.11978172543172</v>
      </c>
      <c r="AW141" s="49">
        <f t="shared" si="11"/>
        <v>629.17149020064198</v>
      </c>
      <c r="AX141" s="49">
        <f t="shared" si="11"/>
        <v>629.22320292586392</v>
      </c>
      <c r="AY141" s="49">
        <f t="shared" si="11"/>
        <v>629.27491990144688</v>
      </c>
      <c r="AZ141" s="49">
        <f t="shared" si="11"/>
        <v>629.32664112774012</v>
      </c>
      <c r="BA141" s="49">
        <f t="shared" si="11"/>
        <v>629.37836660509311</v>
      </c>
      <c r="BB141" s="49">
        <f t="shared" si="11"/>
        <v>629.4300963338552</v>
      </c>
      <c r="BC141" s="49">
        <f t="shared" si="11"/>
        <v>629.48183031437577</v>
      </c>
      <c r="BD141" s="49">
        <f t="shared" si="11"/>
        <v>629.53356854700439</v>
      </c>
      <c r="BE141" s="49">
        <f t="shared" si="11"/>
        <v>629.58531103209043</v>
      </c>
      <c r="BF141" s="49">
        <f t="shared" si="11"/>
        <v>629.63705776998347</v>
      </c>
      <c r="BG141" s="49">
        <f t="shared" si="11"/>
        <v>629.6888087610331</v>
      </c>
      <c r="BH141" s="49">
        <f t="shared" si="11"/>
        <v>629.74056400558879</v>
      </c>
      <c r="BJ141" s="22">
        <f>SUM(B141:BI141)</f>
        <v>36908.674031196846</v>
      </c>
      <c r="BL141" s="22"/>
    </row>
    <row r="142" spans="1:67" ht="21" customHeight="1" x14ac:dyDescent="0.25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</row>
    <row r="143" spans="1:67" ht="24" customHeight="1" x14ac:dyDescent="0.25">
      <c r="A143" s="38" t="s">
        <v>106</v>
      </c>
      <c r="B143" s="39">
        <f>+B$141+B$78</f>
        <v>2051394.6163773299</v>
      </c>
      <c r="C143" s="39">
        <f t="shared" ref="C143:BH143" si="12">+C$141+C$78</f>
        <v>2052012.6587810186</v>
      </c>
      <c r="D143" s="39">
        <f t="shared" si="12"/>
        <v>2052630.7519827129</v>
      </c>
      <c r="E143" s="39">
        <f t="shared" si="12"/>
        <v>2053253.2795485882</v>
      </c>
      <c r="F143" s="39">
        <f t="shared" si="12"/>
        <v>2053875.8582811127</v>
      </c>
      <c r="G143" s="39">
        <f t="shared" si="12"/>
        <v>2054498.4881844921</v>
      </c>
      <c r="H143" s="39">
        <f t="shared" si="12"/>
        <v>2055121.1692629319</v>
      </c>
      <c r="I143" s="39">
        <f t="shared" si="12"/>
        <v>2055743.9015206385</v>
      </c>
      <c r="J143" s="39">
        <f t="shared" si="12"/>
        <v>2056366.6849618182</v>
      </c>
      <c r="K143" s="39">
        <f t="shared" si="12"/>
        <v>2056989.5195906779</v>
      </c>
      <c r="L143" s="39">
        <f t="shared" si="12"/>
        <v>2057612.405411425</v>
      </c>
      <c r="M143" s="39">
        <f t="shared" si="12"/>
        <v>2058235.342428267</v>
      </c>
      <c r="N143" s="39">
        <f t="shared" si="12"/>
        <v>2058858.3306454117</v>
      </c>
      <c r="O143" s="39">
        <f t="shared" si="12"/>
        <v>2059481.3700670674</v>
      </c>
      <c r="P143" s="39">
        <f t="shared" si="12"/>
        <v>2060104.4606974428</v>
      </c>
      <c r="Q143" s="39">
        <f t="shared" si="12"/>
        <v>2060727.6025407466</v>
      </c>
      <c r="R143" s="39">
        <f t="shared" si="12"/>
        <v>2061350.7956011882</v>
      </c>
      <c r="S143" s="39">
        <f t="shared" si="12"/>
        <v>2061974.0398829773</v>
      </c>
      <c r="T143" s="39">
        <f t="shared" si="12"/>
        <v>2062597.3353903238</v>
      </c>
      <c r="U143" s="39">
        <f t="shared" si="12"/>
        <v>2063220.682127438</v>
      </c>
      <c r="V143" s="39">
        <f t="shared" si="12"/>
        <v>2063844.0800985307</v>
      </c>
      <c r="W143" s="39">
        <f t="shared" si="12"/>
        <v>2064467.5293078129</v>
      </c>
      <c r="X143" s="39">
        <f t="shared" si="12"/>
        <v>2065091.0297594958</v>
      </c>
      <c r="Y143" s="39">
        <f t="shared" si="12"/>
        <v>2065714.5814577912</v>
      </c>
      <c r="Z143" s="39">
        <f t="shared" si="12"/>
        <v>2066338.184406911</v>
      </c>
      <c r="AA143" s="39">
        <f t="shared" si="12"/>
        <v>2066961.8386110677</v>
      </c>
      <c r="AB143" s="39">
        <f t="shared" si="12"/>
        <v>2067585.5440744741</v>
      </c>
      <c r="AC143" s="39">
        <f t="shared" si="12"/>
        <v>2068209.3008013433</v>
      </c>
      <c r="AD143" s="39">
        <f t="shared" si="12"/>
        <v>2068833.1087958885</v>
      </c>
      <c r="AE143" s="39">
        <f t="shared" si="12"/>
        <v>2069456.9680623238</v>
      </c>
      <c r="AF143" s="39">
        <f t="shared" si="12"/>
        <v>2070080.8786048631</v>
      </c>
      <c r="AG143" s="39">
        <f t="shared" si="12"/>
        <v>2070704.8404277209</v>
      </c>
      <c r="AH143" s="39">
        <f t="shared" si="12"/>
        <v>2071328.8535351122</v>
      </c>
      <c r="AI143" s="39">
        <f t="shared" si="12"/>
        <v>2071957.3014932522</v>
      </c>
      <c r="AJ143" s="39">
        <f t="shared" si="12"/>
        <v>2072585.801104649</v>
      </c>
      <c r="AK143" s="39">
        <f t="shared" si="12"/>
        <v>2073214.3523735481</v>
      </c>
      <c r="AL143" s="39">
        <f t="shared" si="12"/>
        <v>2073842.9553041952</v>
      </c>
      <c r="AM143" s="39">
        <f t="shared" si="12"/>
        <v>2074471.6099008366</v>
      </c>
      <c r="AN143" s="39">
        <f t="shared" si="12"/>
        <v>2075100.316167719</v>
      </c>
      <c r="AO143" s="39">
        <f t="shared" si="12"/>
        <v>2075729.0741090889</v>
      </c>
      <c r="AP143" s="39">
        <f t="shared" si="12"/>
        <v>2076357.8837291938</v>
      </c>
      <c r="AQ143" s="39">
        <f t="shared" si="12"/>
        <v>2076986.7450322811</v>
      </c>
      <c r="AR143" s="39">
        <f t="shared" si="12"/>
        <v>2077615.6580225988</v>
      </c>
      <c r="AS143" s="39">
        <f t="shared" si="12"/>
        <v>2078244.6227043951</v>
      </c>
      <c r="AT143" s="39">
        <f t="shared" si="12"/>
        <v>2078873.6390819186</v>
      </c>
      <c r="AU143" s="39">
        <f t="shared" si="12"/>
        <v>2079502.7071594186</v>
      </c>
      <c r="AV143" s="39">
        <f t="shared" si="12"/>
        <v>2080131.826941144</v>
      </c>
      <c r="AW143" s="39">
        <f t="shared" si="12"/>
        <v>2080760.9984313445</v>
      </c>
      <c r="AX143" s="39">
        <f t="shared" si="12"/>
        <v>2081390.2216342704</v>
      </c>
      <c r="AY143" s="39">
        <f t="shared" si="12"/>
        <v>2082019.4965541719</v>
      </c>
      <c r="AZ143" s="39">
        <f t="shared" si="12"/>
        <v>2082648.8231952996</v>
      </c>
      <c r="BA143" s="39">
        <f t="shared" si="12"/>
        <v>2083278.2015619047</v>
      </c>
      <c r="BB143" s="39">
        <f t="shared" si="12"/>
        <v>2083907.6316582386</v>
      </c>
      <c r="BC143" s="39">
        <f t="shared" si="12"/>
        <v>2084537.1134885529</v>
      </c>
      <c r="BD143" s="39">
        <f t="shared" si="12"/>
        <v>2085166.6470571</v>
      </c>
      <c r="BE143" s="39">
        <f t="shared" si="12"/>
        <v>2085796.2323681321</v>
      </c>
      <c r="BF143" s="39">
        <f t="shared" si="12"/>
        <v>2086425.8694259021</v>
      </c>
      <c r="BG143" s="39">
        <f t="shared" si="12"/>
        <v>2087055.5582346632</v>
      </c>
      <c r="BH143" s="39">
        <f t="shared" si="12"/>
        <v>2087685.2987986689</v>
      </c>
    </row>
    <row r="144" spans="1:67" ht="24" customHeight="1" x14ac:dyDescent="0.25">
      <c r="A144" s="19" t="s">
        <v>107</v>
      </c>
      <c r="B144" s="20">
        <f>+B143/B81</f>
        <v>1.0003079909172001</v>
      </c>
      <c r="C144" s="20">
        <f>+C143/C81</f>
        <v>1.000609362847398</v>
      </c>
      <c r="D144" s="20">
        <f>+D143/D81</f>
        <v>1.0009107595478917</v>
      </c>
      <c r="E144" s="20">
        <f>+E143/E81</f>
        <v>1.0012143185480664</v>
      </c>
      <c r="F144" s="20">
        <f>+F143/F81</f>
        <v>1.0015179024982959</v>
      </c>
      <c r="G144" s="20">
        <f>+G143/G81</f>
        <v>1.001821511400631</v>
      </c>
      <c r="H144" s="20">
        <f>+H143/H81</f>
        <v>1.0021251452571223</v>
      </c>
      <c r="I144" s="20">
        <f>+I143/I81</f>
        <v>1.002428804069821</v>
      </c>
      <c r="J144" s="20">
        <f>+J143/J81</f>
        <v>1.0027324878407784</v>
      </c>
      <c r="K144" s="20">
        <f>+K143/K81</f>
        <v>1.0030361965720456</v>
      </c>
      <c r="L144" s="20">
        <f>+L143/L81</f>
        <v>1.0033399302656743</v>
      </c>
      <c r="M144" s="20">
        <f>+M143/M81</f>
        <v>1.0036436889237161</v>
      </c>
      <c r="N144" s="20">
        <f>+N143/N81</f>
        <v>1.0039474725482231</v>
      </c>
      <c r="O144" s="20">
        <f>+O143/O81</f>
        <v>1.0042512811412472</v>
      </c>
      <c r="P144" s="20">
        <f>+P143/P81</f>
        <v>1.0045551147048404</v>
      </c>
      <c r="Q144" s="20">
        <f>+Q143/Q81</f>
        <v>1.0048589732410553</v>
      </c>
      <c r="R144" s="20">
        <f>+R143/R81</f>
        <v>1.0051628567519446</v>
      </c>
      <c r="S144" s="20">
        <f>+S143/S81</f>
        <v>1.0054667652395608</v>
      </c>
      <c r="T144" s="20">
        <f>+T143/T81</f>
        <v>1.0057706987059567</v>
      </c>
      <c r="U144" s="20">
        <f>+U143/U81</f>
        <v>1.0060746571531853</v>
      </c>
      <c r="V144" s="20">
        <f>+V143/V81</f>
        <v>1.0063786405833004</v>
      </c>
      <c r="W144" s="20">
        <f>+W143/W81</f>
        <v>1.0066826489983547</v>
      </c>
      <c r="X144" s="20">
        <f>+X143/X81</f>
        <v>1.0069866824004021</v>
      </c>
      <c r="Y144" s="20">
        <f>+Y143/Y81</f>
        <v>1.0072907407914962</v>
      </c>
      <c r="Z144" s="20">
        <f>+Z143/Z81</f>
        <v>1.007594824173691</v>
      </c>
      <c r="AA144" s="20">
        <f>+AA143/AA81</f>
        <v>1.0078989325490404</v>
      </c>
      <c r="AB144" s="20">
        <f>+AB143/AB81</f>
        <v>1.0082030659195989</v>
      </c>
      <c r="AC144" s="20">
        <f>+AC143/AC81</f>
        <v>1.0085072242874205</v>
      </c>
      <c r="AD144" s="20">
        <f>+AD143/AD81</f>
        <v>1.00881140765456</v>
      </c>
      <c r="AE144" s="20">
        <f>+AE143/AE81</f>
        <v>1.0091156160230723</v>
      </c>
      <c r="AF144" s="20">
        <f>+AF143/AF81</f>
        <v>1.0094198493950119</v>
      </c>
      <c r="AG144" s="20">
        <f>+AG143/AG81</f>
        <v>1.0097241077724344</v>
      </c>
      <c r="AH144" s="20">
        <f>+AH143/AH81</f>
        <v>1.0100283911573946</v>
      </c>
      <c r="AI144" s="20">
        <f>+AI143/AI81</f>
        <v>1.0103348370792979</v>
      </c>
      <c r="AJ144" s="20">
        <f>+AJ143/AJ81</f>
        <v>1.010641308188537</v>
      </c>
      <c r="AK144" s="20">
        <f>+AK143/AK81</f>
        <v>1.0109478044871827</v>
      </c>
      <c r="AL144" s="20">
        <f>+AL143/AL81</f>
        <v>1.0112543259773046</v>
      </c>
      <c r="AM144" s="20">
        <f>+AM143/AM81</f>
        <v>1.0115608726609737</v>
      </c>
      <c r="AN144" s="20">
        <f>+AN143/AN81</f>
        <v>1.0118674445402609</v>
      </c>
      <c r="AO144" s="20">
        <f>+AO143/AO81</f>
        <v>1.0121740416172365</v>
      </c>
      <c r="AP144" s="20">
        <f>+AP143/AP81</f>
        <v>1.0124806638939721</v>
      </c>
      <c r="AQ144" s="20">
        <f>+AQ143/AQ81</f>
        <v>1.0127873113725385</v>
      </c>
      <c r="AR144" s="20">
        <f>+AR143/AR81</f>
        <v>1.0130939840550073</v>
      </c>
      <c r="AS144" s="20">
        <f>+AS143/AS81</f>
        <v>1.0134006819434498</v>
      </c>
      <c r="AT144" s="20">
        <f>+AT143/AT81</f>
        <v>1.0137074050399382</v>
      </c>
      <c r="AU144" s="20">
        <f>+AU143/AU81</f>
        <v>1.0140141533465441</v>
      </c>
      <c r="AV144" s="20">
        <f>+AV143/AV81</f>
        <v>1.0143209268653393</v>
      </c>
      <c r="AW144" s="20">
        <f>+AW143/AW81</f>
        <v>1.0146277255983966</v>
      </c>
      <c r="AX144" s="20">
        <f>+AX143/AX81</f>
        <v>1.0149345495477879</v>
      </c>
      <c r="AY144" s="20">
        <f>+AY143/AY81</f>
        <v>1.0152413987155864</v>
      </c>
      <c r="AZ144" s="20">
        <f>+AZ143/AZ81</f>
        <v>1.0155482731038641</v>
      </c>
      <c r="BA144" s="20">
        <f>+BA143/BA81</f>
        <v>1.0158551727146943</v>
      </c>
      <c r="BB144" s="20">
        <f>+BB143/BB81</f>
        <v>1.0161620975501502</v>
      </c>
      <c r="BC144" s="20">
        <f>+BC143/BC81</f>
        <v>1.0164690476123046</v>
      </c>
      <c r="BD144" s="20">
        <f>+BD143/BD81</f>
        <v>1.0167760229032317</v>
      </c>
      <c r="BE144" s="20">
        <f>+BE143/BE81</f>
        <v>1.0170830234250043</v>
      </c>
      <c r="BF144" s="20">
        <f>+BF143/BF81</f>
        <v>1.0173900491796966</v>
      </c>
      <c r="BG144" s="20">
        <f>+BG143/BG81</f>
        <v>1.0176971001693824</v>
      </c>
      <c r="BH144" s="20">
        <f>+BH143/BH81</f>
        <v>1.0180041763961358</v>
      </c>
    </row>
    <row r="146" spans="2:62" x14ac:dyDescent="0.25">
      <c r="B146" s="55">
        <f>+B$144-B$82</f>
        <v>3.0799091720012939E-4</v>
      </c>
      <c r="C146" s="55">
        <f t="shared" ref="C146:BH146" si="13">+C$144-C$82</f>
        <v>3.0137193019785791E-4</v>
      </c>
      <c r="D146" s="55">
        <f t="shared" si="13"/>
        <v>3.013967004936724E-4</v>
      </c>
      <c r="E146" s="55">
        <f t="shared" si="13"/>
        <v>3.035590001747579E-4</v>
      </c>
      <c r="F146" s="55">
        <f t="shared" si="13"/>
        <v>3.0358395022944684E-4</v>
      </c>
      <c r="G146" s="55">
        <f t="shared" si="13"/>
        <v>3.036089023351618E-4</v>
      </c>
      <c r="H146" s="55">
        <f t="shared" si="13"/>
        <v>3.0363385649123664E-4</v>
      </c>
      <c r="I146" s="55">
        <f t="shared" si="13"/>
        <v>3.0365881269878159E-4</v>
      </c>
      <c r="J146" s="55">
        <f t="shared" si="13"/>
        <v>3.0368377095735255E-4</v>
      </c>
      <c r="K146" s="55">
        <f t="shared" si="13"/>
        <v>3.0370873126717157E-4</v>
      </c>
      <c r="L146" s="55">
        <f t="shared" si="13"/>
        <v>3.0373369362868274E-4</v>
      </c>
      <c r="M146" s="55">
        <f t="shared" si="13"/>
        <v>3.0375865804188606E-4</v>
      </c>
      <c r="N146" s="55">
        <f t="shared" si="13"/>
        <v>3.0378362450700358E-4</v>
      </c>
      <c r="O146" s="55">
        <f t="shared" si="13"/>
        <v>3.0380859302403529E-4</v>
      </c>
      <c r="P146" s="55">
        <f t="shared" si="13"/>
        <v>3.0383356359320324E-4</v>
      </c>
      <c r="Q146" s="55">
        <f t="shared" si="13"/>
        <v>3.0385853621495151E-4</v>
      </c>
      <c r="R146" s="55">
        <f t="shared" si="13"/>
        <v>3.0388351088928012E-4</v>
      </c>
      <c r="S146" s="55">
        <f t="shared" si="13"/>
        <v>3.0390848761618905E-4</v>
      </c>
      <c r="T146" s="55">
        <f t="shared" si="13"/>
        <v>3.0393346639590035E-4</v>
      </c>
      <c r="U146" s="55">
        <f t="shared" si="13"/>
        <v>3.0395844722863608E-4</v>
      </c>
      <c r="V146" s="55">
        <f t="shared" si="13"/>
        <v>3.0398343011506235E-4</v>
      </c>
      <c r="W146" s="55">
        <f t="shared" si="13"/>
        <v>3.0400841505429099E-4</v>
      </c>
      <c r="X146" s="55">
        <f t="shared" si="13"/>
        <v>3.0403340204743223E-4</v>
      </c>
      <c r="Y146" s="55">
        <f t="shared" si="13"/>
        <v>3.0405839109404198E-4</v>
      </c>
      <c r="Z146" s="55">
        <f t="shared" si="13"/>
        <v>3.0408338219478637E-4</v>
      </c>
      <c r="AA146" s="55">
        <f t="shared" si="13"/>
        <v>3.0410837534944335E-4</v>
      </c>
      <c r="AB146" s="55">
        <f t="shared" si="13"/>
        <v>3.0413337055845702E-4</v>
      </c>
      <c r="AC146" s="55">
        <f t="shared" si="13"/>
        <v>3.0415836782160532E-4</v>
      </c>
      <c r="AD146" s="55">
        <f t="shared" si="13"/>
        <v>3.0418336713955441E-4</v>
      </c>
      <c r="AE146" s="55">
        <f t="shared" si="13"/>
        <v>3.0420836851230426E-4</v>
      </c>
      <c r="AF146" s="55">
        <f t="shared" si="13"/>
        <v>3.0423337193963285E-4</v>
      </c>
      <c r="AG146" s="55">
        <f t="shared" si="13"/>
        <v>3.0425837742242834E-4</v>
      </c>
      <c r="AH146" s="55">
        <f t="shared" si="13"/>
        <v>3.0428338496024665E-4</v>
      </c>
      <c r="AI146" s="55">
        <f t="shared" si="13"/>
        <v>3.0644592190331998E-4</v>
      </c>
      <c r="AJ146" s="55">
        <f t="shared" si="13"/>
        <v>3.064711092390926E-4</v>
      </c>
      <c r="AK146" s="55">
        <f t="shared" si="13"/>
        <v>3.064962986456532E-4</v>
      </c>
      <c r="AL146" s="55">
        <f t="shared" si="13"/>
        <v>3.0652149012189156E-4</v>
      </c>
      <c r="AM146" s="55">
        <f t="shared" si="13"/>
        <v>3.0654668366913995E-4</v>
      </c>
      <c r="AN146" s="55">
        <f t="shared" si="13"/>
        <v>3.0657187928717633E-4</v>
      </c>
      <c r="AO146" s="55">
        <f t="shared" si="13"/>
        <v>3.065970769755566E-4</v>
      </c>
      <c r="AP146" s="55">
        <f t="shared" si="13"/>
        <v>3.0662227673561304E-4</v>
      </c>
      <c r="AQ146" s="55">
        <f t="shared" si="13"/>
        <v>3.0664747856645747E-4</v>
      </c>
      <c r="AR146" s="55">
        <f t="shared" si="13"/>
        <v>3.0667268246875601E-4</v>
      </c>
      <c r="AS146" s="55">
        <f t="shared" si="13"/>
        <v>3.0669788844250867E-4</v>
      </c>
      <c r="AT146" s="55">
        <f t="shared" si="13"/>
        <v>3.0672309648838159E-4</v>
      </c>
      <c r="AU146" s="55">
        <f t="shared" si="13"/>
        <v>3.0674830660593067E-4</v>
      </c>
      <c r="AV146" s="55">
        <f t="shared" si="13"/>
        <v>3.0677351879515591E-4</v>
      </c>
      <c r="AW146" s="55">
        <f t="shared" si="13"/>
        <v>3.0679873305738958E-4</v>
      </c>
      <c r="AX146" s="55">
        <f t="shared" si="13"/>
        <v>3.0682394939129942E-4</v>
      </c>
      <c r="AY146" s="55">
        <f t="shared" si="13"/>
        <v>3.0684916779843974E-4</v>
      </c>
      <c r="AZ146" s="55">
        <f t="shared" si="13"/>
        <v>3.0687438827770031E-4</v>
      </c>
      <c r="BA146" s="55">
        <f t="shared" si="13"/>
        <v>3.0689961083019135E-4</v>
      </c>
      <c r="BB146" s="55">
        <f t="shared" si="13"/>
        <v>3.0692483545591287E-4</v>
      </c>
      <c r="BC146" s="55">
        <f t="shared" si="13"/>
        <v>3.0695006215442078E-4</v>
      </c>
      <c r="BD146" s="55">
        <f t="shared" si="13"/>
        <v>3.0697529092704734E-4</v>
      </c>
      <c r="BE146" s="55">
        <f t="shared" si="13"/>
        <v>3.0700052177268233E-4</v>
      </c>
      <c r="BF146" s="55">
        <f t="shared" si="13"/>
        <v>3.0702575469221394E-4</v>
      </c>
      <c r="BG146" s="55">
        <f t="shared" si="13"/>
        <v>3.070509896858642E-4</v>
      </c>
      <c r="BH146" s="55">
        <f t="shared" si="13"/>
        <v>3.0707622675341106E-4</v>
      </c>
      <c r="BJ146" s="22">
        <f>SUM(B146:BI146)</f>
        <v>1.8004176396135829E-2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40" customWidth="1"/>
    <col min="2" max="60" width="15" customWidth="1"/>
  </cols>
  <sheetData>
    <row r="1" spans="1:60" ht="27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21" customHeight="1" x14ac:dyDescent="0.25">
      <c r="A2" s="3" t="s">
        <v>273</v>
      </c>
      <c r="B2" s="4">
        <v>15.972222222222223</v>
      </c>
      <c r="C2" s="4">
        <v>15.972222222222223</v>
      </c>
      <c r="D2" s="4">
        <v>15.972222222222223</v>
      </c>
      <c r="E2" s="4">
        <v>15.972222222222223</v>
      </c>
      <c r="F2" s="4">
        <v>15.972222222222223</v>
      </c>
      <c r="G2" s="4">
        <v>15.972222222222223</v>
      </c>
      <c r="H2" s="4">
        <v>15.972222222222223</v>
      </c>
      <c r="I2" s="4">
        <v>15.972222222222223</v>
      </c>
      <c r="J2" s="4">
        <v>15.972222222222223</v>
      </c>
      <c r="K2" s="4">
        <v>15.972222222222223</v>
      </c>
      <c r="L2" s="4">
        <v>15.972222222222223</v>
      </c>
      <c r="M2" s="4">
        <v>15.972222222222223</v>
      </c>
      <c r="N2" s="4">
        <v>15.972222222222223</v>
      </c>
      <c r="O2" s="4">
        <v>15.972222222222223</v>
      </c>
      <c r="P2" s="4">
        <v>15.972222222222223</v>
      </c>
      <c r="Q2" s="4">
        <v>15.972222222222223</v>
      </c>
      <c r="R2" s="4">
        <v>15.972222222222223</v>
      </c>
      <c r="S2" s="4">
        <v>15.972222222222223</v>
      </c>
      <c r="T2" s="4">
        <v>15.972222222222223</v>
      </c>
      <c r="U2" s="4">
        <v>15.972222222222223</v>
      </c>
      <c r="V2" s="4">
        <v>15.972222222222223</v>
      </c>
      <c r="W2" s="4">
        <v>15.972222222222223</v>
      </c>
      <c r="X2" s="4">
        <v>15.972222222222223</v>
      </c>
      <c r="Y2" s="4">
        <v>15.972222222222223</v>
      </c>
      <c r="Z2" s="4">
        <v>15.972222222222223</v>
      </c>
      <c r="AA2" s="4">
        <v>15.972222222222223</v>
      </c>
      <c r="AB2" s="4">
        <v>15.972222222222223</v>
      </c>
      <c r="AC2" s="4">
        <v>15.972222222222223</v>
      </c>
      <c r="AD2" s="4">
        <v>15.972222222222223</v>
      </c>
      <c r="AE2" s="4">
        <v>15.972222222222223</v>
      </c>
      <c r="AF2" s="4">
        <v>15.972222222222223</v>
      </c>
      <c r="AG2" s="4">
        <v>15.972222222222223</v>
      </c>
      <c r="AH2" s="4">
        <v>15.972222222222223</v>
      </c>
      <c r="AI2" s="4">
        <v>15.972222222222223</v>
      </c>
      <c r="AJ2" s="4">
        <v>15.972222222222223</v>
      </c>
      <c r="AK2" s="4">
        <v>15.972222222222223</v>
      </c>
      <c r="AL2" s="4">
        <v>15.972222222222223</v>
      </c>
      <c r="AM2" s="4">
        <v>15.972222222222223</v>
      </c>
      <c r="AN2" s="4">
        <v>15.972222222222223</v>
      </c>
      <c r="AO2" s="4">
        <v>15.972222222222223</v>
      </c>
      <c r="AP2" s="4">
        <v>15.972222222222223</v>
      </c>
      <c r="AQ2" s="4">
        <v>15.972222222222223</v>
      </c>
      <c r="AR2" s="4">
        <v>15.972222222222223</v>
      </c>
      <c r="AS2" s="4">
        <v>15.972222222222223</v>
      </c>
      <c r="AT2" s="4">
        <v>15.972222222222223</v>
      </c>
      <c r="AU2" s="4">
        <v>15.972222222222223</v>
      </c>
      <c r="AV2" s="4">
        <v>15.972222222222223</v>
      </c>
      <c r="AW2" s="4">
        <v>15.972222222222223</v>
      </c>
      <c r="AX2" s="4">
        <v>15.972222222222223</v>
      </c>
      <c r="AY2" s="4">
        <v>15.972222222222223</v>
      </c>
      <c r="AZ2" s="4">
        <v>15.972222222222223</v>
      </c>
      <c r="BA2" s="4">
        <v>15.972222222222223</v>
      </c>
      <c r="BB2" s="4">
        <v>15.972222222222223</v>
      </c>
      <c r="BC2" s="4">
        <v>15.972222222222223</v>
      </c>
      <c r="BD2" s="4">
        <v>15.972222222222223</v>
      </c>
      <c r="BE2" s="4">
        <v>15.972222222222223</v>
      </c>
      <c r="BF2" s="4">
        <v>15.972222222222223</v>
      </c>
      <c r="BG2" s="4">
        <v>15.972222222222223</v>
      </c>
      <c r="BH2" s="4">
        <v>15.972222222222223</v>
      </c>
    </row>
    <row r="3" spans="1:60" ht="21" customHeight="1" x14ac:dyDescent="0.25">
      <c r="A3" s="5" t="s">
        <v>93</v>
      </c>
      <c r="B3" s="6">
        <v>50000</v>
      </c>
      <c r="C3" s="6">
        <v>50011.862633181125</v>
      </c>
      <c r="D3" s="6">
        <v>50023.728080803572</v>
      </c>
      <c r="E3" s="6">
        <v>50035.596343535071</v>
      </c>
      <c r="F3" s="6">
        <v>50047.467422043519</v>
      </c>
      <c r="G3" s="6">
        <v>50059.341316996957</v>
      </c>
      <c r="H3" s="6">
        <v>50071.218029063602</v>
      </c>
      <c r="I3" s="6">
        <v>50083.097558911824</v>
      </c>
      <c r="J3" s="6">
        <v>50094.979907210145</v>
      </c>
      <c r="K3" s="6">
        <v>50106.865074627247</v>
      </c>
      <c r="L3" s="6">
        <v>50118.75306183198</v>
      </c>
      <c r="M3" s="6">
        <v>50130.643869493339</v>
      </c>
      <c r="N3" s="6">
        <v>50142.537498280486</v>
      </c>
      <c r="O3" s="6">
        <v>50154.433948862745</v>
      </c>
      <c r="P3" s="6">
        <v>50166.33322190959</v>
      </c>
      <c r="Q3" s="6">
        <v>50178.235318090665</v>
      </c>
      <c r="R3" s="6">
        <v>50190.140238075757</v>
      </c>
      <c r="S3" s="6">
        <v>50202.04798253483</v>
      </c>
      <c r="T3" s="6">
        <v>50213.958552137992</v>
      </c>
      <c r="U3" s="6">
        <v>50225.871947555519</v>
      </c>
      <c r="V3" s="6">
        <v>50237.788169457839</v>
      </c>
      <c r="W3" s="6">
        <v>50249.707218515548</v>
      </c>
      <c r="X3" s="6">
        <v>50261.629095399396</v>
      </c>
      <c r="Y3" s="6">
        <v>50273.55380078029</v>
      </c>
      <c r="Z3" s="6">
        <v>50285.481335329292</v>
      </c>
      <c r="AA3" s="6">
        <v>50297.411699717639</v>
      </c>
      <c r="AB3" s="6">
        <v>50309.344894616719</v>
      </c>
      <c r="AC3" s="6">
        <v>50321.280920698075</v>
      </c>
      <c r="AD3" s="6">
        <v>50333.219778633407</v>
      </c>
      <c r="AE3" s="6">
        <v>50345.161469094586</v>
      </c>
      <c r="AF3" s="6">
        <v>50357.105992753633</v>
      </c>
      <c r="AG3" s="6">
        <v>50369.053350282738</v>
      </c>
      <c r="AH3" s="6">
        <v>50381.003542354236</v>
      </c>
      <c r="AI3" s="6">
        <v>50392.956569640635</v>
      </c>
      <c r="AJ3" s="6">
        <v>50404.912432814599</v>
      </c>
      <c r="AK3" s="6">
        <v>50416.871132548942</v>
      </c>
      <c r="AL3" s="6">
        <v>50428.832669516654</v>
      </c>
      <c r="AM3" s="6">
        <v>50440.797044390871</v>
      </c>
      <c r="AN3" s="6">
        <v>50452.764257844894</v>
      </c>
      <c r="AO3" s="6">
        <v>50464.734310552187</v>
      </c>
      <c r="AP3" s="6">
        <v>50476.707203186372</v>
      </c>
      <c r="AQ3" s="6">
        <v>50488.682936421224</v>
      </c>
      <c r="AR3" s="6">
        <v>50500.66151093068</v>
      </c>
      <c r="AS3" s="6">
        <v>50512.64292738885</v>
      </c>
      <c r="AT3" s="6">
        <v>50524.627186469988</v>
      </c>
      <c r="AU3" s="6">
        <v>50536.614288848512</v>
      </c>
      <c r="AV3" s="6">
        <v>50548.604235199004</v>
      </c>
      <c r="AW3" s="6">
        <v>50560.597026196207</v>
      </c>
      <c r="AX3" s="6">
        <v>50572.592662515017</v>
      </c>
      <c r="AY3" s="6">
        <v>50584.591144830498</v>
      </c>
      <c r="AZ3" s="6">
        <v>50596.592473817866</v>
      </c>
      <c r="BA3" s="6">
        <v>50608.596650152504</v>
      </c>
      <c r="BB3" s="6">
        <v>50620.603674509948</v>
      </c>
      <c r="BC3" s="6">
        <v>50632.613547565903</v>
      </c>
      <c r="BD3" s="6">
        <v>50644.626269996232</v>
      </c>
      <c r="BE3" s="6">
        <v>50656.641842476958</v>
      </c>
      <c r="BF3" s="6">
        <v>50668.660265684259</v>
      </c>
      <c r="BG3" s="6">
        <v>50680.681540294478</v>
      </c>
      <c r="BH3" s="6">
        <v>50692.705666984119</v>
      </c>
    </row>
    <row r="4" spans="1:60" ht="21" customHeight="1" x14ac:dyDescent="0.25">
      <c r="A4" s="7" t="s">
        <v>94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</row>
    <row r="5" spans="1:60" ht="21" customHeight="1" x14ac:dyDescent="0.25">
      <c r="A5" s="9" t="s">
        <v>95</v>
      </c>
      <c r="B5" s="10">
        <v>50000</v>
      </c>
      <c r="C5" s="10">
        <v>50000</v>
      </c>
      <c r="D5" s="10">
        <v>50000</v>
      </c>
      <c r="E5" s="10">
        <v>50000</v>
      </c>
      <c r="F5" s="10">
        <v>50000</v>
      </c>
      <c r="G5" s="10">
        <v>50000</v>
      </c>
      <c r="H5" s="10">
        <v>50000</v>
      </c>
      <c r="I5" s="10">
        <v>50000</v>
      </c>
      <c r="J5" s="10">
        <v>50000</v>
      </c>
      <c r="K5" s="10">
        <v>50000</v>
      </c>
      <c r="L5" s="10">
        <v>50000</v>
      </c>
      <c r="M5" s="10">
        <v>50000</v>
      </c>
      <c r="N5" s="10">
        <v>50000</v>
      </c>
      <c r="O5" s="10">
        <v>50000</v>
      </c>
      <c r="P5" s="10">
        <v>50000</v>
      </c>
      <c r="Q5" s="10">
        <v>50000</v>
      </c>
      <c r="R5" s="10">
        <v>50000</v>
      </c>
      <c r="S5" s="10">
        <v>50000</v>
      </c>
      <c r="T5" s="10">
        <v>50000</v>
      </c>
      <c r="U5" s="10">
        <v>50000</v>
      </c>
      <c r="V5" s="10">
        <v>50000</v>
      </c>
      <c r="W5" s="10">
        <v>50000</v>
      </c>
      <c r="X5" s="10">
        <v>50000</v>
      </c>
      <c r="Y5" s="10">
        <v>50000</v>
      </c>
      <c r="Z5" s="10">
        <v>50000</v>
      </c>
      <c r="AA5" s="10">
        <v>50000</v>
      </c>
      <c r="AB5" s="10">
        <v>50000</v>
      </c>
      <c r="AC5" s="10">
        <v>50000</v>
      </c>
      <c r="AD5" s="10">
        <v>50000</v>
      </c>
      <c r="AE5" s="10">
        <v>50000</v>
      </c>
      <c r="AF5" s="10">
        <v>50000</v>
      </c>
      <c r="AG5" s="10">
        <v>50000</v>
      </c>
      <c r="AH5" s="10">
        <v>50000</v>
      </c>
      <c r="AI5" s="10">
        <v>50000</v>
      </c>
      <c r="AJ5" s="10">
        <v>50000</v>
      </c>
      <c r="AK5" s="10">
        <v>50000</v>
      </c>
      <c r="AL5" s="10">
        <v>50000</v>
      </c>
      <c r="AM5" s="10">
        <v>50000</v>
      </c>
      <c r="AN5" s="10">
        <v>50000</v>
      </c>
      <c r="AO5" s="10">
        <v>50000</v>
      </c>
      <c r="AP5" s="10">
        <v>50000</v>
      </c>
      <c r="AQ5" s="10">
        <v>50000</v>
      </c>
      <c r="AR5" s="10">
        <v>50000</v>
      </c>
      <c r="AS5" s="10">
        <v>50000</v>
      </c>
      <c r="AT5" s="10">
        <v>50000</v>
      </c>
      <c r="AU5" s="10">
        <v>50000</v>
      </c>
      <c r="AV5" s="10">
        <v>50000</v>
      </c>
      <c r="AW5" s="10">
        <v>50000</v>
      </c>
      <c r="AX5" s="10">
        <v>50000</v>
      </c>
      <c r="AY5" s="10">
        <v>50000</v>
      </c>
      <c r="AZ5" s="10">
        <v>50000</v>
      </c>
      <c r="BA5" s="10">
        <v>50000</v>
      </c>
      <c r="BB5" s="10">
        <v>50000</v>
      </c>
      <c r="BC5" s="10">
        <v>50000</v>
      </c>
      <c r="BD5" s="10">
        <v>50000</v>
      </c>
      <c r="BE5" s="10">
        <v>50000</v>
      </c>
      <c r="BF5" s="10">
        <v>50000</v>
      </c>
      <c r="BG5" s="10">
        <v>50000</v>
      </c>
      <c r="BH5" s="10">
        <v>50000</v>
      </c>
    </row>
    <row r="6" spans="1:60" ht="21" customHeight="1" x14ac:dyDescent="0.25">
      <c r="A6" s="9" t="s">
        <v>96</v>
      </c>
      <c r="B6" s="10">
        <v>50000</v>
      </c>
      <c r="C6" s="10">
        <v>50000</v>
      </c>
      <c r="D6" s="10">
        <v>50000</v>
      </c>
      <c r="E6" s="10">
        <v>50000</v>
      </c>
      <c r="F6" s="10">
        <v>50000</v>
      </c>
      <c r="G6" s="10">
        <v>50000</v>
      </c>
      <c r="H6" s="10">
        <v>50000</v>
      </c>
      <c r="I6" s="10">
        <v>50000</v>
      </c>
      <c r="J6" s="10">
        <v>50000</v>
      </c>
      <c r="K6" s="10">
        <v>50000</v>
      </c>
      <c r="L6" s="10">
        <v>50000</v>
      </c>
      <c r="M6" s="10">
        <v>50000</v>
      </c>
      <c r="N6" s="10">
        <v>50000</v>
      </c>
      <c r="O6" s="10">
        <v>50000</v>
      </c>
      <c r="P6" s="10">
        <v>50000</v>
      </c>
      <c r="Q6" s="10">
        <v>50000</v>
      </c>
      <c r="R6" s="10">
        <v>50000</v>
      </c>
      <c r="S6" s="10">
        <v>50000</v>
      </c>
      <c r="T6" s="10">
        <v>50000</v>
      </c>
      <c r="U6" s="10">
        <v>50000</v>
      </c>
      <c r="V6" s="10">
        <v>50000</v>
      </c>
      <c r="W6" s="10">
        <v>50000</v>
      </c>
      <c r="X6" s="10">
        <v>50000</v>
      </c>
      <c r="Y6" s="10">
        <v>50000</v>
      </c>
      <c r="Z6" s="10">
        <v>50000</v>
      </c>
      <c r="AA6" s="10">
        <v>50000</v>
      </c>
      <c r="AB6" s="10">
        <v>50000</v>
      </c>
      <c r="AC6" s="10">
        <v>50000</v>
      </c>
      <c r="AD6" s="10">
        <v>50000</v>
      </c>
      <c r="AE6" s="10">
        <v>50000</v>
      </c>
      <c r="AF6" s="10">
        <v>50000</v>
      </c>
      <c r="AG6" s="10">
        <v>50000</v>
      </c>
      <c r="AH6" s="10">
        <v>50000</v>
      </c>
      <c r="AI6" s="10">
        <v>50000</v>
      </c>
      <c r="AJ6" s="10">
        <v>50000</v>
      </c>
      <c r="AK6" s="10">
        <v>50000</v>
      </c>
      <c r="AL6" s="10">
        <v>50000</v>
      </c>
      <c r="AM6" s="10">
        <v>50000</v>
      </c>
      <c r="AN6" s="10">
        <v>50000</v>
      </c>
      <c r="AO6" s="10">
        <v>50000</v>
      </c>
      <c r="AP6" s="10">
        <v>50000</v>
      </c>
      <c r="AQ6" s="10">
        <v>50000</v>
      </c>
      <c r="AR6" s="10">
        <v>50000</v>
      </c>
      <c r="AS6" s="10">
        <v>50000</v>
      </c>
      <c r="AT6" s="10">
        <v>50000</v>
      </c>
      <c r="AU6" s="10">
        <v>50000</v>
      </c>
      <c r="AV6" s="10">
        <v>50000</v>
      </c>
      <c r="AW6" s="10">
        <v>50000</v>
      </c>
      <c r="AX6" s="10">
        <v>50000</v>
      </c>
      <c r="AY6" s="10">
        <v>50000</v>
      </c>
      <c r="AZ6" s="10">
        <v>50000</v>
      </c>
      <c r="BA6" s="10">
        <v>50000</v>
      </c>
      <c r="BB6" s="10">
        <v>50000</v>
      </c>
      <c r="BC6" s="10">
        <v>50000</v>
      </c>
      <c r="BD6" s="10">
        <v>50000</v>
      </c>
      <c r="BE6" s="10">
        <v>50000</v>
      </c>
      <c r="BF6" s="10">
        <v>50000</v>
      </c>
      <c r="BG6" s="10">
        <v>50000</v>
      </c>
      <c r="BH6" s="10">
        <v>50000</v>
      </c>
    </row>
    <row r="7" spans="1:60" ht="21" customHeight="1" x14ac:dyDescent="0.25">
      <c r="A7" s="7" t="s">
        <v>97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</row>
    <row r="8" spans="1:60" ht="21" customHeight="1" x14ac:dyDescent="0.25">
      <c r="A8" s="9" t="s">
        <v>98</v>
      </c>
      <c r="B8" s="10">
        <v>50000</v>
      </c>
      <c r="C8" s="10">
        <v>50000</v>
      </c>
      <c r="D8" s="10">
        <v>50000</v>
      </c>
      <c r="E8" s="10">
        <v>50000</v>
      </c>
      <c r="F8" s="10">
        <v>50000</v>
      </c>
      <c r="G8" s="10">
        <v>50000</v>
      </c>
      <c r="H8" s="10">
        <v>50000</v>
      </c>
      <c r="I8" s="10">
        <v>50000</v>
      </c>
      <c r="J8" s="10">
        <v>50000</v>
      </c>
      <c r="K8" s="10">
        <v>50000</v>
      </c>
      <c r="L8" s="10">
        <v>50000</v>
      </c>
      <c r="M8" s="10">
        <v>50000</v>
      </c>
      <c r="N8" s="10">
        <v>50000</v>
      </c>
      <c r="O8" s="10">
        <v>50000</v>
      </c>
      <c r="P8" s="10">
        <v>50000</v>
      </c>
      <c r="Q8" s="10">
        <v>50000</v>
      </c>
      <c r="R8" s="10">
        <v>50000</v>
      </c>
      <c r="S8" s="10">
        <v>50000</v>
      </c>
      <c r="T8" s="10">
        <v>50000</v>
      </c>
      <c r="U8" s="10">
        <v>50000</v>
      </c>
      <c r="V8" s="10">
        <v>50000</v>
      </c>
      <c r="W8" s="10">
        <v>50000</v>
      </c>
      <c r="X8" s="10">
        <v>50000</v>
      </c>
      <c r="Y8" s="10">
        <v>50000</v>
      </c>
      <c r="Z8" s="10">
        <v>50000</v>
      </c>
      <c r="AA8" s="10">
        <v>50000</v>
      </c>
      <c r="AB8" s="10">
        <v>50000</v>
      </c>
      <c r="AC8" s="10">
        <v>50000</v>
      </c>
      <c r="AD8" s="10">
        <v>50000</v>
      </c>
      <c r="AE8" s="10">
        <v>50000</v>
      </c>
      <c r="AF8" s="10">
        <v>50000</v>
      </c>
      <c r="AG8" s="10">
        <v>50000</v>
      </c>
      <c r="AH8" s="10">
        <v>50000</v>
      </c>
      <c r="AI8" s="10">
        <v>50000</v>
      </c>
      <c r="AJ8" s="10">
        <v>50000</v>
      </c>
      <c r="AK8" s="10">
        <v>50000</v>
      </c>
      <c r="AL8" s="10">
        <v>50000</v>
      </c>
      <c r="AM8" s="10">
        <v>50000</v>
      </c>
      <c r="AN8" s="10">
        <v>50000</v>
      </c>
      <c r="AO8" s="10">
        <v>50000</v>
      </c>
      <c r="AP8" s="10">
        <v>50000</v>
      </c>
      <c r="AQ8" s="10">
        <v>50000</v>
      </c>
      <c r="AR8" s="10">
        <v>50000</v>
      </c>
      <c r="AS8" s="10">
        <v>50000</v>
      </c>
      <c r="AT8" s="10">
        <v>50000</v>
      </c>
      <c r="AU8" s="10">
        <v>50000</v>
      </c>
      <c r="AV8" s="10">
        <v>50000</v>
      </c>
      <c r="AW8" s="10">
        <v>50000</v>
      </c>
      <c r="AX8" s="10">
        <v>50000</v>
      </c>
      <c r="AY8" s="10">
        <v>50000</v>
      </c>
      <c r="AZ8" s="10">
        <v>50000</v>
      </c>
      <c r="BA8" s="10">
        <v>50000</v>
      </c>
      <c r="BB8" s="10">
        <v>50000</v>
      </c>
      <c r="BC8" s="10">
        <v>50000</v>
      </c>
      <c r="BD8" s="10">
        <v>50000</v>
      </c>
      <c r="BE8" s="10">
        <v>50000</v>
      </c>
      <c r="BF8" s="10">
        <v>50000</v>
      </c>
      <c r="BG8" s="10">
        <v>50000</v>
      </c>
      <c r="BH8" s="10">
        <v>50000</v>
      </c>
    </row>
    <row r="9" spans="1:60" ht="24" customHeight="1" x14ac:dyDescent="0.25">
      <c r="A9" s="11" t="s">
        <v>99</v>
      </c>
      <c r="B9" s="12">
        <v>1</v>
      </c>
      <c r="C9" s="12">
        <v>1.0002372526636225</v>
      </c>
      <c r="D9" s="12">
        <v>1.0004745616160715</v>
      </c>
      <c r="E9" s="12">
        <v>1.0007119268707014</v>
      </c>
      <c r="F9" s="12">
        <v>1.0009493484408705</v>
      </c>
      <c r="G9" s="12">
        <v>1.0011868263399391</v>
      </c>
      <c r="H9" s="12">
        <v>1.001424360581272</v>
      </c>
      <c r="I9" s="12">
        <v>1.0016619511782365</v>
      </c>
      <c r="J9" s="12">
        <v>1.0018995981442029</v>
      </c>
      <c r="K9" s="12">
        <v>1.002137301492545</v>
      </c>
      <c r="L9" s="12">
        <v>1.0023750612366396</v>
      </c>
      <c r="M9" s="12">
        <v>1.0026128773898668</v>
      </c>
      <c r="N9" s="12">
        <v>1.0028507499656096</v>
      </c>
      <c r="O9" s="12">
        <v>1.0030886789772548</v>
      </c>
      <c r="P9" s="12">
        <v>1.0033266644381917</v>
      </c>
      <c r="Q9" s="12">
        <v>1.0035647063618134</v>
      </c>
      <c r="R9" s="12">
        <v>1.0038028047615151</v>
      </c>
      <c r="S9" s="12">
        <v>1.0040409596506965</v>
      </c>
      <c r="T9" s="12">
        <v>1.0042791710427599</v>
      </c>
      <c r="U9" s="12">
        <v>1.0045174389511105</v>
      </c>
      <c r="V9" s="12">
        <v>1.0047557633891568</v>
      </c>
      <c r="W9" s="12">
        <v>1.004994144370311</v>
      </c>
      <c r="X9" s="12">
        <v>1.0052325819079879</v>
      </c>
      <c r="Y9" s="12">
        <v>1.0054710760156058</v>
      </c>
      <c r="Z9" s="12">
        <v>1.0057096267065859</v>
      </c>
      <c r="AA9" s="12">
        <v>1.0059482339943528</v>
      </c>
      <c r="AB9" s="12">
        <v>1.0061868978923343</v>
      </c>
      <c r="AC9" s="12">
        <v>1.0064256184139615</v>
      </c>
      <c r="AD9" s="12">
        <v>1.0066643955726682</v>
      </c>
      <c r="AE9" s="12">
        <v>1.0069032293818918</v>
      </c>
      <c r="AF9" s="12">
        <v>1.0071421198550727</v>
      </c>
      <c r="AG9" s="12">
        <v>1.0073810670056547</v>
      </c>
      <c r="AH9" s="12">
        <v>1.0076200708470848</v>
      </c>
      <c r="AI9" s="12">
        <v>1.0078591313928127</v>
      </c>
      <c r="AJ9" s="12">
        <v>1.0080982486562919</v>
      </c>
      <c r="AK9" s="12">
        <v>1.0083374226509789</v>
      </c>
      <c r="AL9" s="12">
        <v>1.0085766533903331</v>
      </c>
      <c r="AM9" s="12">
        <v>1.0088159408878175</v>
      </c>
      <c r="AN9" s="12">
        <v>1.0090552851568979</v>
      </c>
      <c r="AO9" s="12">
        <v>1.0092946862110437</v>
      </c>
      <c r="AP9" s="12">
        <v>1.0095341440637275</v>
      </c>
      <c r="AQ9" s="12">
        <v>1.0097736587284245</v>
      </c>
      <c r="AR9" s="12">
        <v>1.0100132302186136</v>
      </c>
      <c r="AS9" s="12">
        <v>1.010252858547777</v>
      </c>
      <c r="AT9" s="12">
        <v>1.0104925437293997</v>
      </c>
      <c r="AU9" s="12">
        <v>1.0107322857769703</v>
      </c>
      <c r="AV9" s="12">
        <v>1.01097208470398</v>
      </c>
      <c r="AW9" s="12">
        <v>1.0112119405239242</v>
      </c>
      <c r="AX9" s="12">
        <v>1.0114518532503003</v>
      </c>
      <c r="AY9" s="12">
        <v>1.0116918228966099</v>
      </c>
      <c r="AZ9" s="12">
        <v>1.0119318494763574</v>
      </c>
      <c r="BA9" s="12">
        <v>1.0121719330030501</v>
      </c>
      <c r="BB9" s="12">
        <v>1.0124120734901989</v>
      </c>
      <c r="BC9" s="12">
        <v>1.0126522709513182</v>
      </c>
      <c r="BD9" s="12">
        <v>1.0128925253999246</v>
      </c>
      <c r="BE9" s="12">
        <v>1.0131328368495391</v>
      </c>
      <c r="BF9" s="12">
        <v>1.0133732053136852</v>
      </c>
      <c r="BG9" s="12">
        <v>1.0136136308058896</v>
      </c>
      <c r="BH9" s="12">
        <v>1.0138541133396823</v>
      </c>
    </row>
    <row r="10" spans="1:60" ht="21" customHeight="1" x14ac:dyDescent="0.25">
      <c r="A10" s="9" t="s">
        <v>100</v>
      </c>
      <c r="B10" s="10">
        <v>15.972222222222223</v>
      </c>
      <c r="C10" s="10">
        <v>15.976011674488415</v>
      </c>
      <c r="D10" s="10">
        <v>15.979802025812253</v>
      </c>
      <c r="E10" s="10">
        <v>15.983593276407037</v>
      </c>
      <c r="F10" s="10">
        <v>15.987385426486124</v>
      </c>
      <c r="G10" s="10">
        <v>15.991178476262919</v>
      </c>
      <c r="H10" s="10">
        <v>15.994972425950873</v>
      </c>
      <c r="I10" s="10">
        <v>15.9987672757635</v>
      </c>
      <c r="J10" s="10">
        <v>16.002563025914352</v>
      </c>
      <c r="K10" s="10">
        <v>16.006359676617038</v>
      </c>
      <c r="L10" s="10">
        <v>16.010157228085216</v>
      </c>
      <c r="M10" s="10">
        <v>16.013955680532597</v>
      </c>
      <c r="N10" s="10">
        <v>16.017755034172932</v>
      </c>
      <c r="O10" s="10">
        <v>16.021555289220043</v>
      </c>
      <c r="P10" s="10">
        <v>16.025356445887788</v>
      </c>
      <c r="Q10" s="10">
        <v>16.029158504390075</v>
      </c>
      <c r="R10" s="10">
        <v>16.032961464940868</v>
      </c>
      <c r="S10" s="10">
        <v>16.036765327754182</v>
      </c>
      <c r="T10" s="10">
        <v>16.040570093044082</v>
      </c>
      <c r="U10" s="10">
        <v>16.044375761024682</v>
      </c>
      <c r="V10" s="10">
        <v>16.048182331910144</v>
      </c>
      <c r="W10" s="10">
        <v>16.05198980591469</v>
      </c>
      <c r="X10" s="10">
        <v>16.055798183252584</v>
      </c>
      <c r="Y10" s="10">
        <v>16.05960746413815</v>
      </c>
      <c r="Z10" s="10">
        <v>16.063417648785748</v>
      </c>
      <c r="AA10" s="10">
        <v>16.067228737409803</v>
      </c>
      <c r="AB10" s="10">
        <v>16.071040730224787</v>
      </c>
      <c r="AC10" s="10">
        <v>16.074853627445219</v>
      </c>
      <c r="AD10" s="10">
        <v>16.078667429285673</v>
      </c>
      <c r="AE10" s="10">
        <v>16.08248213596077</v>
      </c>
      <c r="AF10" s="10">
        <v>16.08629774768519</v>
      </c>
      <c r="AG10" s="10">
        <v>16.090114264673655</v>
      </c>
      <c r="AH10" s="10">
        <v>16.093931687140937</v>
      </c>
      <c r="AI10" s="10">
        <v>16.09775001530187</v>
      </c>
      <c r="AJ10" s="10">
        <v>16.10156924937133</v>
      </c>
      <c r="AK10" s="10">
        <v>16.105389389564245</v>
      </c>
      <c r="AL10" s="10">
        <v>16.109210436095598</v>
      </c>
      <c r="AM10" s="10">
        <v>16.113032389180418</v>
      </c>
      <c r="AN10" s="10">
        <v>16.116855249033787</v>
      </c>
      <c r="AO10" s="10">
        <v>16.120679015870838</v>
      </c>
      <c r="AP10" s="10">
        <v>16.12450368990676</v>
      </c>
      <c r="AQ10" s="10">
        <v>16.12832927135678</v>
      </c>
      <c r="AR10" s="10">
        <v>16.132155760436191</v>
      </c>
      <c r="AS10" s="10">
        <v>16.135983157360329</v>
      </c>
      <c r="AT10" s="10">
        <v>16.139811462344582</v>
      </c>
      <c r="AU10" s="10">
        <v>16.143640675604388</v>
      </c>
      <c r="AV10" s="10">
        <v>16.14747079735524</v>
      </c>
      <c r="AW10" s="10">
        <v>16.151301827812677</v>
      </c>
      <c r="AX10" s="10">
        <v>16.155133767192297</v>
      </c>
      <c r="AY10" s="10">
        <v>16.158966615709744</v>
      </c>
      <c r="AZ10" s="10">
        <v>16.162800373580708</v>
      </c>
      <c r="BA10" s="10">
        <v>16.166635041020939</v>
      </c>
      <c r="BB10" s="10">
        <v>16.170470618246235</v>
      </c>
      <c r="BC10" s="10">
        <v>16.174307105472444</v>
      </c>
      <c r="BD10" s="10">
        <v>16.178144502915465</v>
      </c>
      <c r="BE10" s="10">
        <v>16.181982810791251</v>
      </c>
      <c r="BF10" s="10">
        <v>16.185822029315805</v>
      </c>
      <c r="BG10" s="10">
        <v>16.189662158705183</v>
      </c>
      <c r="BH10" s="10">
        <v>16.193503199175485</v>
      </c>
    </row>
    <row r="11" spans="1:60" ht="21" customHeight="1" x14ac:dyDescent="0.25">
      <c r="A11" s="9" t="s">
        <v>101</v>
      </c>
      <c r="B11" s="10">
        <v>50011.862633181125</v>
      </c>
      <c r="C11" s="10">
        <v>50023.728080803572</v>
      </c>
      <c r="D11" s="10">
        <v>50035.596343535071</v>
      </c>
      <c r="E11" s="10">
        <v>50047.467422043519</v>
      </c>
      <c r="F11" s="10">
        <v>50059.341316996957</v>
      </c>
      <c r="G11" s="10">
        <v>50071.218029063602</v>
      </c>
      <c r="H11" s="10">
        <v>50083.097558911824</v>
      </c>
      <c r="I11" s="10">
        <v>50094.979907210145</v>
      </c>
      <c r="J11" s="10">
        <v>50106.865074627247</v>
      </c>
      <c r="K11" s="10">
        <v>50118.75306183198</v>
      </c>
      <c r="L11" s="10">
        <v>50130.643869493339</v>
      </c>
      <c r="M11" s="10">
        <v>50142.537498280486</v>
      </c>
      <c r="N11" s="10">
        <v>50154.433948862745</v>
      </c>
      <c r="O11" s="10">
        <v>50166.33322190959</v>
      </c>
      <c r="P11" s="10">
        <v>50178.235318090665</v>
      </c>
      <c r="Q11" s="10">
        <v>50190.140238075757</v>
      </c>
      <c r="R11" s="10">
        <v>50202.04798253483</v>
      </c>
      <c r="S11" s="10">
        <v>50213.958552137992</v>
      </c>
      <c r="T11" s="10">
        <v>50225.871947555519</v>
      </c>
      <c r="U11" s="10">
        <v>50237.788169457839</v>
      </c>
      <c r="V11" s="10">
        <v>50249.707218515548</v>
      </c>
      <c r="W11" s="10">
        <v>50261.629095399396</v>
      </c>
      <c r="X11" s="10">
        <v>50273.55380078029</v>
      </c>
      <c r="Y11" s="10">
        <v>50285.481335329292</v>
      </c>
      <c r="Z11" s="10">
        <v>50297.411699717639</v>
      </c>
      <c r="AA11" s="10">
        <v>50309.344894616719</v>
      </c>
      <c r="AB11" s="10">
        <v>50321.280920698075</v>
      </c>
      <c r="AC11" s="10">
        <v>50333.219778633407</v>
      </c>
      <c r="AD11" s="10">
        <v>50345.161469094586</v>
      </c>
      <c r="AE11" s="10">
        <v>50357.105992753633</v>
      </c>
      <c r="AF11" s="10">
        <v>50369.053350282738</v>
      </c>
      <c r="AG11" s="10">
        <v>50381.003542354236</v>
      </c>
      <c r="AH11" s="10">
        <v>50392.956569640635</v>
      </c>
      <c r="AI11" s="10">
        <v>50404.912432814599</v>
      </c>
      <c r="AJ11" s="10">
        <v>50416.871132548942</v>
      </c>
      <c r="AK11" s="10">
        <v>50428.832669516654</v>
      </c>
      <c r="AL11" s="10">
        <v>50440.797044390871</v>
      </c>
      <c r="AM11" s="10">
        <v>50452.764257844894</v>
      </c>
      <c r="AN11" s="10">
        <v>50464.734310552187</v>
      </c>
      <c r="AO11" s="10">
        <v>50476.707203186372</v>
      </c>
      <c r="AP11" s="10">
        <v>50488.682936421224</v>
      </c>
      <c r="AQ11" s="10">
        <v>50500.66151093068</v>
      </c>
      <c r="AR11" s="10">
        <v>50512.64292738885</v>
      </c>
      <c r="AS11" s="10">
        <v>50524.627186469988</v>
      </c>
      <c r="AT11" s="10">
        <v>50536.614288848512</v>
      </c>
      <c r="AU11" s="10">
        <v>50548.604235199004</v>
      </c>
      <c r="AV11" s="10">
        <v>50560.597026196207</v>
      </c>
      <c r="AW11" s="10">
        <v>50572.592662515017</v>
      </c>
      <c r="AX11" s="10">
        <v>50584.591144830498</v>
      </c>
      <c r="AY11" s="10">
        <v>50596.592473817866</v>
      </c>
      <c r="AZ11" s="10">
        <v>50608.596650152504</v>
      </c>
      <c r="BA11" s="10">
        <v>50620.603674509948</v>
      </c>
      <c r="BB11" s="10">
        <v>50632.613547565903</v>
      </c>
      <c r="BC11" s="10">
        <v>50644.626269996232</v>
      </c>
      <c r="BD11" s="10">
        <v>50656.641842476958</v>
      </c>
      <c r="BE11" s="10">
        <v>50668.660265684259</v>
      </c>
      <c r="BF11" s="10">
        <v>50680.681540294478</v>
      </c>
      <c r="BG11" s="10">
        <v>50692.705666984119</v>
      </c>
      <c r="BH11" s="10">
        <v>50704.732646429846</v>
      </c>
    </row>
    <row r="12" spans="1:60" ht="21" customHeight="1" x14ac:dyDescent="0.25">
      <c r="A12" s="13" t="s">
        <v>102</v>
      </c>
      <c r="B12" s="14">
        <v>1.3698630136986303</v>
      </c>
      <c r="C12" s="14">
        <v>1.3701880173474281</v>
      </c>
      <c r="D12" s="14">
        <v>1.3705130981042075</v>
      </c>
      <c r="E12" s="14">
        <v>1.3708382559872623</v>
      </c>
      <c r="F12" s="14">
        <v>1.3711634910148909</v>
      </c>
      <c r="G12" s="14">
        <v>1.3714888032053962</v>
      </c>
      <c r="H12" s="14">
        <v>1.371814192577085</v>
      </c>
      <c r="I12" s="14">
        <v>1.3721396591482693</v>
      </c>
      <c r="J12" s="14">
        <v>1.3724652029372644</v>
      </c>
      <c r="K12" s="14">
        <v>1.3727908239623903</v>
      </c>
      <c r="L12" s="14">
        <v>1.3731165222419721</v>
      </c>
      <c r="M12" s="14">
        <v>1.3734422977943381</v>
      </c>
      <c r="N12" s="14">
        <v>1.3737681506378217</v>
      </c>
      <c r="O12" s="14">
        <v>1.3740940807907602</v>
      </c>
      <c r="P12" s="14">
        <v>1.3744200882714956</v>
      </c>
      <c r="Q12" s="14">
        <v>1.3747461730983743</v>
      </c>
      <c r="R12" s="14">
        <v>1.3750723352897467</v>
      </c>
      <c r="S12" s="14">
        <v>1.3753985748639679</v>
      </c>
      <c r="T12" s="14">
        <v>1.3757248918393972</v>
      </c>
      <c r="U12" s="14">
        <v>1.3760512862343979</v>
      </c>
      <c r="V12" s="14">
        <v>1.3763777580673382</v>
      </c>
      <c r="W12" s="14">
        <v>1.3767043073565903</v>
      </c>
      <c r="X12" s="14">
        <v>1.3770309341205313</v>
      </c>
      <c r="Y12" s="14">
        <v>1.3773576383775423</v>
      </c>
      <c r="Z12" s="14">
        <v>1.3776844201460081</v>
      </c>
      <c r="AA12" s="14">
        <v>1.3780112794443189</v>
      </c>
      <c r="AB12" s="14">
        <v>1.3783382162908691</v>
      </c>
      <c r="AC12" s="14">
        <v>1.3786652307040568</v>
      </c>
      <c r="AD12" s="14">
        <v>1.3789923227022851</v>
      </c>
      <c r="AE12" s="14">
        <v>1.3793194923039613</v>
      </c>
      <c r="AF12" s="14">
        <v>1.3796467395274969</v>
      </c>
      <c r="AG12" s="14">
        <v>1.3799740643913079</v>
      </c>
      <c r="AH12" s="14">
        <v>1.3803014669138147</v>
      </c>
      <c r="AI12" s="14">
        <v>1.3806289471134421</v>
      </c>
      <c r="AJ12" s="14">
        <v>1.3809565050086192</v>
      </c>
      <c r="AK12" s="14">
        <v>1.3812841406177794</v>
      </c>
      <c r="AL12" s="14">
        <v>1.3816118539593605</v>
      </c>
      <c r="AM12" s="14">
        <v>1.3819396450518047</v>
      </c>
      <c r="AN12" s="14">
        <v>1.3822675139135587</v>
      </c>
      <c r="AO12" s="14">
        <v>1.3825954605630737</v>
      </c>
      <c r="AP12" s="14">
        <v>1.3829234850188048</v>
      </c>
      <c r="AQ12" s="14">
        <v>1.3832515872992117</v>
      </c>
      <c r="AR12" s="14">
        <v>1.3835797674227583</v>
      </c>
      <c r="AS12" s="14">
        <v>1.3839080254079137</v>
      </c>
      <c r="AT12" s="14">
        <v>1.3842363612731503</v>
      </c>
      <c r="AU12" s="14">
        <v>1.3845647750369456</v>
      </c>
      <c r="AV12" s="14">
        <v>1.3848932667177809</v>
      </c>
      <c r="AW12" s="14">
        <v>1.3852218363341426</v>
      </c>
      <c r="AX12" s="14">
        <v>1.385550483904521</v>
      </c>
      <c r="AY12" s="14">
        <v>1.3858792094474108</v>
      </c>
      <c r="AZ12" s="14">
        <v>1.3862080129813115</v>
      </c>
      <c r="BA12" s="14">
        <v>1.3865368945247261</v>
      </c>
      <c r="BB12" s="14">
        <v>1.3868658540961629</v>
      </c>
      <c r="BC12" s="14">
        <v>1.3871948917141343</v>
      </c>
      <c r="BD12" s="14">
        <v>1.3875240073971571</v>
      </c>
      <c r="BE12" s="14">
        <v>1.3878532011637523</v>
      </c>
      <c r="BF12" s="14">
        <v>1.3881824730324455</v>
      </c>
      <c r="BG12" s="14">
        <v>1.3885118230217666</v>
      </c>
      <c r="BH12" s="14">
        <v>1.3888412511502499</v>
      </c>
    </row>
    <row r="13" spans="1:60" ht="21" customHeight="1" x14ac:dyDescent="0.25">
      <c r="A13" s="13" t="s">
        <v>103</v>
      </c>
      <c r="B13" s="14">
        <v>2.7397260273972606</v>
      </c>
      <c r="C13" s="14">
        <v>2.7403760346948562</v>
      </c>
      <c r="D13" s="14">
        <v>2.741026196208415</v>
      </c>
      <c r="E13" s="14">
        <v>2.7416765119745246</v>
      </c>
      <c r="F13" s="14">
        <v>2.7423269820297818</v>
      </c>
      <c r="G13" s="14">
        <v>2.7429776064107925</v>
      </c>
      <c r="H13" s="14">
        <v>2.7436283851541701</v>
      </c>
      <c r="I13" s="14">
        <v>2.7442793182965386</v>
      </c>
      <c r="J13" s="14">
        <v>2.7449304058745287</v>
      </c>
      <c r="K13" s="14">
        <v>2.7455816479247805</v>
      </c>
      <c r="L13" s="14">
        <v>2.7462330444839442</v>
      </c>
      <c r="M13" s="14">
        <v>2.7468845955886763</v>
      </c>
      <c r="N13" s="14">
        <v>2.7475363012756433</v>
      </c>
      <c r="O13" s="14">
        <v>2.7481881615815205</v>
      </c>
      <c r="P13" s="14">
        <v>2.7488401765429913</v>
      </c>
      <c r="Q13" s="14">
        <v>2.7494923461967486</v>
      </c>
      <c r="R13" s="14">
        <v>2.7501446705794934</v>
      </c>
      <c r="S13" s="14">
        <v>2.7507971497279358</v>
      </c>
      <c r="T13" s="14">
        <v>2.7514497836787943</v>
      </c>
      <c r="U13" s="14">
        <v>2.7521025724687957</v>
      </c>
      <c r="V13" s="14">
        <v>2.7527555161346764</v>
      </c>
      <c r="W13" s="14">
        <v>2.7534086147131807</v>
      </c>
      <c r="X13" s="14">
        <v>2.7540618682410627</v>
      </c>
      <c r="Y13" s="14">
        <v>2.7547152767550847</v>
      </c>
      <c r="Z13" s="14">
        <v>2.7553688402920162</v>
      </c>
      <c r="AA13" s="14">
        <v>2.7560225588886378</v>
      </c>
      <c r="AB13" s="14">
        <v>2.7566764325817381</v>
      </c>
      <c r="AC13" s="14">
        <v>2.7573304614081136</v>
      </c>
      <c r="AD13" s="14">
        <v>2.7579846454045702</v>
      </c>
      <c r="AE13" s="14">
        <v>2.7586389846079227</v>
      </c>
      <c r="AF13" s="14">
        <v>2.7592934790549939</v>
      </c>
      <c r="AG13" s="14">
        <v>2.7599481287826158</v>
      </c>
      <c r="AH13" s="14">
        <v>2.7606029338276294</v>
      </c>
      <c r="AI13" s="14">
        <v>2.7612578942268842</v>
      </c>
      <c r="AJ13" s="14">
        <v>2.7619130100172384</v>
      </c>
      <c r="AK13" s="14">
        <v>2.7625682812355588</v>
      </c>
      <c r="AL13" s="14">
        <v>2.763223707918721</v>
      </c>
      <c r="AM13" s="14">
        <v>2.7638792901036093</v>
      </c>
      <c r="AN13" s="14">
        <v>2.7645350278271175</v>
      </c>
      <c r="AO13" s="14">
        <v>2.7651909211261474</v>
      </c>
      <c r="AP13" s="14">
        <v>2.7658469700376096</v>
      </c>
      <c r="AQ13" s="14">
        <v>2.7665031745984234</v>
      </c>
      <c r="AR13" s="14">
        <v>2.7671595348455167</v>
      </c>
      <c r="AS13" s="14">
        <v>2.7678160508158274</v>
      </c>
      <c r="AT13" s="14">
        <v>2.7684727225463006</v>
      </c>
      <c r="AU13" s="14">
        <v>2.7691295500738913</v>
      </c>
      <c r="AV13" s="14">
        <v>2.7697865334355618</v>
      </c>
      <c r="AW13" s="14">
        <v>2.7704436726682853</v>
      </c>
      <c r="AX13" s="14">
        <v>2.7711009678090419</v>
      </c>
      <c r="AY13" s="14">
        <v>2.7717584188948217</v>
      </c>
      <c r="AZ13" s="14">
        <v>2.7724160259626229</v>
      </c>
      <c r="BA13" s="14">
        <v>2.7730737890494521</v>
      </c>
      <c r="BB13" s="14">
        <v>2.7737317081923258</v>
      </c>
      <c r="BC13" s="14">
        <v>2.7743897834282687</v>
      </c>
      <c r="BD13" s="14">
        <v>2.7750480147943142</v>
      </c>
      <c r="BE13" s="14">
        <v>2.7757064023275047</v>
      </c>
      <c r="BF13" s="14">
        <v>2.7763649460648909</v>
      </c>
      <c r="BG13" s="14">
        <v>2.7770236460435331</v>
      </c>
      <c r="BH13" s="14">
        <v>2.7776825023004998</v>
      </c>
    </row>
    <row r="14" spans="1:60" ht="21" customHeight="1" x14ac:dyDescent="0.25">
      <c r="A14" s="13" t="s">
        <v>104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</row>
    <row r="15" spans="1:60" ht="21" customHeight="1" x14ac:dyDescent="0.25">
      <c r="A15" s="15" t="s">
        <v>105</v>
      </c>
      <c r="B15" s="16">
        <v>11.862633181126332</v>
      </c>
      <c r="C15" s="16">
        <v>11.86544762244613</v>
      </c>
      <c r="D15" s="16">
        <v>11.86826273149963</v>
      </c>
      <c r="E15" s="16">
        <v>11.871078508445251</v>
      </c>
      <c r="F15" s="16">
        <v>11.873894953441452</v>
      </c>
      <c r="G15" s="16">
        <v>11.87671206664673</v>
      </c>
      <c r="H15" s="16">
        <v>11.879529848219619</v>
      </c>
      <c r="I15" s="16">
        <v>11.882348298318693</v>
      </c>
      <c r="J15" s="16">
        <v>11.885167417102558</v>
      </c>
      <c r="K15" s="16">
        <v>11.887987204729868</v>
      </c>
      <c r="L15" s="16">
        <v>11.8908076613593</v>
      </c>
      <c r="M15" s="16">
        <v>11.893628787149582</v>
      </c>
      <c r="N15" s="16">
        <v>11.896450582259467</v>
      </c>
      <c r="O15" s="16">
        <v>11.899273046847762</v>
      </c>
      <c r="P15" s="16">
        <v>11.902096181073301</v>
      </c>
      <c r="Q15" s="16">
        <v>11.904919985094953</v>
      </c>
      <c r="R15" s="16">
        <v>11.907744459071628</v>
      </c>
      <c r="S15" s="16">
        <v>11.910569603162278</v>
      </c>
      <c r="T15" s="16">
        <v>11.913395417525891</v>
      </c>
      <c r="U15" s="16">
        <v>11.916221902321489</v>
      </c>
      <c r="V15" s="16">
        <v>11.919049057708129</v>
      </c>
      <c r="W15" s="16">
        <v>11.92187688384492</v>
      </c>
      <c r="X15" s="16">
        <v>11.924705380890991</v>
      </c>
      <c r="Y15" s="16">
        <v>11.927534549005523</v>
      </c>
      <c r="Z15" s="16">
        <v>11.930364388347723</v>
      </c>
      <c r="AA15" s="16">
        <v>11.933194899076845</v>
      </c>
      <c r="AB15" s="16">
        <v>11.93602608135218</v>
      </c>
      <c r="AC15" s="16">
        <v>11.938857935333047</v>
      </c>
      <c r="AD15" s="16">
        <v>11.941690461178817</v>
      </c>
      <c r="AE15" s="16">
        <v>11.944523659048887</v>
      </c>
      <c r="AF15" s="16">
        <v>11.9473575291027</v>
      </c>
      <c r="AG15" s="16">
        <v>11.950192071499732</v>
      </c>
      <c r="AH15" s="16">
        <v>11.953027286399493</v>
      </c>
      <c r="AI15" s="16">
        <v>11.955863173961543</v>
      </c>
      <c r="AJ15" s="16">
        <v>11.958699734345473</v>
      </c>
      <c r="AK15" s="16">
        <v>11.961536967710906</v>
      </c>
      <c r="AL15" s="16">
        <v>11.964374874217516</v>
      </c>
      <c r="AM15" s="16">
        <v>11.967213454025003</v>
      </c>
      <c r="AN15" s="16">
        <v>11.97005270729311</v>
      </c>
      <c r="AO15" s="16">
        <v>11.972892634181617</v>
      </c>
      <c r="AP15" s="16">
        <v>11.975733234850345</v>
      </c>
      <c r="AQ15" s="16">
        <v>11.978574509459143</v>
      </c>
      <c r="AR15" s="16">
        <v>11.981416458167917</v>
      </c>
      <c r="AS15" s="16">
        <v>11.984259081136589</v>
      </c>
      <c r="AT15" s="16">
        <v>11.987102378525131</v>
      </c>
      <c r="AU15" s="16">
        <v>11.98994635049355</v>
      </c>
      <c r="AV15" s="16">
        <v>11.992790997201897</v>
      </c>
      <c r="AW15" s="16">
        <v>11.995636318810249</v>
      </c>
      <c r="AX15" s="16">
        <v>11.998482315478734</v>
      </c>
      <c r="AY15" s="16">
        <v>12.001328987367511</v>
      </c>
      <c r="AZ15" s="16">
        <v>12.004176334636774</v>
      </c>
      <c r="BA15" s="16">
        <v>12.00702435744676</v>
      </c>
      <c r="BB15" s="16">
        <v>12.009873055957746</v>
      </c>
      <c r="BC15" s="16">
        <v>12.01272243033004</v>
      </c>
      <c r="BD15" s="16">
        <v>12.015572480723995</v>
      </c>
      <c r="BE15" s="16">
        <v>12.018423207299993</v>
      </c>
      <c r="BF15" s="16">
        <v>12.02127461021847</v>
      </c>
      <c r="BG15" s="16">
        <v>12.024126689639882</v>
      </c>
      <c r="BH15" s="16">
        <v>12.026979445724734</v>
      </c>
    </row>
    <row r="16" spans="1:60" ht="24" customHeight="1" x14ac:dyDescent="0.25">
      <c r="A16" s="17" t="s">
        <v>106</v>
      </c>
      <c r="B16" s="18">
        <v>50011.862633181125</v>
      </c>
      <c r="C16" s="18">
        <v>50023.728080803572</v>
      </c>
      <c r="D16" s="18">
        <v>50035.596343535071</v>
      </c>
      <c r="E16" s="18">
        <v>50047.467422043519</v>
      </c>
      <c r="F16" s="18">
        <v>50059.341316996957</v>
      </c>
      <c r="G16" s="18">
        <v>50071.218029063602</v>
      </c>
      <c r="H16" s="18">
        <v>50083.097558911824</v>
      </c>
      <c r="I16" s="18">
        <v>50094.979907210145</v>
      </c>
      <c r="J16" s="18">
        <v>50106.865074627247</v>
      </c>
      <c r="K16" s="18">
        <v>50118.75306183198</v>
      </c>
      <c r="L16" s="18">
        <v>50130.643869493339</v>
      </c>
      <c r="M16" s="18">
        <v>50142.537498280486</v>
      </c>
      <c r="N16" s="18">
        <v>50154.433948862745</v>
      </c>
      <c r="O16" s="18">
        <v>50166.33322190959</v>
      </c>
      <c r="P16" s="18">
        <v>50178.235318090665</v>
      </c>
      <c r="Q16" s="18">
        <v>50190.140238075757</v>
      </c>
      <c r="R16" s="18">
        <v>50202.04798253483</v>
      </c>
      <c r="S16" s="18">
        <v>50213.958552137992</v>
      </c>
      <c r="T16" s="18">
        <v>50225.871947555519</v>
      </c>
      <c r="U16" s="18">
        <v>50237.788169457839</v>
      </c>
      <c r="V16" s="18">
        <v>50249.707218515548</v>
      </c>
      <c r="W16" s="18">
        <v>50261.629095399396</v>
      </c>
      <c r="X16" s="18">
        <v>50273.55380078029</v>
      </c>
      <c r="Y16" s="18">
        <v>50285.481335329292</v>
      </c>
      <c r="Z16" s="18">
        <v>50297.411699717639</v>
      </c>
      <c r="AA16" s="18">
        <v>50309.344894616719</v>
      </c>
      <c r="AB16" s="18">
        <v>50321.280920698075</v>
      </c>
      <c r="AC16" s="18">
        <v>50333.219778633407</v>
      </c>
      <c r="AD16" s="18">
        <v>50345.161469094586</v>
      </c>
      <c r="AE16" s="18">
        <v>50357.105992753633</v>
      </c>
      <c r="AF16" s="18">
        <v>50369.053350282738</v>
      </c>
      <c r="AG16" s="18">
        <v>50381.003542354236</v>
      </c>
      <c r="AH16" s="18">
        <v>50392.956569640635</v>
      </c>
      <c r="AI16" s="18">
        <v>50404.912432814599</v>
      </c>
      <c r="AJ16" s="18">
        <v>50416.871132548942</v>
      </c>
      <c r="AK16" s="18">
        <v>50428.832669516654</v>
      </c>
      <c r="AL16" s="18">
        <v>50440.797044390871</v>
      </c>
      <c r="AM16" s="18">
        <v>50452.764257844894</v>
      </c>
      <c r="AN16" s="18">
        <v>50464.734310552187</v>
      </c>
      <c r="AO16" s="18">
        <v>50476.707203186372</v>
      </c>
      <c r="AP16" s="18">
        <v>50488.682936421224</v>
      </c>
      <c r="AQ16" s="18">
        <v>50500.66151093068</v>
      </c>
      <c r="AR16" s="18">
        <v>50512.64292738885</v>
      </c>
      <c r="AS16" s="18">
        <v>50524.627186469988</v>
      </c>
      <c r="AT16" s="18">
        <v>50536.614288848512</v>
      </c>
      <c r="AU16" s="18">
        <v>50548.604235199004</v>
      </c>
      <c r="AV16" s="18">
        <v>50560.597026196207</v>
      </c>
      <c r="AW16" s="18">
        <v>50572.592662515017</v>
      </c>
      <c r="AX16" s="18">
        <v>50584.591144830498</v>
      </c>
      <c r="AY16" s="18">
        <v>50596.592473817866</v>
      </c>
      <c r="AZ16" s="18">
        <v>50608.596650152504</v>
      </c>
      <c r="BA16" s="18">
        <v>50620.603674509948</v>
      </c>
      <c r="BB16" s="18">
        <v>50632.613547565903</v>
      </c>
      <c r="BC16" s="18">
        <v>50644.626269996232</v>
      </c>
      <c r="BD16" s="18">
        <v>50656.641842476958</v>
      </c>
      <c r="BE16" s="18">
        <v>50668.660265684259</v>
      </c>
      <c r="BF16" s="18">
        <v>50680.681540294478</v>
      </c>
      <c r="BG16" s="18">
        <v>50692.705666984119</v>
      </c>
      <c r="BH16" s="18">
        <v>50704.732646429846</v>
      </c>
    </row>
    <row r="17" spans="1:60" ht="24" customHeight="1" x14ac:dyDescent="0.25">
      <c r="A17" s="11" t="s">
        <v>107</v>
      </c>
      <c r="B17" s="12">
        <v>1.0002372526636225</v>
      </c>
      <c r="C17" s="12">
        <v>1.0004745616160715</v>
      </c>
      <c r="D17" s="12">
        <v>1.0007119268707014</v>
      </c>
      <c r="E17" s="12">
        <v>1.0009493484408705</v>
      </c>
      <c r="F17" s="12">
        <v>1.0011868263399391</v>
      </c>
      <c r="G17" s="12">
        <v>1.001424360581272</v>
      </c>
      <c r="H17" s="12">
        <v>1.0016619511782365</v>
      </c>
      <c r="I17" s="12">
        <v>1.0018995981442029</v>
      </c>
      <c r="J17" s="12">
        <v>1.002137301492545</v>
      </c>
      <c r="K17" s="12">
        <v>1.0023750612366396</v>
      </c>
      <c r="L17" s="12">
        <v>1.0026128773898668</v>
      </c>
      <c r="M17" s="12">
        <v>1.0028507499656096</v>
      </c>
      <c r="N17" s="12">
        <v>1.0030886789772548</v>
      </c>
      <c r="O17" s="12">
        <v>1.0033266644381917</v>
      </c>
      <c r="P17" s="12">
        <v>1.0035647063618134</v>
      </c>
      <c r="Q17" s="12">
        <v>1.0038028047615151</v>
      </c>
      <c r="R17" s="12">
        <v>1.0040409596506965</v>
      </c>
      <c r="S17" s="12">
        <v>1.0042791710427599</v>
      </c>
      <c r="T17" s="12">
        <v>1.0045174389511105</v>
      </c>
      <c r="U17" s="12">
        <v>1.0047557633891568</v>
      </c>
      <c r="V17" s="12">
        <v>1.004994144370311</v>
      </c>
      <c r="W17" s="12">
        <v>1.0052325819079879</v>
      </c>
      <c r="X17" s="12">
        <v>1.0054710760156058</v>
      </c>
      <c r="Y17" s="12">
        <v>1.0057096267065859</v>
      </c>
      <c r="Z17" s="12">
        <v>1.0059482339943528</v>
      </c>
      <c r="AA17" s="12">
        <v>1.0061868978923343</v>
      </c>
      <c r="AB17" s="12">
        <v>1.0064256184139615</v>
      </c>
      <c r="AC17" s="12">
        <v>1.0066643955726682</v>
      </c>
      <c r="AD17" s="12">
        <v>1.0069032293818918</v>
      </c>
      <c r="AE17" s="12">
        <v>1.0071421198550727</v>
      </c>
      <c r="AF17" s="12">
        <v>1.0073810670056547</v>
      </c>
      <c r="AG17" s="12">
        <v>1.0076200708470848</v>
      </c>
      <c r="AH17" s="12">
        <v>1.0078591313928127</v>
      </c>
      <c r="AI17" s="12">
        <v>1.0080982486562919</v>
      </c>
      <c r="AJ17" s="12">
        <v>1.0083374226509789</v>
      </c>
      <c r="AK17" s="12">
        <v>1.0085766533903331</v>
      </c>
      <c r="AL17" s="12">
        <v>1.0088159408878175</v>
      </c>
      <c r="AM17" s="12">
        <v>1.0090552851568979</v>
      </c>
      <c r="AN17" s="12">
        <v>1.0092946862110437</v>
      </c>
      <c r="AO17" s="12">
        <v>1.0095341440637275</v>
      </c>
      <c r="AP17" s="12">
        <v>1.0097736587284245</v>
      </c>
      <c r="AQ17" s="12">
        <v>1.0100132302186136</v>
      </c>
      <c r="AR17" s="12">
        <v>1.010252858547777</v>
      </c>
      <c r="AS17" s="12">
        <v>1.0104925437293997</v>
      </c>
      <c r="AT17" s="12">
        <v>1.0107322857769703</v>
      </c>
      <c r="AU17" s="12">
        <v>1.01097208470398</v>
      </c>
      <c r="AV17" s="12">
        <v>1.0112119405239242</v>
      </c>
      <c r="AW17" s="12">
        <v>1.0114518532503003</v>
      </c>
      <c r="AX17" s="12">
        <v>1.0116918228966099</v>
      </c>
      <c r="AY17" s="12">
        <v>1.0119318494763574</v>
      </c>
      <c r="AZ17" s="12">
        <v>1.0121719330030501</v>
      </c>
      <c r="BA17" s="12">
        <v>1.0124120734901989</v>
      </c>
      <c r="BB17" s="12">
        <v>1.0126522709513182</v>
      </c>
      <c r="BC17" s="12">
        <v>1.0128925253999246</v>
      </c>
      <c r="BD17" s="12">
        <v>1.0131328368495391</v>
      </c>
      <c r="BE17" s="12">
        <v>1.0133732053136852</v>
      </c>
      <c r="BF17" s="12">
        <v>1.0136136308058896</v>
      </c>
      <c r="BG17" s="12">
        <v>1.0138541133396823</v>
      </c>
      <c r="BH17" s="12">
        <v>1.014094652928597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NSGPEN01</vt:lpstr>
      <vt:lpstr>NSGPEN02</vt:lpstr>
      <vt:lpstr>NSGPEN03</vt:lpstr>
      <vt:lpstr>NSGUSD01</vt:lpstr>
      <vt:lpstr>NSGUSD02</vt:lpstr>
      <vt:lpstr>NSLCON01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2026-08-27T16:04:04Z</dcterms:created>
  <dcterms:modified xsi:type="dcterms:W3CDTF">2026-08-27T22:59:13Z</dcterms:modified>
  <cp:category/>
</cp:coreProperties>
</file>